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Komal\Desktop\"/>
    </mc:Choice>
  </mc:AlternateContent>
  <xr:revisionPtr revIDLastSave="0" documentId="13_ncr:1_{C249EBDC-83BE-48F3-8332-0A5C6222A8BC}" xr6:coauthVersionLast="47" xr6:coauthVersionMax="47" xr10:uidLastSave="{00000000-0000-0000-0000-000000000000}"/>
  <bookViews>
    <workbookView xWindow="-120" yWindow="-120" windowWidth="20730" windowHeight="11040" firstSheet="2" activeTab="8" xr2:uid="{00000000-000D-0000-FFFF-FFFF00000000}"/>
  </bookViews>
  <sheets>
    <sheet name="OG Data" sheetId="9" r:id="rId1"/>
    <sheet name="Raw_Data" sheetId="1" r:id="rId2"/>
    <sheet name="Clean_Data" sheetId="2" r:id="rId3"/>
    <sheet name="Calculations" sheetId="3" r:id="rId4"/>
    <sheet name="Lookups" sheetId="4" r:id="rId5"/>
    <sheet name="Pivot_Table" sheetId="5" r:id="rId6"/>
    <sheet name="Analysis" sheetId="6" r:id="rId7"/>
    <sheet name="Data Model" sheetId="7" r:id="rId8"/>
    <sheet name="Dashboard" sheetId="8" r:id="rId9"/>
  </sheets>
  <definedNames>
    <definedName name="_xlcn.WorksheetConnection_1HumanTrustLevelsinAISystemsCopy.xlsxTable21" hidden="1">Table2[]</definedName>
    <definedName name="Slicer_ai_model_name">#N/A</definedName>
    <definedName name="Slicer_education_level">#N/A</definedName>
    <definedName name="Slicer_performed_fact_check">#N/A</definedName>
  </definedNames>
  <calcPr calcId="191029"/>
  <pivotCaches>
    <pivotCache cacheId="66" r:id="rId10"/>
    <pivotCache cacheId="70" r:id="rId11"/>
    <pivotCache cacheId="74" r:id="rId12"/>
  </pivotCaches>
  <extLst>
    <ext xmlns:x14="http://schemas.microsoft.com/office/spreadsheetml/2009/9/main" uri="{876F7934-8845-4945-9796-88D515C7AA90}">
      <x14:pivotCaches>
        <pivotCache cacheId="69" r:id="rId13"/>
        <pivotCache cacheId="73"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Clean Data" connection="WorksheetConnection_1 Human Trust Levels in AI Systems - Copy.xlsx!Table2"/>
        </x15:modelTables>
      </x15:dataModel>
    </ext>
  </extLst>
</workbook>
</file>

<file path=xl/calcChain.xml><?xml version="1.0" encoding="utf-8"?>
<calcChain xmlns="http://schemas.openxmlformats.org/spreadsheetml/2006/main">
  <c r="B5" i="3" l="1"/>
  <c r="B13" i="6"/>
  <c r="B14" i="6"/>
  <c r="B15" i="6"/>
  <c r="B16" i="6"/>
  <c r="B12" i="6"/>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2" i="2"/>
  <c r="B2" i="5"/>
  <c r="B2" i="6"/>
  <c r="H9" i="4"/>
  <c r="H6" i="4"/>
  <c r="B6" i="3"/>
  <c r="B4" i="3"/>
  <c r="B2" i="3"/>
  <c r="B3" i="3"/>
  <c r="C2" i="5"/>
  <c r="C3" i="5"/>
  <c r="C4" i="5"/>
  <c r="C5" i="5"/>
  <c r="C6" i="5"/>
  <c r="C7" i="5"/>
  <c r="B3" i="5"/>
  <c r="B4" i="5"/>
  <c r="B5" i="5"/>
  <c r="B6" i="5"/>
  <c r="B7" i="5"/>
  <c r="F2" i="3"/>
  <c r="H2" i="4"/>
  <c r="B14" i="4"/>
  <c r="E3" i="4"/>
  <c r="E4" i="4"/>
  <c r="E5" i="4"/>
  <c r="E2" i="4"/>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2" i="2"/>
  <c r="AJ1001"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3" i="2"/>
  <c r="AJ4" i="2"/>
  <c r="AJ5" i="2"/>
  <c r="AJ6" i="2"/>
  <c r="AJ7" i="2"/>
  <c r="AJ8" i="2"/>
  <c r="AJ9" i="2"/>
  <c r="AJ10" i="2"/>
  <c r="AJ11" i="2"/>
  <c r="AJ12" i="2"/>
  <c r="AJ13" i="2"/>
  <c r="AJ14" i="2"/>
  <c r="AJ15"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2" i="2"/>
  <c r="AJ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B8DB3E-2B68-4318-B70B-D7589AA3D6F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961DA34-B617-438C-B2F3-0A8F9AF7B2CF}" name="WorksheetConnection_1 Human Trust Levels in AI Systems - Copy.xlsx!Table2" type="102" refreshedVersion="8" minRefreshableVersion="5">
    <extLst>
      <ext xmlns:x15="http://schemas.microsoft.com/office/spreadsheetml/2010/11/main" uri="{DE250136-89BD-433C-8126-D09CA5730AF9}">
        <x15:connection id="Table2">
          <x15:rangePr sourceName="_xlcn.WorksheetConnection_1HumanTrustLevelsinAISystemsCopy.xlsxTable21"/>
        </x15:connection>
      </ext>
    </extLst>
  </connection>
</connections>
</file>

<file path=xl/sharedStrings.xml><?xml version="1.0" encoding="utf-8"?>
<sst xmlns="http://schemas.openxmlformats.org/spreadsheetml/2006/main" count="31368" uniqueCount="110">
  <si>
    <t>ai_model_name</t>
  </si>
  <si>
    <t>query_category</t>
  </si>
  <si>
    <t>ai_confidence_percentage</t>
  </si>
  <si>
    <t>response_character_count</t>
  </si>
  <si>
    <t>has_cited_sources</t>
  </si>
  <si>
    <t>contains_hedging_words</t>
  </si>
  <si>
    <t>includes_disclaimer</t>
  </si>
  <si>
    <t>answer_detail_level</t>
  </si>
  <si>
    <t>respondent_age_bracket</t>
  </si>
  <si>
    <t>education_level</t>
  </si>
  <si>
    <t>digital_literacy_score</t>
  </si>
  <si>
    <t>ai_familiarity_level</t>
  </si>
  <si>
    <t>decision_importance</t>
  </si>
  <si>
    <t>urgency_level</t>
  </si>
  <si>
    <t>belief_alignment_status</t>
  </si>
  <si>
    <t>subject_matter_expertise</t>
  </si>
  <si>
    <t>trust_score_out_of_10</t>
  </si>
  <si>
    <t>performed_fact_check</t>
  </si>
  <si>
    <t>fact_check_method_used</t>
  </si>
  <si>
    <t>verification_duration_mins</t>
  </si>
  <si>
    <t>answer_accuracy_percentage</t>
  </si>
  <si>
    <t>trust_calibration_valid</t>
  </si>
  <si>
    <t>user_skepticism_category</t>
  </si>
  <si>
    <t>Claude</t>
  </si>
  <si>
    <t>math_calculation</t>
  </si>
  <si>
    <t>Moderate</t>
  </si>
  <si>
    <t>45-54</t>
  </si>
  <si>
    <t>Bachelors</t>
  </si>
  <si>
    <t>Low</t>
  </si>
  <si>
    <t>Intermediate</t>
  </si>
  <si>
    <t>Google Search</t>
  </si>
  <si>
    <t>Moderate Trust</t>
  </si>
  <si>
    <t>Llama</t>
  </si>
  <si>
    <t>recipe_cooking</t>
  </si>
  <si>
    <t>Specific</t>
  </si>
  <si>
    <t>55-64</t>
  </si>
  <si>
    <t>PhD</t>
  </si>
  <si>
    <t>Expert</t>
  </si>
  <si>
    <t>First Time</t>
  </si>
  <si>
    <t>High</t>
  </si>
  <si>
    <t>Asked Expert</t>
  </si>
  <si>
    <t>Skeptical</t>
  </si>
  <si>
    <t>general_knowledge</t>
  </si>
  <si>
    <t>Very Specific</t>
  </si>
  <si>
    <t>35-44</t>
  </si>
  <si>
    <t>High School</t>
  </si>
  <si>
    <t>Medium</t>
  </si>
  <si>
    <t>Critical</t>
  </si>
  <si>
    <t>Consulted Documentation</t>
  </si>
  <si>
    <t>creative_writing</t>
  </si>
  <si>
    <t>Professional</t>
  </si>
  <si>
    <t>Advanced</t>
  </si>
  <si>
    <t>Checked Official Source</t>
  </si>
  <si>
    <t>Vague</t>
  </si>
  <si>
    <t>Masters</t>
  </si>
  <si>
    <t>Academic Paper</t>
  </si>
  <si>
    <t>Mistral</t>
  </si>
  <si>
    <t>18-24</t>
  </si>
  <si>
    <t>Blind Trust</t>
  </si>
  <si>
    <t>technical_coding</t>
  </si>
  <si>
    <t>financial_advice</t>
  </si>
  <si>
    <t>ChatGPT-3.5</t>
  </si>
  <si>
    <t>medical_advice</t>
  </si>
  <si>
    <t>65+</t>
  </si>
  <si>
    <t>Personal Testing</t>
  </si>
  <si>
    <t>Cross-referenced Multiple AIs</t>
  </si>
  <si>
    <t>current_events</t>
  </si>
  <si>
    <t>25-34</t>
  </si>
  <si>
    <t>Gemini</t>
  </si>
  <si>
    <t>Beginner</t>
  </si>
  <si>
    <t>factual_historical</t>
  </si>
  <si>
    <t>opinion_based</t>
  </si>
  <si>
    <t>Highly Skeptical</t>
  </si>
  <si>
    <t>legal_advice</t>
  </si>
  <si>
    <t>GPT-4</t>
  </si>
  <si>
    <t>Asked Colleague</t>
  </si>
  <si>
    <t>scientific_facts</t>
  </si>
  <si>
    <t>Metric</t>
  </si>
  <si>
    <t>Formula (Editable in Excel)</t>
  </si>
  <si>
    <t>Total Records</t>
  </si>
  <si>
    <t>Average Trust Score</t>
  </si>
  <si>
    <t>Average Accuracy</t>
  </si>
  <si>
    <t>Fact Check Yes - Avg Trust</t>
  </si>
  <si>
    <t>Fact Check No - Avg Trust</t>
  </si>
  <si>
    <t>Education Level</t>
  </si>
  <si>
    <t>Weight Score</t>
  </si>
  <si>
    <t>AI Model</t>
  </si>
  <si>
    <t>Avg Trust Score</t>
  </si>
  <si>
    <t>Avg Accuracy %</t>
  </si>
  <si>
    <t>Performed Fact Check</t>
  </si>
  <si>
    <t>Cleaning</t>
  </si>
  <si>
    <t xml:space="preserve">Missing Value </t>
  </si>
  <si>
    <t>Create Trust Category</t>
  </si>
  <si>
    <t>Convert TRUE/FALSE to Yes/No</t>
  </si>
  <si>
    <t>Round Accuracy</t>
  </si>
  <si>
    <t>VLOOKUPS</t>
  </si>
  <si>
    <t>HLOOKUPS</t>
  </si>
  <si>
    <t>LOOKUPS</t>
  </si>
  <si>
    <t>Average Trust for Claude</t>
  </si>
  <si>
    <t>INDEX</t>
  </si>
  <si>
    <t>INDEX + MATCH</t>
  </si>
  <si>
    <t xml:space="preserve">C Education </t>
  </si>
  <si>
    <t>Avg Trust</t>
  </si>
  <si>
    <t>Avg Accuracy</t>
  </si>
  <si>
    <t>Row Labels</t>
  </si>
  <si>
    <t>Grand Total</t>
  </si>
  <si>
    <t>FALSE</t>
  </si>
  <si>
    <t>TRUE</t>
  </si>
  <si>
    <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</si>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</sst>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4" fillId="0" borderId="0" xfId="0" applyFont="1"/>
    <xf numFmtId="0" fontId="3" fillId="0" borderId="0" xfId="0" applyFont="1"/>
    <xf numFmtId="43" fontId="0" fillId="0" borderId="0" xfId="1" applyFont="1"/>
    <xf numFmtId="2"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Font="1"/>
  </cellXfs>
  <cellStyles count="2">
    <cellStyle name="Comma" xfId="1" builtinId="3"/>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7ED4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Human Trust Levels in AI Systems - Copy.xlsx]Data Model!PivotTable1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39629775568214E-2"/>
          <c:y val="0.12707091830279207"/>
          <c:w val="0.74160695817064504"/>
          <c:h val="0.63643977870875146"/>
        </c:manualLayout>
      </c:layout>
      <c:barChart>
        <c:barDir val="col"/>
        <c:grouping val="clustered"/>
        <c:varyColors val="0"/>
        <c:ser>
          <c:idx val="0"/>
          <c:order val="0"/>
          <c:tx>
            <c:strRef>
              <c:f>'Data Model'!$C$3</c:f>
              <c:strCache>
                <c:ptCount val="1"/>
                <c:pt idx="0">
                  <c:v>Avg Trust</c:v>
                </c:pt>
              </c:strCache>
            </c:strRef>
          </c:tx>
          <c:spPr>
            <a:solidFill>
              <a:schemeClr val="accent1"/>
            </a:solidFill>
            <a:ln>
              <a:noFill/>
            </a:ln>
            <a:effectLst/>
          </c:spPr>
          <c:invertIfNegative val="0"/>
          <c:cat>
            <c:strRef>
              <c:f>'Data Model'!$B$4:$B$10</c:f>
              <c:strCache>
                <c:ptCount val="6"/>
                <c:pt idx="0">
                  <c:v>ChatGPT-3.5</c:v>
                </c:pt>
                <c:pt idx="1">
                  <c:v>Claude</c:v>
                </c:pt>
                <c:pt idx="2">
                  <c:v>Gemini</c:v>
                </c:pt>
                <c:pt idx="3">
                  <c:v>GPT-4</c:v>
                </c:pt>
                <c:pt idx="4">
                  <c:v>Llama</c:v>
                </c:pt>
                <c:pt idx="5">
                  <c:v>Mistral</c:v>
                </c:pt>
              </c:strCache>
            </c:strRef>
          </c:cat>
          <c:val>
            <c:numRef>
              <c:f>'Data Model'!$C$4:$C$10</c:f>
              <c:numCache>
                <c:formatCode>General</c:formatCode>
                <c:ptCount val="6"/>
                <c:pt idx="0">
                  <c:v>7.6549999999999994</c:v>
                </c:pt>
                <c:pt idx="1">
                  <c:v>8.1467836257309934</c:v>
                </c:pt>
                <c:pt idx="2">
                  <c:v>7.7915789473684214</c:v>
                </c:pt>
                <c:pt idx="3">
                  <c:v>8.1358974358974354</c:v>
                </c:pt>
                <c:pt idx="4">
                  <c:v>7.7715151515151515</c:v>
                </c:pt>
                <c:pt idx="5">
                  <c:v>7.944303797468355</c:v>
                </c:pt>
              </c:numCache>
            </c:numRef>
          </c:val>
          <c:extLst>
            <c:ext xmlns:c16="http://schemas.microsoft.com/office/drawing/2014/chart" uri="{C3380CC4-5D6E-409C-BE32-E72D297353CC}">
              <c16:uniqueId val="{00000000-E4A0-4813-979B-157FC791E33E}"/>
            </c:ext>
          </c:extLst>
        </c:ser>
        <c:ser>
          <c:idx val="1"/>
          <c:order val="1"/>
          <c:tx>
            <c:strRef>
              <c:f>'Data Model'!$D$3</c:f>
              <c:strCache>
                <c:ptCount val="1"/>
                <c:pt idx="0">
                  <c:v>Avg Accuracy</c:v>
                </c:pt>
              </c:strCache>
            </c:strRef>
          </c:tx>
          <c:spPr>
            <a:solidFill>
              <a:schemeClr val="accent2"/>
            </a:solidFill>
            <a:ln>
              <a:noFill/>
            </a:ln>
            <a:effectLst/>
          </c:spPr>
          <c:invertIfNegative val="0"/>
          <c:cat>
            <c:strRef>
              <c:f>'Data Model'!$B$4:$B$10</c:f>
              <c:strCache>
                <c:ptCount val="6"/>
                <c:pt idx="0">
                  <c:v>ChatGPT-3.5</c:v>
                </c:pt>
                <c:pt idx="1">
                  <c:v>Claude</c:v>
                </c:pt>
                <c:pt idx="2">
                  <c:v>Gemini</c:v>
                </c:pt>
                <c:pt idx="3">
                  <c:v>GPT-4</c:v>
                </c:pt>
                <c:pt idx="4">
                  <c:v>Llama</c:v>
                </c:pt>
                <c:pt idx="5">
                  <c:v>Mistral</c:v>
                </c:pt>
              </c:strCache>
            </c:strRef>
          </c:cat>
          <c:val>
            <c:numRef>
              <c:f>'Data Model'!$D$4:$D$10</c:f>
              <c:numCache>
                <c:formatCode>General</c:formatCode>
                <c:ptCount val="6"/>
                <c:pt idx="0">
                  <c:v>69.400062500000004</c:v>
                </c:pt>
                <c:pt idx="1">
                  <c:v>70.712865497076024</c:v>
                </c:pt>
                <c:pt idx="2">
                  <c:v>69.306263157894733</c:v>
                </c:pt>
                <c:pt idx="3">
                  <c:v>71.203717948717951</c:v>
                </c:pt>
                <c:pt idx="4">
                  <c:v>68.50812121212121</c:v>
                </c:pt>
                <c:pt idx="5">
                  <c:v>70.925949367088606</c:v>
                </c:pt>
              </c:numCache>
            </c:numRef>
          </c:val>
          <c:extLst>
            <c:ext xmlns:c16="http://schemas.microsoft.com/office/drawing/2014/chart" uri="{C3380CC4-5D6E-409C-BE32-E72D297353CC}">
              <c16:uniqueId val="{00000001-E4A0-4813-979B-157FC791E33E}"/>
            </c:ext>
          </c:extLst>
        </c:ser>
        <c:dLbls>
          <c:showLegendKey val="0"/>
          <c:showVal val="0"/>
          <c:showCatName val="0"/>
          <c:showSerName val="0"/>
          <c:showPercent val="0"/>
          <c:showBubbleSize val="0"/>
        </c:dLbls>
        <c:gapWidth val="219"/>
        <c:overlap val="-27"/>
        <c:axId val="441353584"/>
        <c:axId val="449719744"/>
      </c:barChart>
      <c:catAx>
        <c:axId val="44135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719744"/>
        <c:crosses val="autoZero"/>
        <c:auto val="1"/>
        <c:lblAlgn val="ctr"/>
        <c:lblOffset val="100"/>
        <c:noMultiLvlLbl val="0"/>
      </c:catAx>
      <c:valAx>
        <c:axId val="44971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Human Trust Levels in AI Systems - Copy.xlsx]Data Model!PivotTable2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86411698537682"/>
          <c:y val="0.14276052176894974"/>
          <c:w val="0.75407949964591003"/>
          <c:h val="0.73349202332455665"/>
        </c:manualLayout>
      </c:layout>
      <c:barChart>
        <c:barDir val="bar"/>
        <c:grouping val="clustered"/>
        <c:varyColors val="0"/>
        <c:ser>
          <c:idx val="0"/>
          <c:order val="0"/>
          <c:tx>
            <c:strRef>
              <c:f>'Data Model'!$I$9</c:f>
              <c:strCache>
                <c:ptCount val="1"/>
                <c:pt idx="0">
                  <c:v>Total</c:v>
                </c:pt>
              </c:strCache>
            </c:strRef>
          </c:tx>
          <c:spPr>
            <a:solidFill>
              <a:schemeClr val="accent1"/>
            </a:solidFill>
            <a:ln>
              <a:noFill/>
            </a:ln>
            <a:effectLst/>
          </c:spPr>
          <c:invertIfNegative val="0"/>
          <c:cat>
            <c:strRef>
              <c:f>'Data Model'!$H$10:$H$15</c:f>
              <c:strCache>
                <c:ptCount val="5"/>
                <c:pt idx="0">
                  <c:v>High School</c:v>
                </c:pt>
                <c:pt idx="1">
                  <c:v>Bachelors</c:v>
                </c:pt>
                <c:pt idx="2">
                  <c:v>Masters</c:v>
                </c:pt>
                <c:pt idx="3">
                  <c:v>PhD</c:v>
                </c:pt>
                <c:pt idx="4">
                  <c:v>Professional</c:v>
                </c:pt>
              </c:strCache>
            </c:strRef>
          </c:cat>
          <c:val>
            <c:numRef>
              <c:f>'Data Model'!$I$10:$I$15</c:f>
              <c:numCache>
                <c:formatCode>General</c:formatCode>
                <c:ptCount val="5"/>
                <c:pt idx="0">
                  <c:v>7.8938775510204087</c:v>
                </c:pt>
                <c:pt idx="1">
                  <c:v>8.0492307692307694</c:v>
                </c:pt>
                <c:pt idx="2">
                  <c:v>7.8153465346534654</c:v>
                </c:pt>
                <c:pt idx="3">
                  <c:v>7.8912844036697249</c:v>
                </c:pt>
                <c:pt idx="4">
                  <c:v>7.8793650793650798</c:v>
                </c:pt>
              </c:numCache>
            </c:numRef>
          </c:val>
          <c:extLst>
            <c:ext xmlns:c16="http://schemas.microsoft.com/office/drawing/2014/chart" uri="{C3380CC4-5D6E-409C-BE32-E72D297353CC}">
              <c16:uniqueId val="{00000000-2D33-4355-BCAF-4C22CCA1D61B}"/>
            </c:ext>
          </c:extLst>
        </c:ser>
        <c:dLbls>
          <c:showLegendKey val="0"/>
          <c:showVal val="0"/>
          <c:showCatName val="0"/>
          <c:showSerName val="0"/>
          <c:showPercent val="0"/>
          <c:showBubbleSize val="0"/>
        </c:dLbls>
        <c:gapWidth val="182"/>
        <c:axId val="1033720016"/>
        <c:axId val="1033721936"/>
      </c:barChart>
      <c:catAx>
        <c:axId val="103372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21936"/>
        <c:crosses val="autoZero"/>
        <c:auto val="1"/>
        <c:lblAlgn val="ctr"/>
        <c:lblOffset val="100"/>
        <c:noMultiLvlLbl val="0"/>
      </c:catAx>
      <c:valAx>
        <c:axId val="103372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2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Human Trust Levels in AI Systems - Copy.xlsx]Data Model!PivotTable4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Model'!$C$16</c:f>
              <c:strCache>
                <c:ptCount val="1"/>
                <c:pt idx="0">
                  <c:v>Total</c:v>
                </c:pt>
              </c:strCache>
            </c:strRef>
          </c:tx>
          <c:spPr>
            <a:solidFill>
              <a:schemeClr val="accent1"/>
            </a:solidFill>
            <a:ln>
              <a:noFill/>
            </a:ln>
            <a:effectLst/>
          </c:spPr>
          <c:invertIfNegative val="0"/>
          <c:cat>
            <c:strRef>
              <c:f>'Data Model'!$B$17:$B$19</c:f>
              <c:strCache>
                <c:ptCount val="2"/>
                <c:pt idx="0">
                  <c:v>FALSE</c:v>
                </c:pt>
                <c:pt idx="1">
                  <c:v>TRUE</c:v>
                </c:pt>
              </c:strCache>
            </c:strRef>
          </c:cat>
          <c:val>
            <c:numRef>
              <c:f>'Data Model'!$C$17:$C$19</c:f>
              <c:numCache>
                <c:formatCode>General</c:formatCode>
                <c:ptCount val="2"/>
                <c:pt idx="0">
                  <c:v>8.5451612903225804</c:v>
                </c:pt>
                <c:pt idx="1">
                  <c:v>7.5257961783439491</c:v>
                </c:pt>
              </c:numCache>
            </c:numRef>
          </c:val>
          <c:extLst>
            <c:ext xmlns:c16="http://schemas.microsoft.com/office/drawing/2014/chart" uri="{C3380CC4-5D6E-409C-BE32-E72D297353CC}">
              <c16:uniqueId val="{00000000-2790-4E42-83D6-AEA8AF0152BD}"/>
            </c:ext>
          </c:extLst>
        </c:ser>
        <c:dLbls>
          <c:showLegendKey val="0"/>
          <c:showVal val="0"/>
          <c:showCatName val="0"/>
          <c:showSerName val="0"/>
          <c:showPercent val="0"/>
          <c:showBubbleSize val="0"/>
        </c:dLbls>
        <c:gapWidth val="219"/>
        <c:overlap val="-27"/>
        <c:axId val="1023282112"/>
        <c:axId val="1572848096"/>
      </c:barChart>
      <c:catAx>
        <c:axId val="102328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848096"/>
        <c:crosses val="autoZero"/>
        <c:auto val="1"/>
        <c:lblAlgn val="ctr"/>
        <c:lblOffset val="100"/>
        <c:noMultiLvlLbl val="0"/>
      </c:catAx>
      <c:valAx>
        <c:axId val="157284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[1 Human Trust Levels in AI Systems - Copy.xlsx]Data Model!PivotTable2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latin typeface="Bookman Old Style" panose="02050604050505020204" pitchFamily="18" charset="0"/>
              </a:rPr>
              <a:t>Education Impact</a:t>
            </a:r>
            <a:endParaRPr lang="en-US">
              <a:solidFill>
                <a:schemeClr val="accent3">
                  <a:lumMod val="50000"/>
                </a:schemeClr>
              </a:solidFill>
              <a:latin typeface="Bookman Old Style" panose="02050604050505020204" pitchFamily="18" charset="0"/>
            </a:endParaRPr>
          </a:p>
        </c:rich>
      </c:tx>
      <c:layout>
        <c:manualLayout>
          <c:xMode val="edge"/>
          <c:yMode val="edge"/>
          <c:x val="0.31634454087589614"/>
          <c:y val="3.291823689413512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45375767399909"/>
          <c:y val="0.17016401051215499"/>
          <c:w val="0.69342858030359467"/>
          <c:h val="0.65281274554056534"/>
        </c:manualLayout>
      </c:layout>
      <c:barChart>
        <c:barDir val="bar"/>
        <c:grouping val="clustered"/>
        <c:varyColors val="0"/>
        <c:ser>
          <c:idx val="0"/>
          <c:order val="0"/>
          <c:tx>
            <c:strRef>
              <c:f>'Data Model'!$I$9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'Data Model'!$H$10:$H$15</c:f>
              <c:strCache>
                <c:ptCount val="5"/>
                <c:pt idx="0">
                  <c:v>High School</c:v>
                </c:pt>
                <c:pt idx="1">
                  <c:v>Bachelors</c:v>
                </c:pt>
                <c:pt idx="2">
                  <c:v>Masters</c:v>
                </c:pt>
                <c:pt idx="3">
                  <c:v>PhD</c:v>
                </c:pt>
                <c:pt idx="4">
                  <c:v>Professional</c:v>
                </c:pt>
              </c:strCache>
            </c:strRef>
          </c:cat>
          <c:val>
            <c:numRef>
              <c:f>'Data Model'!$I$10:$I$15</c:f>
              <c:numCache>
                <c:formatCode>General</c:formatCode>
                <c:ptCount val="5"/>
                <c:pt idx="0">
                  <c:v>7.8938775510204087</c:v>
                </c:pt>
                <c:pt idx="1">
                  <c:v>8.0492307692307694</c:v>
                </c:pt>
                <c:pt idx="2">
                  <c:v>7.8153465346534654</c:v>
                </c:pt>
                <c:pt idx="3">
                  <c:v>7.8912844036697249</c:v>
                </c:pt>
                <c:pt idx="4">
                  <c:v>7.8793650793650798</c:v>
                </c:pt>
              </c:numCache>
            </c:numRef>
          </c:val>
          <c:extLst>
            <c:ext xmlns:c16="http://schemas.microsoft.com/office/drawing/2014/chart" uri="{C3380CC4-5D6E-409C-BE32-E72D297353CC}">
              <c16:uniqueId val="{00000000-347B-44EB-B8D1-EC8147BBEA34}"/>
            </c:ext>
          </c:extLst>
        </c:ser>
        <c:dLbls>
          <c:dLblPos val="inEnd"/>
          <c:showLegendKey val="0"/>
          <c:showVal val="1"/>
          <c:showCatName val="0"/>
          <c:showSerName val="0"/>
          <c:showPercent val="0"/>
          <c:showBubbleSize val="0"/>
        </c:dLbls>
        <c:gapWidth val="115"/>
        <c:overlap val="-20"/>
        <c:axId val="1033720016"/>
        <c:axId val="1033721936"/>
      </c:barChart>
      <c:catAx>
        <c:axId val="103372001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Education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21936"/>
        <c:crosses val="autoZero"/>
        <c:auto val="1"/>
        <c:lblAlgn val="ctr"/>
        <c:lblOffset val="100"/>
        <c:noMultiLvlLbl val="0"/>
      </c:catAx>
      <c:valAx>
        <c:axId val="103372193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Avg Trust</a:t>
                </a:r>
                <a:r>
                  <a:rPr lang="en-IN" b="1" baseline="0"/>
                  <a:t> </a:t>
                </a:r>
              </a:p>
            </c:rich>
          </c:tx>
          <c:layout>
            <c:manualLayout>
              <c:xMode val="edge"/>
              <c:yMode val="edge"/>
              <c:x val="0.46076839536221148"/>
              <c:y val="0.908201524426144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2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Human Trust Levels in AI Systems - Copy.xlsx]Data Model!PivotTable1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a:latin typeface="Bookman Old Style" panose="02050604050505020204" pitchFamily="18" charset="0"/>
              </a:rPr>
              <a:t>Model Performance</a:t>
            </a:r>
          </a:p>
        </c:rich>
      </c:tx>
      <c:layout>
        <c:manualLayout>
          <c:xMode val="edge"/>
          <c:yMode val="edge"/>
          <c:x val="0.25284042820860092"/>
          <c:y val="3.97184230657033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469438543774"/>
          <c:y val="0.15160966649048169"/>
          <c:w val="0.78866578381642038"/>
          <c:h val="0.66970393707249509"/>
        </c:manualLayout>
      </c:layout>
      <c:barChart>
        <c:barDir val="col"/>
        <c:grouping val="clustered"/>
        <c:varyColors val="0"/>
        <c:ser>
          <c:idx val="0"/>
          <c:order val="0"/>
          <c:tx>
            <c:strRef>
              <c:f>'Data Model'!$C$3</c:f>
              <c:strCache>
                <c:ptCount val="1"/>
                <c:pt idx="0">
                  <c:v>Avg Trust</c:v>
                </c:pt>
              </c:strCache>
            </c:strRef>
          </c:tx>
          <c:spPr>
            <a:solidFill>
              <a:schemeClr val="accent1"/>
            </a:solidFill>
            <a:ln>
              <a:noFill/>
            </a:ln>
            <a:effectLst/>
          </c:spPr>
          <c:invertIfNegative val="0"/>
          <c:cat>
            <c:strRef>
              <c:f>'Data Model'!$B$4:$B$10</c:f>
              <c:strCache>
                <c:ptCount val="6"/>
                <c:pt idx="0">
                  <c:v>ChatGPT-3.5</c:v>
                </c:pt>
                <c:pt idx="1">
                  <c:v>Claude</c:v>
                </c:pt>
                <c:pt idx="2">
                  <c:v>Gemini</c:v>
                </c:pt>
                <c:pt idx="3">
                  <c:v>GPT-4</c:v>
                </c:pt>
                <c:pt idx="4">
                  <c:v>Llama</c:v>
                </c:pt>
                <c:pt idx="5">
                  <c:v>Mistral</c:v>
                </c:pt>
              </c:strCache>
            </c:strRef>
          </c:cat>
          <c:val>
            <c:numRef>
              <c:f>'Data Model'!$C$4:$C$10</c:f>
              <c:numCache>
                <c:formatCode>General</c:formatCode>
                <c:ptCount val="6"/>
                <c:pt idx="0">
                  <c:v>7.6549999999999994</c:v>
                </c:pt>
                <c:pt idx="1">
                  <c:v>8.1467836257309934</c:v>
                </c:pt>
                <c:pt idx="2">
                  <c:v>7.7915789473684214</c:v>
                </c:pt>
                <c:pt idx="3">
                  <c:v>8.1358974358974354</c:v>
                </c:pt>
                <c:pt idx="4">
                  <c:v>7.7715151515151515</c:v>
                </c:pt>
                <c:pt idx="5">
                  <c:v>7.944303797468355</c:v>
                </c:pt>
              </c:numCache>
            </c:numRef>
          </c:val>
          <c:extLst>
            <c:ext xmlns:c16="http://schemas.microsoft.com/office/drawing/2014/chart" uri="{C3380CC4-5D6E-409C-BE32-E72D297353CC}">
              <c16:uniqueId val="{00000000-8FF9-4F56-B547-2B2C1A6B9FE9}"/>
            </c:ext>
          </c:extLst>
        </c:ser>
        <c:ser>
          <c:idx val="1"/>
          <c:order val="1"/>
          <c:tx>
            <c:strRef>
              <c:f>'Data Model'!$D$3</c:f>
              <c:strCache>
                <c:ptCount val="1"/>
                <c:pt idx="0">
                  <c:v>Avg Accuracy</c:v>
                </c:pt>
              </c:strCache>
            </c:strRef>
          </c:tx>
          <c:spPr>
            <a:solidFill>
              <a:schemeClr val="accent2"/>
            </a:solidFill>
            <a:ln>
              <a:noFill/>
            </a:ln>
            <a:effectLst/>
          </c:spPr>
          <c:invertIfNegative val="0"/>
          <c:cat>
            <c:strRef>
              <c:f>'Data Model'!$B$4:$B$10</c:f>
              <c:strCache>
                <c:ptCount val="6"/>
                <c:pt idx="0">
                  <c:v>ChatGPT-3.5</c:v>
                </c:pt>
                <c:pt idx="1">
                  <c:v>Claude</c:v>
                </c:pt>
                <c:pt idx="2">
                  <c:v>Gemini</c:v>
                </c:pt>
                <c:pt idx="3">
                  <c:v>GPT-4</c:v>
                </c:pt>
                <c:pt idx="4">
                  <c:v>Llama</c:v>
                </c:pt>
                <c:pt idx="5">
                  <c:v>Mistral</c:v>
                </c:pt>
              </c:strCache>
            </c:strRef>
          </c:cat>
          <c:val>
            <c:numRef>
              <c:f>'Data Model'!$D$4:$D$10</c:f>
              <c:numCache>
                <c:formatCode>General</c:formatCode>
                <c:ptCount val="6"/>
                <c:pt idx="0">
                  <c:v>69.400062500000004</c:v>
                </c:pt>
                <c:pt idx="1">
                  <c:v>70.712865497076024</c:v>
                </c:pt>
                <c:pt idx="2">
                  <c:v>69.306263157894733</c:v>
                </c:pt>
                <c:pt idx="3">
                  <c:v>71.203717948717951</c:v>
                </c:pt>
                <c:pt idx="4">
                  <c:v>68.50812121212121</c:v>
                </c:pt>
                <c:pt idx="5">
                  <c:v>70.925949367088606</c:v>
                </c:pt>
              </c:numCache>
            </c:numRef>
          </c:val>
          <c:extLst>
            <c:ext xmlns:c16="http://schemas.microsoft.com/office/drawing/2014/chart" uri="{C3380CC4-5D6E-409C-BE32-E72D297353CC}">
              <c16:uniqueId val="{00000001-8FF9-4F56-B547-2B2C1A6B9FE9}"/>
            </c:ext>
          </c:extLst>
        </c:ser>
        <c:dLbls>
          <c:showLegendKey val="0"/>
          <c:showVal val="0"/>
          <c:showCatName val="0"/>
          <c:showSerName val="0"/>
          <c:showPercent val="0"/>
          <c:showBubbleSize val="0"/>
        </c:dLbls>
        <c:gapWidth val="219"/>
        <c:overlap val="-27"/>
        <c:axId val="441353584"/>
        <c:axId val="449719744"/>
      </c:barChart>
      <c:catAx>
        <c:axId val="4413535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AI Models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9719744"/>
        <c:crosses val="autoZero"/>
        <c:auto val="1"/>
        <c:lblAlgn val="ctr"/>
        <c:lblOffset val="100"/>
        <c:noMultiLvlLbl val="0"/>
      </c:catAx>
      <c:valAx>
        <c:axId val="44971974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Avg Accuracy</a:t>
                </a:r>
              </a:p>
            </c:rich>
          </c:tx>
          <c:layout>
            <c:manualLayout>
              <c:xMode val="edge"/>
              <c:yMode val="edge"/>
              <c:x val="8.9641725324770671E-3"/>
              <c:y val="0.3147823579481632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1353584"/>
        <c:crosses val="autoZero"/>
        <c:crossBetween val="between"/>
      </c:valAx>
      <c:spPr>
        <a:noFill/>
        <a:ln>
          <a:noFill/>
        </a:ln>
        <a:effectLst/>
      </c:spPr>
    </c:plotArea>
    <c:legend>
      <c:legendPos val="r"/>
      <c:layout>
        <c:manualLayout>
          <c:xMode val="edge"/>
          <c:yMode val="edge"/>
          <c:x val="0.72350012508296691"/>
          <c:y val="4.7368922701002521E-2"/>
          <c:w val="0.1715582610844063"/>
          <c:h val="0.148559644395151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Human Trust Levels in AI Systems - Copy.xlsx]Data Model!PivotTable4</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Bookman Old Style" panose="02050604050505020204" pitchFamily="18" charset="0"/>
                <a:ea typeface="+mn-ea"/>
                <a:cs typeface="+mn-cs"/>
              </a:defRPr>
            </a:pPr>
            <a:r>
              <a:rPr lang="en-IN" sz="1600">
                <a:latin typeface="Bookman Old Style" panose="02050604050505020204" pitchFamily="18" charset="0"/>
              </a:rPr>
              <a:t>Fact Check Behavior</a:t>
            </a:r>
            <a:endParaRPr lang="en-US" sz="1600">
              <a:latin typeface="Bookman Old Style" panose="02050604050505020204" pitchFamily="18" charset="0"/>
            </a:endParaRPr>
          </a:p>
        </c:rich>
      </c:tx>
      <c:layout>
        <c:manualLayout>
          <c:xMode val="edge"/>
          <c:yMode val="edge"/>
          <c:x val="0.15921842408911374"/>
          <c:y val="4.367110172088778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Bookman Old Style" panose="020506040505050202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131451648693"/>
          <c:y val="0.19801381367293369"/>
          <c:w val="0.73695578353326807"/>
          <c:h val="0.56566017003095526"/>
        </c:manualLayout>
      </c:layout>
      <c:barChart>
        <c:barDir val="col"/>
        <c:grouping val="clustered"/>
        <c:varyColors val="0"/>
        <c:ser>
          <c:idx val="0"/>
          <c:order val="0"/>
          <c:tx>
            <c:strRef>
              <c:f>'Data Model'!$C$16</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'Data Model'!$B$17:$B$19</c:f>
              <c:strCache>
                <c:ptCount val="2"/>
                <c:pt idx="0">
                  <c:v>FALSE</c:v>
                </c:pt>
                <c:pt idx="1">
                  <c:v>TRUE</c:v>
                </c:pt>
              </c:strCache>
            </c:strRef>
          </c:cat>
          <c:val>
            <c:numRef>
              <c:f>'Data Model'!$C$17:$C$19</c:f>
              <c:numCache>
                <c:formatCode>General</c:formatCode>
                <c:ptCount val="2"/>
                <c:pt idx="0">
                  <c:v>8.5451612903225804</c:v>
                </c:pt>
                <c:pt idx="1">
                  <c:v>7.5257961783439491</c:v>
                </c:pt>
              </c:numCache>
            </c:numRef>
          </c:val>
          <c:extLst>
            <c:ext xmlns:c16="http://schemas.microsoft.com/office/drawing/2014/chart" uri="{C3380CC4-5D6E-409C-BE32-E72D297353CC}">
              <c16:uniqueId val="{00000000-A63F-4385-A2A8-308747036D14}"/>
            </c:ext>
          </c:extLst>
        </c:ser>
        <c:dLbls>
          <c:showLegendKey val="0"/>
          <c:showVal val="0"/>
          <c:showCatName val="0"/>
          <c:showSerName val="0"/>
          <c:showPercent val="0"/>
          <c:showBubbleSize val="0"/>
        </c:dLbls>
        <c:gapWidth val="355"/>
        <c:overlap val="-70"/>
        <c:axId val="1023282112"/>
        <c:axId val="1572848096"/>
      </c:barChart>
      <c:catAx>
        <c:axId val="102328211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Performances Fact check</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848096"/>
        <c:crosses val="autoZero"/>
        <c:auto val="1"/>
        <c:lblAlgn val="ctr"/>
        <c:lblOffset val="100"/>
        <c:noMultiLvlLbl val="0"/>
      </c:catAx>
      <c:valAx>
        <c:axId val="157284809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Avg Trust </a:t>
                </a:r>
              </a:p>
            </c:rich>
          </c:tx>
          <c:layout>
            <c:manualLayout>
              <c:xMode val="edge"/>
              <c:yMode val="edge"/>
              <c:x val="2.2941630053699019E-2"/>
              <c:y val="0.3406064284601384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28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95249</xdr:colOff>
      <xdr:row>1</xdr:row>
      <xdr:rowOff>14287</xdr:rowOff>
    </xdr:from>
    <xdr:to>
      <xdr:col>19</xdr:col>
      <xdr:colOff>466725</xdr:colOff>
      <xdr:row>14</xdr:row>
      <xdr:rowOff>114301</xdr:rowOff>
    </xdr:to>
    <xdr:graphicFrame macro="">
      <xdr:nvGraphicFramePr>
        <xdr:cNvPr id="2" name="Chart 1">
          <a:extLst>
            <a:ext uri="{FF2B5EF4-FFF2-40B4-BE49-F238E27FC236}">
              <a16:creationId xmlns:a16="http://schemas.microsoft.com/office/drawing/2014/main" id="{1B0CAF45-02A2-38D3-AFAB-EDF7AEBCB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437393</xdr:colOff>
      <xdr:row>2</xdr:row>
      <xdr:rowOff>104775</xdr:rowOff>
    </xdr:from>
    <xdr:to>
      <xdr:col>26</xdr:col>
      <xdr:colOff>130931</xdr:colOff>
      <xdr:row>12</xdr:row>
      <xdr:rowOff>95250</xdr:rowOff>
    </xdr:to>
    <xdr:graphicFrame macro="">
      <xdr:nvGraphicFramePr>
        <xdr:cNvPr id="3" name="Chart 2">
          <a:extLst>
            <a:ext uri="{FF2B5EF4-FFF2-40B4-BE49-F238E27FC236}">
              <a16:creationId xmlns:a16="http://schemas.microsoft.com/office/drawing/2014/main" id="{C5BCD414-FC3E-27FE-9F72-7BE57E5D3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96005</xdr:colOff>
      <xdr:row>13</xdr:row>
      <xdr:rowOff>118231</xdr:rowOff>
    </xdr:from>
    <xdr:to>
      <xdr:col>26</xdr:col>
      <xdr:colOff>15119</xdr:colOff>
      <xdr:row>24</xdr:row>
      <xdr:rowOff>60476</xdr:rowOff>
    </xdr:to>
    <xdr:graphicFrame macro="">
      <xdr:nvGraphicFramePr>
        <xdr:cNvPr id="4" name="Chart 3">
          <a:extLst>
            <a:ext uri="{FF2B5EF4-FFF2-40B4-BE49-F238E27FC236}">
              <a16:creationId xmlns:a16="http://schemas.microsoft.com/office/drawing/2014/main" id="{9D8E1E2B-BF41-829D-325D-032ADFCE9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38099</xdr:colOff>
      <xdr:row>15</xdr:row>
      <xdr:rowOff>76200</xdr:rowOff>
    </xdr:from>
    <xdr:to>
      <xdr:col>14</xdr:col>
      <xdr:colOff>161924</xdr:colOff>
      <xdr:row>25</xdr:row>
      <xdr:rowOff>142875</xdr:rowOff>
    </xdr:to>
    <mc:AlternateContent xmlns:mc="http://schemas.openxmlformats.org/markup-compatibility/2006">
      <mc:Choice xmlns:a14="http://schemas.microsoft.com/office/drawing/2010/main" Requires="a14">
        <xdr:graphicFrame macro="">
          <xdr:nvGraphicFramePr>
            <xdr:cNvPr id="6" name="ai_model_name">
              <a:extLst>
                <a:ext uri="{FF2B5EF4-FFF2-40B4-BE49-F238E27FC236}">
                  <a16:creationId xmlns:a16="http://schemas.microsoft.com/office/drawing/2014/main" id="{00368219-6D3C-1D2E-02E4-32FDF2F28549}"/>
                </a:ext>
              </a:extLst>
            </xdr:cNvPr>
            <xdr:cNvGraphicFramePr/>
          </xdr:nvGraphicFramePr>
          <xdr:xfrm>
            <a:off x="0" y="0"/>
            <a:ext cx="0" cy="0"/>
          </xdr:xfrm>
          <a:graphic>
            <a:graphicData uri="http://schemas.microsoft.com/office/drawing/2010/slicer">
              <sle:slicer xmlns:sle="http://schemas.microsoft.com/office/drawing/2010/slicer" name="ai_model_name"/>
            </a:graphicData>
          </a:graphic>
        </xdr:graphicFrame>
      </mc:Choice>
      <mc:Fallback>
        <xdr:sp macro="" textlink="">
          <xdr:nvSpPr>
            <xdr:cNvPr id="0" name=""/>
            <xdr:cNvSpPr>
              <a:spLocks noTextEdit="1"/>
            </xdr:cNvSpPr>
          </xdr:nvSpPr>
          <xdr:spPr>
            <a:xfrm>
              <a:off x="8470066" y="2886856"/>
              <a:ext cx="1341776" cy="1940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457200</xdr:colOff>
      <xdr:row>14</xdr:row>
      <xdr:rowOff>123825</xdr:rowOff>
    </xdr:from>
    <xdr:to>
      <xdr:col>19</xdr:col>
      <xdr:colOff>457200</xdr:colOff>
      <xdr:row>27</xdr:row>
      <xdr:rowOff>171450</xdr:rowOff>
    </xdr:to>
    <mc:AlternateContent xmlns:mc="http://schemas.openxmlformats.org/markup-compatibility/2006">
      <mc:Choice xmlns:a14="http://schemas.microsoft.com/office/drawing/2010/main" Requires="a14">
        <xdr:graphicFrame macro="">
          <xdr:nvGraphicFramePr>
            <xdr:cNvPr id="7" name="education_level">
              <a:extLst>
                <a:ext uri="{FF2B5EF4-FFF2-40B4-BE49-F238E27FC236}">
                  <a16:creationId xmlns:a16="http://schemas.microsoft.com/office/drawing/2014/main" id="{D67B348C-03A1-3337-6A82-5B01D2DAEEDC}"/>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11325069" y="2747104"/>
              <a:ext cx="1826926" cy="248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142874</xdr:colOff>
      <xdr:row>15</xdr:row>
      <xdr:rowOff>47625</xdr:rowOff>
    </xdr:from>
    <xdr:to>
      <xdr:col>16</xdr:col>
      <xdr:colOff>457199</xdr:colOff>
      <xdr:row>20</xdr:row>
      <xdr:rowOff>76200</xdr:rowOff>
    </xdr:to>
    <mc:AlternateContent xmlns:mc="http://schemas.openxmlformats.org/markup-compatibility/2006">
      <mc:Choice xmlns:a14="http://schemas.microsoft.com/office/drawing/2010/main" Requires="a14">
        <xdr:graphicFrame macro="">
          <xdr:nvGraphicFramePr>
            <xdr:cNvPr id="8" name="performed_fact_check">
              <a:extLst>
                <a:ext uri="{FF2B5EF4-FFF2-40B4-BE49-F238E27FC236}">
                  <a16:creationId xmlns:a16="http://schemas.microsoft.com/office/drawing/2014/main" id="{BBC6A6BB-A23D-0CC3-B7DD-D7B7DA71F60A}"/>
                </a:ext>
              </a:extLst>
            </xdr:cNvPr>
            <xdr:cNvGraphicFramePr/>
          </xdr:nvGraphicFramePr>
          <xdr:xfrm>
            <a:off x="0" y="0"/>
            <a:ext cx="0" cy="0"/>
          </xdr:xfrm>
          <a:graphic>
            <a:graphicData uri="http://schemas.microsoft.com/office/drawing/2010/slicer">
              <sle:slicer xmlns:sle="http://schemas.microsoft.com/office/drawing/2010/slicer" name="performed_fact_check"/>
            </a:graphicData>
          </a:graphic>
        </xdr:graphicFrame>
      </mc:Choice>
      <mc:Fallback>
        <xdr:sp macro="" textlink="">
          <xdr:nvSpPr>
            <xdr:cNvPr id="0" name=""/>
            <xdr:cNvSpPr>
              <a:spLocks noTextEdit="1"/>
            </xdr:cNvSpPr>
          </xdr:nvSpPr>
          <xdr:spPr>
            <a:xfrm>
              <a:off x="9792792" y="2858281"/>
              <a:ext cx="1532276" cy="96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504824</xdr:colOff>
      <xdr:row>0</xdr:row>
      <xdr:rowOff>142874</xdr:rowOff>
    </xdr:from>
    <xdr:to>
      <xdr:col>17</xdr:col>
      <xdr:colOff>548014</xdr:colOff>
      <xdr:row>30</xdr:row>
      <xdr:rowOff>78288</xdr:rowOff>
    </xdr:to>
    <xdr:sp macro="" textlink="">
      <xdr:nvSpPr>
        <xdr:cNvPr id="2" name="Rectangle 1">
          <a:extLst>
            <a:ext uri="{FF2B5EF4-FFF2-40B4-BE49-F238E27FC236}">
              <a16:creationId xmlns:a16="http://schemas.microsoft.com/office/drawing/2014/main" id="{18FA7938-17D1-752B-12DB-0F2052CFD785}"/>
            </a:ext>
          </a:extLst>
        </xdr:cNvPr>
        <xdr:cNvSpPr/>
      </xdr:nvSpPr>
      <xdr:spPr>
        <a:xfrm>
          <a:off x="504824" y="142874"/>
          <a:ext cx="10468498" cy="580698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514349</xdr:colOff>
      <xdr:row>1</xdr:row>
      <xdr:rowOff>66676</xdr:rowOff>
    </xdr:from>
    <xdr:to>
      <xdr:col>16</xdr:col>
      <xdr:colOff>443630</xdr:colOff>
      <xdr:row>3</xdr:row>
      <xdr:rowOff>117431</xdr:rowOff>
    </xdr:to>
    <xdr:sp macro="" textlink="">
      <xdr:nvSpPr>
        <xdr:cNvPr id="3" name="TextBox 2">
          <a:extLst>
            <a:ext uri="{FF2B5EF4-FFF2-40B4-BE49-F238E27FC236}">
              <a16:creationId xmlns:a16="http://schemas.microsoft.com/office/drawing/2014/main" id="{807EAF61-A56C-9D7E-62B9-9CA585A02A9A}"/>
            </a:ext>
          </a:extLst>
        </xdr:cNvPr>
        <xdr:cNvSpPr txBox="1"/>
      </xdr:nvSpPr>
      <xdr:spPr>
        <a:xfrm>
          <a:off x="1127602" y="262395"/>
          <a:ext cx="9128083" cy="4421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Bookman Old Style" panose="02050604050505020204" pitchFamily="18" charset="0"/>
            </a:rPr>
            <a:t>HUMAN</a:t>
          </a:r>
          <a:r>
            <a:rPr lang="en-IN" sz="2400" b="1" baseline="0">
              <a:latin typeface="Bookman Old Style" panose="02050604050505020204" pitchFamily="18" charset="0"/>
            </a:rPr>
            <a:t> TRUST LEVELS IN AI SYSTEMS DASHBOARD </a:t>
          </a:r>
          <a:endParaRPr lang="en-IN" sz="2400" b="1">
            <a:latin typeface="Bookman Old Style" panose="02050604050505020204" pitchFamily="18" charset="0"/>
          </a:endParaRPr>
        </a:p>
      </xdr:txBody>
    </xdr:sp>
    <xdr:clientData/>
  </xdr:twoCellAnchor>
  <xdr:twoCellAnchor editAs="oneCell">
    <xdr:from>
      <xdr:col>1</xdr:col>
      <xdr:colOff>96294</xdr:colOff>
      <xdr:row>13</xdr:row>
      <xdr:rowOff>78288</xdr:rowOff>
    </xdr:from>
    <xdr:to>
      <xdr:col>3</xdr:col>
      <xdr:colOff>548014</xdr:colOff>
      <xdr:row>24</xdr:row>
      <xdr:rowOff>1</xdr:rowOff>
    </xdr:to>
    <mc:AlternateContent xmlns:mc="http://schemas.openxmlformats.org/markup-compatibility/2006">
      <mc:Choice xmlns:a14="http://schemas.microsoft.com/office/drawing/2010/main" Requires="a14">
        <xdr:graphicFrame macro="">
          <xdr:nvGraphicFramePr>
            <xdr:cNvPr id="4" name="ai_model_name 1">
              <a:extLst>
                <a:ext uri="{FF2B5EF4-FFF2-40B4-BE49-F238E27FC236}">
                  <a16:creationId xmlns:a16="http://schemas.microsoft.com/office/drawing/2014/main" id="{4A329446-9492-4326-93E3-B7796FAA7EC9}"/>
                </a:ext>
              </a:extLst>
            </xdr:cNvPr>
            <xdr:cNvGraphicFramePr/>
          </xdr:nvGraphicFramePr>
          <xdr:xfrm>
            <a:off x="0" y="0"/>
            <a:ext cx="0" cy="0"/>
          </xdr:xfrm>
          <a:graphic>
            <a:graphicData uri="http://schemas.microsoft.com/office/drawing/2010/slicer">
              <sle:slicer xmlns:sle="http://schemas.microsoft.com/office/drawing/2010/slicer" name="ai_model_name 1"/>
            </a:graphicData>
          </a:graphic>
        </xdr:graphicFrame>
      </mc:Choice>
      <mc:Fallback>
        <xdr:sp macro="" textlink="">
          <xdr:nvSpPr>
            <xdr:cNvPr id="0" name=""/>
            <xdr:cNvSpPr>
              <a:spLocks noTextEdit="1"/>
            </xdr:cNvSpPr>
          </xdr:nvSpPr>
          <xdr:spPr>
            <a:xfrm>
              <a:off x="709547" y="2622637"/>
              <a:ext cx="1678227" cy="2074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83248</xdr:colOff>
      <xdr:row>4</xdr:row>
      <xdr:rowOff>104383</xdr:rowOff>
    </xdr:from>
    <xdr:to>
      <xdr:col>3</xdr:col>
      <xdr:colOff>521398</xdr:colOff>
      <xdr:row>13</xdr:row>
      <xdr:rowOff>52192</xdr:rowOff>
    </xdr:to>
    <mc:AlternateContent xmlns:mc="http://schemas.openxmlformats.org/markup-compatibility/2006">
      <mc:Choice xmlns:a14="http://schemas.microsoft.com/office/drawing/2010/main" Requires="a14">
        <xdr:graphicFrame macro="">
          <xdr:nvGraphicFramePr>
            <xdr:cNvPr id="5" name="education_level 1">
              <a:extLst>
                <a:ext uri="{FF2B5EF4-FFF2-40B4-BE49-F238E27FC236}">
                  <a16:creationId xmlns:a16="http://schemas.microsoft.com/office/drawing/2014/main" id="{E4A1599A-5162-49D9-BB39-656A980CE43E}"/>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dr:sp macro="" textlink="">
          <xdr:nvSpPr>
            <xdr:cNvPr id="0" name=""/>
            <xdr:cNvSpPr>
              <a:spLocks noTextEdit="1"/>
            </xdr:cNvSpPr>
          </xdr:nvSpPr>
          <xdr:spPr>
            <a:xfrm>
              <a:off x="696501" y="887260"/>
              <a:ext cx="1664657" cy="1709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112868</xdr:colOff>
      <xdr:row>24</xdr:row>
      <xdr:rowOff>63153</xdr:rowOff>
    </xdr:from>
    <xdr:to>
      <xdr:col>4</xdr:col>
      <xdr:colOff>339247</xdr:colOff>
      <xdr:row>28</xdr:row>
      <xdr:rowOff>143527</xdr:rowOff>
    </xdr:to>
    <mc:AlternateContent xmlns:mc="http://schemas.openxmlformats.org/markup-compatibility/2006">
      <mc:Choice xmlns:a14="http://schemas.microsoft.com/office/drawing/2010/main" Requires="a14">
        <xdr:graphicFrame macro="">
          <xdr:nvGraphicFramePr>
            <xdr:cNvPr id="6" name="performed_fact_check 1">
              <a:extLst>
                <a:ext uri="{FF2B5EF4-FFF2-40B4-BE49-F238E27FC236}">
                  <a16:creationId xmlns:a16="http://schemas.microsoft.com/office/drawing/2014/main" id="{50447190-F5B0-495B-81CF-93E18C1569F9}"/>
                </a:ext>
              </a:extLst>
            </xdr:cNvPr>
            <xdr:cNvGraphicFramePr/>
          </xdr:nvGraphicFramePr>
          <xdr:xfrm>
            <a:off x="0" y="0"/>
            <a:ext cx="0" cy="0"/>
          </xdr:xfrm>
          <a:graphic>
            <a:graphicData uri="http://schemas.microsoft.com/office/drawing/2010/slicer">
              <sle:slicer xmlns:sle="http://schemas.microsoft.com/office/drawing/2010/slicer" name="performed_fact_check 1"/>
            </a:graphicData>
          </a:graphic>
        </xdr:graphicFrame>
      </mc:Choice>
      <mc:Fallback>
        <xdr:sp macro="" textlink="">
          <xdr:nvSpPr>
            <xdr:cNvPr id="0" name=""/>
            <xdr:cNvSpPr>
              <a:spLocks noTextEdit="1"/>
            </xdr:cNvSpPr>
          </xdr:nvSpPr>
          <xdr:spPr>
            <a:xfrm>
              <a:off x="726121" y="4760413"/>
              <a:ext cx="2066140" cy="863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548013</xdr:colOff>
      <xdr:row>4</xdr:row>
      <xdr:rowOff>117431</xdr:rowOff>
    </xdr:from>
    <xdr:to>
      <xdr:col>17</xdr:col>
      <xdr:colOff>208767</xdr:colOff>
      <xdr:row>15</xdr:row>
      <xdr:rowOff>91335</xdr:rowOff>
    </xdr:to>
    <xdr:graphicFrame macro="">
      <xdr:nvGraphicFramePr>
        <xdr:cNvPr id="7" name="Chart 6">
          <a:extLst>
            <a:ext uri="{FF2B5EF4-FFF2-40B4-BE49-F238E27FC236}">
              <a16:creationId xmlns:a16="http://schemas.microsoft.com/office/drawing/2014/main" id="{915B24F6-9384-4AA4-A667-E43C840BE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482774</xdr:colOff>
      <xdr:row>16</xdr:row>
      <xdr:rowOff>91335</xdr:rowOff>
    </xdr:from>
    <xdr:to>
      <xdr:col>17</xdr:col>
      <xdr:colOff>208767</xdr:colOff>
      <xdr:row>28</xdr:row>
      <xdr:rowOff>91336</xdr:rowOff>
    </xdr:to>
    <xdr:graphicFrame macro="">
      <xdr:nvGraphicFramePr>
        <xdr:cNvPr id="8" name="Chart 7">
          <a:extLst>
            <a:ext uri="{FF2B5EF4-FFF2-40B4-BE49-F238E27FC236}">
              <a16:creationId xmlns:a16="http://schemas.microsoft.com/office/drawing/2014/main" id="{50E9E3A0-6407-4409-A5AB-FB57FBC0A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230816</xdr:colOff>
      <xdr:row>4</xdr:row>
      <xdr:rowOff>117431</xdr:rowOff>
    </xdr:from>
    <xdr:to>
      <xdr:col>10</xdr:col>
      <xdr:colOff>326200</xdr:colOff>
      <xdr:row>15</xdr:row>
      <xdr:rowOff>130479</xdr:rowOff>
    </xdr:to>
    <xdr:graphicFrame macro="">
      <xdr:nvGraphicFramePr>
        <xdr:cNvPr id="9" name="Chart 8">
          <a:extLst>
            <a:ext uri="{FF2B5EF4-FFF2-40B4-BE49-F238E27FC236}">
              <a16:creationId xmlns:a16="http://schemas.microsoft.com/office/drawing/2014/main" id="{C4991BB4-2BAC-4BBE-A8AE-617291C1A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65.732463657405" createdVersion="5" refreshedVersion="8" minRefreshableVersion="3" recordCount="0" supportSubquery="1" supportAdvancedDrill="1" xr:uid="{6EB8D3DD-DD87-4038-9974-D66304485F60}">
  <cacheSource type="external" connectionId="1"/>
  <cacheFields count="3">
    <cacheField name="[Measures].[Avg Trust]" caption="Avg Trust" numFmtId="0" hierarchy="23" level="32767"/>
    <cacheField name="[Measures].[Avg Accuracy]" caption="Avg Accuracy" numFmtId="0" hierarchy="24" level="32767"/>
    <cacheField name="[Clean Data].[ai_model_name].[ai_model_name]" caption="ai_model_name" numFmtId="0" level="1">
      <sharedItems count="6">
        <s v="ChatGPT-3.5"/>
        <s v="Claude"/>
        <s v="Gemini"/>
        <s v="GPT-4"/>
        <s v="Llama"/>
        <s v="Mistral"/>
      </sharedItems>
    </cacheField>
  </cacheFields>
  <cacheHierarchies count="29">
    <cacheHierarchy uniqueName="[Clean Data].[ai_model_name]" caption="ai_model_name" attribute="1" defaultMemberUniqueName="[Clean Data].[ai_model_name].[All]" allUniqueName="[Clean Data].[ai_model_name].[All]" dimensionUniqueName="[Clean Data]" displayFolder="" count="2" memberValueDatatype="130" unbalanced="0">
      <fieldsUsage count="2">
        <fieldUsage x="-1"/>
        <fieldUsage x="2"/>
      </fieldsUsage>
    </cacheHierarchy>
    <cacheHierarchy uniqueName="[Clean Data].[query_category]" caption="query_category" attribute="1" defaultMemberUniqueName="[Clean Data].[query_category].[All]" allUniqueName="[Clean Data].[query_category].[All]" dimensionUniqueName="[Clean Data]" displayFolder="" count="0" memberValueDatatype="130" unbalanced="0"/>
    <cacheHierarchy uniqueName="[Clean Data].[ai_confidence_percentage]" caption="ai_confidence_percentage" attribute="1" defaultMemberUniqueName="[Clean Data].[ai_confidence_percentage].[All]" allUniqueName="[Clean Data].[ai_confidence_percentage].[All]" dimensionUniqueName="[Clean Data]" displayFolder="" count="0" memberValueDatatype="5" unbalanced="0"/>
    <cacheHierarchy uniqueName="[Clean Data].[response_character_count]" caption="response_character_count" attribute="1" defaultMemberUniqueName="[Clean Data].[response_character_count].[All]" allUniqueName="[Clean Data].[response_character_count].[All]" dimensionUniqueName="[Clean Data]" displayFolder="" count="0" memberValueDatatype="20" unbalanced="0"/>
    <cacheHierarchy uniqueName="[Clean Data].[has_cited_sources]" caption="has_cited_sources" attribute="1" defaultMemberUniqueName="[Clean Data].[has_cited_sources].[All]" allUniqueName="[Clean Data].[has_cited_sources].[All]" dimensionUniqueName="[Clean Data]" displayFolder="" count="0" memberValueDatatype="11" unbalanced="0"/>
    <cacheHierarchy uniqueName="[Clean Data].[contains_hedging_words]" caption="contains_hedging_words" attribute="1" defaultMemberUniqueName="[Clean Data].[contains_hedging_words].[All]" allUniqueName="[Clean Data].[contains_hedging_words].[All]" dimensionUniqueName="[Clean Data]" displayFolder="" count="0" memberValueDatatype="11" unbalanced="0"/>
    <cacheHierarchy uniqueName="[Clean Data].[includes_disclaimer]" caption="includes_disclaimer" attribute="1" defaultMemberUniqueName="[Clean Data].[includes_disclaimer].[All]" allUniqueName="[Clean Data].[includes_disclaimer].[All]" dimensionUniqueName="[Clean Data]" displayFolder="" count="0" memberValueDatatype="11" unbalanced="0"/>
    <cacheHierarchy uniqueName="[Clean Data].[answer_detail_level]" caption="answer_detail_level" attribute="1" defaultMemberUniqueName="[Clean Data].[answer_detail_level].[All]" allUniqueName="[Clean Data].[answer_detail_level].[All]" dimensionUniqueName="[Clean Data]" displayFolder="" count="0" memberValueDatatype="130" unbalanced="0"/>
    <cacheHierarchy uniqueName="[Clean Data].[respondent_age_bracket]" caption="respondent_age_bracket" attribute="1" defaultMemberUniqueName="[Clean Data].[respondent_age_bracket].[All]" allUniqueName="[Clean Data].[respondent_age_bracket].[All]" dimensionUniqueName="[Clean Data]" displayFolder="" count="0" memberValueDatatype="130" unbalanced="0"/>
    <cacheHierarchy uniqueName="[Clean Data].[education_level]" caption="education_level" attribute="1" defaultMemberUniqueName="[Clean Data].[education_level].[All]" allUniqueName="[Clean Data].[education_level].[All]" dimensionUniqueName="[Clean Data]" displayFolder="" count="0" memberValueDatatype="130" unbalanced="0"/>
    <cacheHierarchy uniqueName="[Clean Data].[digital_literacy_score]" caption="digital_literacy_score" attribute="1" defaultMemberUniqueName="[Clean Data].[digital_literacy_score].[All]" allUniqueName="[Clean Data].[digital_literacy_score].[All]" dimensionUniqueName="[Clean Data]" displayFolder="" count="0" memberValueDatatype="130" unbalanced="0"/>
    <cacheHierarchy uniqueName="[Clean Data].[ai_familiarity_level]" caption="ai_familiarity_level" attribute="1" defaultMemberUniqueName="[Clean Data].[ai_familiarity_level].[All]" allUniqueName="[Clean Data].[ai_familiarity_level].[All]" dimensionUniqueName="[Clean Data]" displayFolder="" count="0" memberValueDatatype="130" unbalanced="0"/>
    <cacheHierarchy uniqueName="[Clean Data].[decision_importance]" caption="decision_importance" attribute="1" defaultMemberUniqueName="[Clean Data].[decision_importance].[All]" allUniqueName="[Clean Data].[decision_importance].[All]" dimensionUniqueName="[Clean Data]" displayFolder="" count="0" memberValueDatatype="130" unbalanced="0"/>
    <cacheHierarchy uniqueName="[Clean Data].[urgency_level]" caption="urgency_level" attribute="1" defaultMemberUniqueName="[Clean Data].[urgency_level].[All]" allUniqueName="[Clean Data].[urgency_level].[All]" dimensionUniqueName="[Clean Data]" displayFolder="" count="0" memberValueDatatype="130" unbalanced="0"/>
    <cacheHierarchy uniqueName="[Clean Data].[belief_alignment_status]" caption="belief_alignment_status" attribute="1" defaultMemberUniqueName="[Clean Data].[belief_alignment_status].[All]" allUniqueName="[Clean Data].[belief_alignment_status].[All]" dimensionUniqueName="[Clean Data]" displayFolder="" count="0" memberValueDatatype="11" unbalanced="0"/>
    <cacheHierarchy uniqueName="[Clean Data].[subject_matter_expertise]" caption="subject_matter_expertise" attribute="1" defaultMemberUniqueName="[Clean Data].[subject_matter_expertise].[All]" allUniqueName="[Clean Data].[subject_matter_expertise].[All]" dimensionUniqueName="[Clean Data]" displayFolder="" count="0" memberValueDatatype="11" unbalanced="0"/>
    <cacheHierarchy uniqueName="[Clean Data].[trust_score_out_of_10]" caption="trust_score_out_of_10" attribute="1" defaultMemberUniqueName="[Clean Data].[trust_score_out_of_10].[All]" allUniqueName="[Clean Data].[trust_score_out_of_10].[All]" dimensionUniqueName="[Clean Data]" displayFolder="" count="0" memberValueDatatype="5" unbalanced="0"/>
    <cacheHierarchy uniqueName="[Clean Data].[performed_fact_check]" caption="performed_fact_check" attribute="1" defaultMemberUniqueName="[Clean Data].[performed_fact_check].[All]" allUniqueName="[Clean Data].[performed_fact_check].[All]" dimensionUniqueName="[Clean Data]" displayFolder="" count="0" memberValueDatatype="11" unbalanced="0"/>
    <cacheHierarchy uniqueName="[Clean Data].[fact_check_method_used]" caption="fact_check_method_used" attribute="1" defaultMemberUniqueName="[Clean Data].[fact_check_method_used].[All]" allUniqueName="[Clean Data].[fact_check_method_used].[All]" dimensionUniqueName="[Clean Data]" displayFolder="" count="0" memberValueDatatype="130" unbalanced="0"/>
    <cacheHierarchy uniqueName="[Clean Data].[verification_duration_mins]" caption="verification_duration_mins" attribute="1" defaultMemberUniqueName="[Clean Data].[verification_duration_mins].[All]" allUniqueName="[Clean Data].[verification_duration_mins].[All]" dimensionUniqueName="[Clean Data]" displayFolder="" count="0" memberValueDatatype="5" unbalanced="0"/>
    <cacheHierarchy uniqueName="[Clean Data].[answer_accuracy_percentage]" caption="answer_accuracy_percentage" attribute="1" defaultMemberUniqueName="[Clean Data].[answer_accuracy_percentage].[All]" allUniqueName="[Clean Data].[answer_accuracy_percentage].[All]" dimensionUniqueName="[Clean Data]" displayFolder="" count="0" memberValueDatatype="5" unbalanced="0"/>
    <cacheHierarchy uniqueName="[Clean Data].[trust_calibration_valid]" caption="trust_calibration_valid" attribute="1" defaultMemberUniqueName="[Clean Data].[trust_calibration_valid].[All]" allUniqueName="[Clean Data].[trust_calibration_valid].[All]" dimensionUniqueName="[Clean Data]" displayFolder="" count="0" memberValueDatatype="11" unbalanced="0"/>
    <cacheHierarchy uniqueName="[Clean Data].[user_skepticism_category]" caption="user_skepticism_category" attribute="1" defaultMemberUniqueName="[Clean Data].[user_skepticism_category].[All]" allUniqueName="[Clean Data].[user_skepticism_category].[All]" dimensionUniqueName="[Clean Data]" displayFolder="" count="0" memberValueDatatype="130" unbalanced="0"/>
    <cacheHierarchy uniqueName="[Measures].[Avg Trust]" caption="Avg Trust" measure="1" displayFolder="" measureGroup="Clean Data" count="0" oneField="1">
      <fieldsUsage count="1">
        <fieldUsage x="0"/>
      </fieldsUsage>
    </cacheHierarchy>
    <cacheHierarchy uniqueName="[Measures].[Avg Accuracy]" caption="Avg Accuracy" measure="1" displayFolder="" measureGroup="Clean Data" count="0" oneField="1">
      <fieldsUsage count="1">
        <fieldUsage x="1"/>
      </fieldsUsage>
    </cacheHierarchy>
    <cacheHierarchy uniqueName="[Measures].[FactCheck_False]" caption="FactCheck_False" measure="1" displayFolder="" measureGroup="Clean Data" count="0"/>
    <cacheHierarchy uniqueName="[Measures].[FactCheck_True]" caption="FactCheck_True" measure="1" displayFolder="" measureGroup="Clean Data" count="0"/>
    <cacheHierarchy uniqueName="[Measures].[__XL_Count Table2]" caption="__XL_Count Table2" measure="1" displayFolder="" measureGroup="Clean Data" count="0" hidden="1"/>
    <cacheHierarchy uniqueName="[Measures].[__No measures defined]" caption="__No measures defined" measure="1" displayFolder="" count="0" hidden="1"/>
  </cacheHierarchies>
  <kpis count="0"/>
  <dimensions count="2">
    <dimension name="Clean Data" uniqueName="[Clean Data]" caption="Clean Data"/>
    <dimension measure="1" name="Measures" uniqueName="[Measures]" caption="Measures"/>
  </dimensions>
  <measureGroups count="1">
    <measureGroup name="Clean Data" caption="Clea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65.732466782407" createdVersion="5" refreshedVersion="8" minRefreshableVersion="3" recordCount="0" supportSubquery="1" supportAdvancedDrill="1" xr:uid="{B34B74F4-7A37-417B-B865-47DD510C8F28}">
  <cacheSource type="external" connectionId="1"/>
  <cacheFields count="3">
    <cacheField name="[Measures].[Avg Trust]" caption="Avg Trust" numFmtId="0" hierarchy="23" level="32767"/>
    <cacheField name="[Clean Data].[education_level].[education_level]" caption="education_level" numFmtId="0" hierarchy="9" level="1">
      <sharedItems count="5">
        <s v="Bachelors"/>
        <s v="High School"/>
        <s v="Masters"/>
        <s v="PhD"/>
        <s v="Professional"/>
      </sharedItems>
    </cacheField>
    <cacheField name="[Clean Data].[performed_fact_check].[performed_fact_check]" caption="performed_fact_check" numFmtId="0" hierarchy="17" level="1">
      <sharedItems containsSemiMixedTypes="0" containsNonDate="0" containsString="0"/>
    </cacheField>
  </cacheFields>
  <cacheHierarchies count="29">
    <cacheHierarchy uniqueName="[Clean Data].[ai_model_name]" caption="ai_model_name" attribute="1" defaultMemberUniqueName="[Clean Data].[ai_model_name].[All]" allUniqueName="[Clean Data].[ai_model_name].[All]" dimensionUniqueName="[Clean Data]" displayFolder="" count="0" memberValueDatatype="130" unbalanced="0"/>
    <cacheHierarchy uniqueName="[Clean Data].[query_category]" caption="query_category" attribute="1" defaultMemberUniqueName="[Clean Data].[query_category].[All]" allUniqueName="[Clean Data].[query_category].[All]" dimensionUniqueName="[Clean Data]" displayFolder="" count="0" memberValueDatatype="130" unbalanced="0"/>
    <cacheHierarchy uniqueName="[Clean Data].[ai_confidence_percentage]" caption="ai_confidence_percentage" attribute="1" defaultMemberUniqueName="[Clean Data].[ai_confidence_percentage].[All]" allUniqueName="[Clean Data].[ai_confidence_percentage].[All]" dimensionUniqueName="[Clean Data]" displayFolder="" count="0" memberValueDatatype="5" unbalanced="0"/>
    <cacheHierarchy uniqueName="[Clean Data].[response_character_count]" caption="response_character_count" attribute="1" defaultMemberUniqueName="[Clean Data].[response_character_count].[All]" allUniqueName="[Clean Data].[response_character_count].[All]" dimensionUniqueName="[Clean Data]" displayFolder="" count="0" memberValueDatatype="20" unbalanced="0"/>
    <cacheHierarchy uniqueName="[Clean Data].[has_cited_sources]" caption="has_cited_sources" attribute="1" defaultMemberUniqueName="[Clean Data].[has_cited_sources].[All]" allUniqueName="[Clean Data].[has_cited_sources].[All]" dimensionUniqueName="[Clean Data]" displayFolder="" count="0" memberValueDatatype="11" unbalanced="0"/>
    <cacheHierarchy uniqueName="[Clean Data].[contains_hedging_words]" caption="contains_hedging_words" attribute="1" defaultMemberUniqueName="[Clean Data].[contains_hedging_words].[All]" allUniqueName="[Clean Data].[contains_hedging_words].[All]" dimensionUniqueName="[Clean Data]" displayFolder="" count="0" memberValueDatatype="11" unbalanced="0"/>
    <cacheHierarchy uniqueName="[Clean Data].[includes_disclaimer]" caption="includes_disclaimer" attribute="1" defaultMemberUniqueName="[Clean Data].[includes_disclaimer].[All]" allUniqueName="[Clean Data].[includes_disclaimer].[All]" dimensionUniqueName="[Clean Data]" displayFolder="" count="0" memberValueDatatype="11" unbalanced="0"/>
    <cacheHierarchy uniqueName="[Clean Data].[answer_detail_level]" caption="answer_detail_level" attribute="1" defaultMemberUniqueName="[Clean Data].[answer_detail_level].[All]" allUniqueName="[Clean Data].[answer_detail_level].[All]" dimensionUniqueName="[Clean Data]" displayFolder="" count="0" memberValueDatatype="130" unbalanced="0"/>
    <cacheHierarchy uniqueName="[Clean Data].[respondent_age_bracket]" caption="respondent_age_bracket" attribute="1" defaultMemberUniqueName="[Clean Data].[respondent_age_bracket].[All]" allUniqueName="[Clean Data].[respondent_age_bracket].[All]" dimensionUniqueName="[Clean Data]" displayFolder="" count="0" memberValueDatatype="130" unbalanced="0"/>
    <cacheHierarchy uniqueName="[Clean Data].[education_level]" caption="education_level" attribute="1" defaultMemberUniqueName="[Clean Data].[education_level].[All]" allUniqueName="[Clean Data].[education_level].[All]" dimensionUniqueName="[Clean Data]" displayFolder="" count="2" memberValueDatatype="130" unbalanced="0">
      <fieldsUsage count="2">
        <fieldUsage x="-1"/>
        <fieldUsage x="1"/>
      </fieldsUsage>
    </cacheHierarchy>
    <cacheHierarchy uniqueName="[Clean Data].[digital_literacy_score]" caption="digital_literacy_score" attribute="1" defaultMemberUniqueName="[Clean Data].[digital_literacy_score].[All]" allUniqueName="[Clean Data].[digital_literacy_score].[All]" dimensionUniqueName="[Clean Data]" displayFolder="" count="0" memberValueDatatype="130" unbalanced="0"/>
    <cacheHierarchy uniqueName="[Clean Data].[ai_familiarity_level]" caption="ai_familiarity_level" attribute="1" defaultMemberUniqueName="[Clean Data].[ai_familiarity_level].[All]" allUniqueName="[Clean Data].[ai_familiarity_level].[All]" dimensionUniqueName="[Clean Data]" displayFolder="" count="0" memberValueDatatype="130" unbalanced="0"/>
    <cacheHierarchy uniqueName="[Clean Data].[decision_importance]" caption="decision_importance" attribute="1" defaultMemberUniqueName="[Clean Data].[decision_importance].[All]" allUniqueName="[Clean Data].[decision_importance].[All]" dimensionUniqueName="[Clean Data]" displayFolder="" count="0" memberValueDatatype="130" unbalanced="0"/>
    <cacheHierarchy uniqueName="[Clean Data].[urgency_level]" caption="urgency_level" attribute="1" defaultMemberUniqueName="[Clean Data].[urgency_level].[All]" allUniqueName="[Clean Data].[urgency_level].[All]" dimensionUniqueName="[Clean Data]" displayFolder="" count="0" memberValueDatatype="130" unbalanced="0"/>
    <cacheHierarchy uniqueName="[Clean Data].[belief_alignment_status]" caption="belief_alignment_status" attribute="1" defaultMemberUniqueName="[Clean Data].[belief_alignment_status].[All]" allUniqueName="[Clean Data].[belief_alignment_status].[All]" dimensionUniqueName="[Clean Data]" displayFolder="" count="0" memberValueDatatype="11" unbalanced="0"/>
    <cacheHierarchy uniqueName="[Clean Data].[subject_matter_expertise]" caption="subject_matter_expertise" attribute="1" defaultMemberUniqueName="[Clean Data].[subject_matter_expertise].[All]" allUniqueName="[Clean Data].[subject_matter_expertise].[All]" dimensionUniqueName="[Clean Data]" displayFolder="" count="0" memberValueDatatype="11" unbalanced="0"/>
    <cacheHierarchy uniqueName="[Clean Data].[trust_score_out_of_10]" caption="trust_score_out_of_10" attribute="1" defaultMemberUniqueName="[Clean Data].[trust_score_out_of_10].[All]" allUniqueName="[Clean Data].[trust_score_out_of_10].[All]" dimensionUniqueName="[Clean Data]" displayFolder="" count="0" memberValueDatatype="5" unbalanced="0"/>
    <cacheHierarchy uniqueName="[Clean Data].[performed_fact_check]" caption="performed_fact_check" attribute="1" defaultMemberUniqueName="[Clean Data].[performed_fact_check].[All]" allUniqueName="[Clean Data].[performed_fact_check].[All]" dimensionUniqueName="[Clean Data]" displayFolder="" count="2" memberValueDatatype="11" unbalanced="0">
      <fieldsUsage count="2">
        <fieldUsage x="-1"/>
        <fieldUsage x="2"/>
      </fieldsUsage>
    </cacheHierarchy>
    <cacheHierarchy uniqueName="[Clean Data].[fact_check_method_used]" caption="fact_check_method_used" attribute="1" defaultMemberUniqueName="[Clean Data].[fact_check_method_used].[All]" allUniqueName="[Clean Data].[fact_check_method_used].[All]" dimensionUniqueName="[Clean Data]" displayFolder="" count="0" memberValueDatatype="130" unbalanced="0"/>
    <cacheHierarchy uniqueName="[Clean Data].[verification_duration_mins]" caption="verification_duration_mins" attribute="1" defaultMemberUniqueName="[Clean Data].[verification_duration_mins].[All]" allUniqueName="[Clean Data].[verification_duration_mins].[All]" dimensionUniqueName="[Clean Data]" displayFolder="" count="0" memberValueDatatype="5" unbalanced="0"/>
    <cacheHierarchy uniqueName="[Clean Data].[answer_accuracy_percentage]" caption="answer_accuracy_percentage" attribute="1" defaultMemberUniqueName="[Clean Data].[answer_accuracy_percentage].[All]" allUniqueName="[Clean Data].[answer_accuracy_percentage].[All]" dimensionUniqueName="[Clean Data]" displayFolder="" count="0" memberValueDatatype="5" unbalanced="0"/>
    <cacheHierarchy uniqueName="[Clean Data].[trust_calibration_valid]" caption="trust_calibration_valid" attribute="1" defaultMemberUniqueName="[Clean Data].[trust_calibration_valid].[All]" allUniqueName="[Clean Data].[trust_calibration_valid].[All]" dimensionUniqueName="[Clean Data]" displayFolder="" count="0" memberValueDatatype="11" unbalanced="0"/>
    <cacheHierarchy uniqueName="[Clean Data].[user_skepticism_category]" caption="user_skepticism_category" attribute="1" defaultMemberUniqueName="[Clean Data].[user_skepticism_category].[All]" allUniqueName="[Clean Data].[user_skepticism_category].[All]" dimensionUniqueName="[Clean Data]" displayFolder="" count="0" memberValueDatatype="130" unbalanced="0"/>
    <cacheHierarchy uniqueName="[Measures].[Avg Trust]" caption="Avg Trust" measure="1" displayFolder="" measureGroup="Clean Data" count="0" oneField="1">
      <fieldsUsage count="1">
        <fieldUsage x="0"/>
      </fieldsUsage>
    </cacheHierarchy>
    <cacheHierarchy uniqueName="[Measures].[Avg Accuracy]" caption="Avg Accuracy" measure="1" displayFolder="" measureGroup="Clean Data" count="0"/>
    <cacheHierarchy uniqueName="[Measures].[FactCheck_False]" caption="FactCheck_False" measure="1" displayFolder="" measureGroup="Clean Data" count="0"/>
    <cacheHierarchy uniqueName="[Measures].[FactCheck_True]" caption="FactCheck_True" measure="1" displayFolder="" measureGroup="Clean Data" count="0"/>
    <cacheHierarchy uniqueName="[Measures].[__XL_Count Table2]" caption="__XL_Count Table2" measure="1" displayFolder="" measureGroup="Clean Data" count="0" hidden="1"/>
    <cacheHierarchy uniqueName="[Measures].[__No measures defined]" caption="__No measures defined" measure="1" displayFolder="" count="0" hidden="1"/>
  </cacheHierarchies>
  <kpis count="0"/>
  <dimensions count="2">
    <dimension name="Clean Data" uniqueName="[Clean Data]" caption="Clean Data"/>
    <dimension measure="1" name="Measures" uniqueName="[Measures]" caption="Measures"/>
  </dimensions>
  <measureGroups count="1">
    <measureGroup name="Clean Data" caption="Clea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65.732471296295" createdVersion="5" refreshedVersion="8" minRefreshableVersion="3" recordCount="0" supportSubquery="1" supportAdvancedDrill="1" xr:uid="{151DF23E-8E75-491A-BCDD-38C4B9AF3936}">
  <cacheSource type="external" connectionId="1"/>
  <cacheFields count="3">
    <cacheField name="[Measures].[Avg Trust]" caption="Avg Trust" numFmtId="0" hierarchy="23" level="32767"/>
    <cacheField name="[Clean Data].[performed_fact_check].[performed_fact_check]" caption="performed_fact_check" numFmtId="0" hierarchy="17" level="1">
      <sharedItems count="2">
        <b v="0"/>
        <b v="1"/>
      </sharedItems>
    </cacheField>
    <cacheField name="[Clean Data].[ai_model_name].[ai_model_name]" caption="ai_model_name" numFmtId="0" level="1">
      <sharedItems containsSemiMixedTypes="0" containsNonDate="0" containsString="0"/>
    </cacheField>
  </cacheFields>
  <cacheHierarchies count="29">
    <cacheHierarchy uniqueName="[Clean Data].[ai_model_name]" caption="ai_model_name" attribute="1" defaultMemberUniqueName="[Clean Data].[ai_model_name].[All]" allUniqueName="[Clean Data].[ai_model_name].[All]" dimensionUniqueName="[Clean Data]" displayFolder="" count="2" memberValueDatatype="130" unbalanced="0">
      <fieldsUsage count="2">
        <fieldUsage x="-1"/>
        <fieldUsage x="2"/>
      </fieldsUsage>
    </cacheHierarchy>
    <cacheHierarchy uniqueName="[Clean Data].[query_category]" caption="query_category" attribute="1" defaultMemberUniqueName="[Clean Data].[query_category].[All]" allUniqueName="[Clean Data].[query_category].[All]" dimensionUniqueName="[Clean Data]" displayFolder="" count="0" memberValueDatatype="130" unbalanced="0"/>
    <cacheHierarchy uniqueName="[Clean Data].[ai_confidence_percentage]" caption="ai_confidence_percentage" attribute="1" defaultMemberUniqueName="[Clean Data].[ai_confidence_percentage].[All]" allUniqueName="[Clean Data].[ai_confidence_percentage].[All]" dimensionUniqueName="[Clean Data]" displayFolder="" count="0" memberValueDatatype="5" unbalanced="0"/>
    <cacheHierarchy uniqueName="[Clean Data].[response_character_count]" caption="response_character_count" attribute="1" defaultMemberUniqueName="[Clean Data].[response_character_count].[All]" allUniqueName="[Clean Data].[response_character_count].[All]" dimensionUniqueName="[Clean Data]" displayFolder="" count="0" memberValueDatatype="20" unbalanced="0"/>
    <cacheHierarchy uniqueName="[Clean Data].[has_cited_sources]" caption="has_cited_sources" attribute="1" defaultMemberUniqueName="[Clean Data].[has_cited_sources].[All]" allUniqueName="[Clean Data].[has_cited_sources].[All]" dimensionUniqueName="[Clean Data]" displayFolder="" count="0" memberValueDatatype="11" unbalanced="0"/>
    <cacheHierarchy uniqueName="[Clean Data].[contains_hedging_words]" caption="contains_hedging_words" attribute="1" defaultMemberUniqueName="[Clean Data].[contains_hedging_words].[All]" allUniqueName="[Clean Data].[contains_hedging_words].[All]" dimensionUniqueName="[Clean Data]" displayFolder="" count="0" memberValueDatatype="11" unbalanced="0"/>
    <cacheHierarchy uniqueName="[Clean Data].[includes_disclaimer]" caption="includes_disclaimer" attribute="1" defaultMemberUniqueName="[Clean Data].[includes_disclaimer].[All]" allUniqueName="[Clean Data].[includes_disclaimer].[All]" dimensionUniqueName="[Clean Data]" displayFolder="" count="0" memberValueDatatype="11" unbalanced="0"/>
    <cacheHierarchy uniqueName="[Clean Data].[answer_detail_level]" caption="answer_detail_level" attribute="1" defaultMemberUniqueName="[Clean Data].[answer_detail_level].[All]" allUniqueName="[Clean Data].[answer_detail_level].[All]" dimensionUniqueName="[Clean Data]" displayFolder="" count="0" memberValueDatatype="130" unbalanced="0"/>
    <cacheHierarchy uniqueName="[Clean Data].[respondent_age_bracket]" caption="respondent_age_bracket" attribute="1" defaultMemberUniqueName="[Clean Data].[respondent_age_bracket].[All]" allUniqueName="[Clean Data].[respondent_age_bracket].[All]" dimensionUniqueName="[Clean Data]" displayFolder="" count="0" memberValueDatatype="130" unbalanced="0"/>
    <cacheHierarchy uniqueName="[Clean Data].[education_level]" caption="education_level" attribute="1" defaultMemberUniqueName="[Clean Data].[education_level].[All]" allUniqueName="[Clean Data].[education_level].[All]" dimensionUniqueName="[Clean Data]" displayFolder="" count="0" memberValueDatatype="130" unbalanced="0"/>
    <cacheHierarchy uniqueName="[Clean Data].[digital_literacy_score]" caption="digital_literacy_score" attribute="1" defaultMemberUniqueName="[Clean Data].[digital_literacy_score].[All]" allUniqueName="[Clean Data].[digital_literacy_score].[All]" dimensionUniqueName="[Clean Data]" displayFolder="" count="0" memberValueDatatype="130" unbalanced="0"/>
    <cacheHierarchy uniqueName="[Clean Data].[ai_familiarity_level]" caption="ai_familiarity_level" attribute="1" defaultMemberUniqueName="[Clean Data].[ai_familiarity_level].[All]" allUniqueName="[Clean Data].[ai_familiarity_level].[All]" dimensionUniqueName="[Clean Data]" displayFolder="" count="0" memberValueDatatype="130" unbalanced="0"/>
    <cacheHierarchy uniqueName="[Clean Data].[decision_importance]" caption="decision_importance" attribute="1" defaultMemberUniqueName="[Clean Data].[decision_importance].[All]" allUniqueName="[Clean Data].[decision_importance].[All]" dimensionUniqueName="[Clean Data]" displayFolder="" count="0" memberValueDatatype="130" unbalanced="0"/>
    <cacheHierarchy uniqueName="[Clean Data].[urgency_level]" caption="urgency_level" attribute="1" defaultMemberUniqueName="[Clean Data].[urgency_level].[All]" allUniqueName="[Clean Data].[urgency_level].[All]" dimensionUniqueName="[Clean Data]" displayFolder="" count="0" memberValueDatatype="130" unbalanced="0"/>
    <cacheHierarchy uniqueName="[Clean Data].[belief_alignment_status]" caption="belief_alignment_status" attribute="1" defaultMemberUniqueName="[Clean Data].[belief_alignment_status].[All]" allUniqueName="[Clean Data].[belief_alignment_status].[All]" dimensionUniqueName="[Clean Data]" displayFolder="" count="0" memberValueDatatype="11" unbalanced="0"/>
    <cacheHierarchy uniqueName="[Clean Data].[subject_matter_expertise]" caption="subject_matter_expertise" attribute="1" defaultMemberUniqueName="[Clean Data].[subject_matter_expertise].[All]" allUniqueName="[Clean Data].[subject_matter_expertise].[All]" dimensionUniqueName="[Clean Data]" displayFolder="" count="0" memberValueDatatype="11" unbalanced="0"/>
    <cacheHierarchy uniqueName="[Clean Data].[trust_score_out_of_10]" caption="trust_score_out_of_10" attribute="1" defaultMemberUniqueName="[Clean Data].[trust_score_out_of_10].[All]" allUniqueName="[Clean Data].[trust_score_out_of_10].[All]" dimensionUniqueName="[Clean Data]" displayFolder="" count="0" memberValueDatatype="5" unbalanced="0"/>
    <cacheHierarchy uniqueName="[Clean Data].[performed_fact_check]" caption="performed_fact_check" attribute="1" defaultMemberUniqueName="[Clean Data].[performed_fact_check].[All]" allUniqueName="[Clean Data].[performed_fact_check].[All]" dimensionUniqueName="[Clean Data]" displayFolder="" count="2" memberValueDatatype="11" unbalanced="0">
      <fieldsUsage count="2">
        <fieldUsage x="-1"/>
        <fieldUsage x="1"/>
      </fieldsUsage>
    </cacheHierarchy>
    <cacheHierarchy uniqueName="[Clean Data].[fact_check_method_used]" caption="fact_check_method_used" attribute="1" defaultMemberUniqueName="[Clean Data].[fact_check_method_used].[All]" allUniqueName="[Clean Data].[fact_check_method_used].[All]" dimensionUniqueName="[Clean Data]" displayFolder="" count="0" memberValueDatatype="130" unbalanced="0"/>
    <cacheHierarchy uniqueName="[Clean Data].[verification_duration_mins]" caption="verification_duration_mins" attribute="1" defaultMemberUniqueName="[Clean Data].[verification_duration_mins].[All]" allUniqueName="[Clean Data].[verification_duration_mins].[All]" dimensionUniqueName="[Clean Data]" displayFolder="" count="0" memberValueDatatype="5" unbalanced="0"/>
    <cacheHierarchy uniqueName="[Clean Data].[answer_accuracy_percentage]" caption="answer_accuracy_percentage" attribute="1" defaultMemberUniqueName="[Clean Data].[answer_accuracy_percentage].[All]" allUniqueName="[Clean Data].[answer_accuracy_percentage].[All]" dimensionUniqueName="[Clean Data]" displayFolder="" count="0" memberValueDatatype="5" unbalanced="0"/>
    <cacheHierarchy uniqueName="[Clean Data].[trust_calibration_valid]" caption="trust_calibration_valid" attribute="1" defaultMemberUniqueName="[Clean Data].[trust_calibration_valid].[All]" allUniqueName="[Clean Data].[trust_calibration_valid].[All]" dimensionUniqueName="[Clean Data]" displayFolder="" count="0" memberValueDatatype="11" unbalanced="0"/>
    <cacheHierarchy uniqueName="[Clean Data].[user_skepticism_category]" caption="user_skepticism_category" attribute="1" defaultMemberUniqueName="[Clean Data].[user_skepticism_category].[All]" allUniqueName="[Clean Data].[user_skepticism_category].[All]" dimensionUniqueName="[Clean Data]" displayFolder="" count="0" memberValueDatatype="130" unbalanced="0"/>
    <cacheHierarchy uniqueName="[Measures].[Avg Trust]" caption="Avg Trust" measure="1" displayFolder="" measureGroup="Clean Data" count="0" oneField="1">
      <fieldsUsage count="1">
        <fieldUsage x="0"/>
      </fieldsUsage>
    </cacheHierarchy>
    <cacheHierarchy uniqueName="[Measures].[Avg Accuracy]" caption="Avg Accuracy" measure="1" displayFolder="" measureGroup="Clean Data" count="0"/>
    <cacheHierarchy uniqueName="[Measures].[FactCheck_False]" caption="FactCheck_False" measure="1" displayFolder="" measureGroup="Clean Data" count="0"/>
    <cacheHierarchy uniqueName="[Measures].[FactCheck_True]" caption="FactCheck_True" measure="1" displayFolder="" measureGroup="Clean Data" count="0"/>
    <cacheHierarchy uniqueName="[Measures].[__XL_Count Table2]" caption="__XL_Count Table2" measure="1" displayFolder="" measureGroup="Clean Data" count="0" hidden="1"/>
    <cacheHierarchy uniqueName="[Measures].[__No measures defined]" caption="__No measures defined" measure="1" displayFolder="" count="0" hidden="1"/>
  </cacheHierarchies>
  <kpis count="0"/>
  <dimensions count="2">
    <dimension name="Clean Data" uniqueName="[Clean Data]" caption="Clean Data"/>
    <dimension measure="1" name="Measures" uniqueName="[Measures]" caption="Measures"/>
  </dimensions>
  <measureGroups count="1">
    <measureGroup name="Clean Data" caption="Clean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65.732464699075" createdVersion="3" refreshedVersion="8" minRefreshableVersion="3" recordCount="0" supportSubquery="1" supportAdvancedDrill="1" xr:uid="{AE0A2BF0-3680-464B-AD10-C4CE0DF225B8}">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Clean Data].[ai_model_name]" caption="ai_model_name" attribute="1" defaultMemberUniqueName="[Clean Data].[ai_model_name].[All]" allUniqueName="[Clean Data].[ai_model_name].[All]" dimensionUniqueName="[Clean Data]" displayFolder="" count="0" memberValueDatatype="130" unbalanced="0"/>
    <cacheHierarchy uniqueName="[Clean Data].[query_category]" caption="query_category" attribute="1" defaultMemberUniqueName="[Clean Data].[query_category].[All]" allUniqueName="[Clean Data].[query_category].[All]" dimensionUniqueName="[Clean Data]" displayFolder="" count="0" memberValueDatatype="130" unbalanced="0"/>
    <cacheHierarchy uniqueName="[Clean Data].[ai_confidence_percentage]" caption="ai_confidence_percentage" attribute="1" defaultMemberUniqueName="[Clean Data].[ai_confidence_percentage].[All]" allUniqueName="[Clean Data].[ai_confidence_percentage].[All]" dimensionUniqueName="[Clean Data]" displayFolder="" count="0" memberValueDatatype="5" unbalanced="0"/>
    <cacheHierarchy uniqueName="[Clean Data].[response_character_count]" caption="response_character_count" attribute="1" defaultMemberUniqueName="[Clean Data].[response_character_count].[All]" allUniqueName="[Clean Data].[response_character_count].[All]" dimensionUniqueName="[Clean Data]" displayFolder="" count="0" memberValueDatatype="20" unbalanced="0"/>
    <cacheHierarchy uniqueName="[Clean Data].[has_cited_sources]" caption="has_cited_sources" attribute="1" defaultMemberUniqueName="[Clean Data].[has_cited_sources].[All]" allUniqueName="[Clean Data].[has_cited_sources].[All]" dimensionUniqueName="[Clean Data]" displayFolder="" count="0" memberValueDatatype="11" unbalanced="0"/>
    <cacheHierarchy uniqueName="[Clean Data].[contains_hedging_words]" caption="contains_hedging_words" attribute="1" defaultMemberUniqueName="[Clean Data].[contains_hedging_words].[All]" allUniqueName="[Clean Data].[contains_hedging_words].[All]" dimensionUniqueName="[Clean Data]" displayFolder="" count="0" memberValueDatatype="11" unbalanced="0"/>
    <cacheHierarchy uniqueName="[Clean Data].[includes_disclaimer]" caption="includes_disclaimer" attribute="1" defaultMemberUniqueName="[Clean Data].[includes_disclaimer].[All]" allUniqueName="[Clean Data].[includes_disclaimer].[All]" dimensionUniqueName="[Clean Data]" displayFolder="" count="0" memberValueDatatype="11" unbalanced="0"/>
    <cacheHierarchy uniqueName="[Clean Data].[answer_detail_level]" caption="answer_detail_level" attribute="1" defaultMemberUniqueName="[Clean Data].[answer_detail_level].[All]" allUniqueName="[Clean Data].[answer_detail_level].[All]" dimensionUniqueName="[Clean Data]" displayFolder="" count="0" memberValueDatatype="130" unbalanced="0"/>
    <cacheHierarchy uniqueName="[Clean Data].[respondent_age_bracket]" caption="respondent_age_bracket" attribute="1" defaultMemberUniqueName="[Clean Data].[respondent_age_bracket].[All]" allUniqueName="[Clean Data].[respondent_age_bracket].[All]" dimensionUniqueName="[Clean Data]" displayFolder="" count="0" memberValueDatatype="130" unbalanced="0"/>
    <cacheHierarchy uniqueName="[Clean Data].[education_level]" caption="education_level" attribute="1" defaultMemberUniqueName="[Clean Data].[education_level].[All]" allUniqueName="[Clean Data].[education_level].[All]" dimensionUniqueName="[Clean Data]" displayFolder="" count="2" memberValueDatatype="130" unbalanced="0"/>
    <cacheHierarchy uniqueName="[Clean Data].[digital_literacy_score]" caption="digital_literacy_score" attribute="1" defaultMemberUniqueName="[Clean Data].[digital_literacy_score].[All]" allUniqueName="[Clean Data].[digital_literacy_score].[All]" dimensionUniqueName="[Clean Data]" displayFolder="" count="0" memberValueDatatype="130" unbalanced="0"/>
    <cacheHierarchy uniqueName="[Clean Data].[ai_familiarity_level]" caption="ai_familiarity_level" attribute="1" defaultMemberUniqueName="[Clean Data].[ai_familiarity_level].[All]" allUniqueName="[Clean Data].[ai_familiarity_level].[All]" dimensionUniqueName="[Clean Data]" displayFolder="" count="0" memberValueDatatype="130" unbalanced="0"/>
    <cacheHierarchy uniqueName="[Clean Data].[decision_importance]" caption="decision_importance" attribute="1" defaultMemberUniqueName="[Clean Data].[decision_importance].[All]" allUniqueName="[Clean Data].[decision_importance].[All]" dimensionUniqueName="[Clean Data]" displayFolder="" count="0" memberValueDatatype="130" unbalanced="0"/>
    <cacheHierarchy uniqueName="[Clean Data].[urgency_level]" caption="urgency_level" attribute="1" defaultMemberUniqueName="[Clean Data].[urgency_level].[All]" allUniqueName="[Clean Data].[urgency_level].[All]" dimensionUniqueName="[Clean Data]" displayFolder="" count="0" memberValueDatatype="130" unbalanced="0"/>
    <cacheHierarchy uniqueName="[Clean Data].[belief_alignment_status]" caption="belief_alignment_status" attribute="1" defaultMemberUniqueName="[Clean Data].[belief_alignment_status].[All]" allUniqueName="[Clean Data].[belief_alignment_status].[All]" dimensionUniqueName="[Clean Data]" displayFolder="" count="0" memberValueDatatype="11" unbalanced="0"/>
    <cacheHierarchy uniqueName="[Clean Data].[subject_matter_expertise]" caption="subject_matter_expertise" attribute="1" defaultMemberUniqueName="[Clean Data].[subject_matter_expertise].[All]" allUniqueName="[Clean Data].[subject_matter_expertise].[All]" dimensionUniqueName="[Clean Data]" displayFolder="" count="0" memberValueDatatype="11" unbalanced="0"/>
    <cacheHierarchy uniqueName="[Clean Data].[trust_score_out_of_10]" caption="trust_score_out_of_10" attribute="1" defaultMemberUniqueName="[Clean Data].[trust_score_out_of_10].[All]" allUniqueName="[Clean Data].[trust_score_out_of_10].[All]" dimensionUniqueName="[Clean Data]" displayFolder="" count="0" memberValueDatatype="5" unbalanced="0"/>
    <cacheHierarchy uniqueName="[Clean Data].[performed_fact_check]" caption="performed_fact_check" attribute="1" defaultMemberUniqueName="[Clean Data].[performed_fact_check].[All]" allUniqueName="[Clean Data].[performed_fact_check].[All]" dimensionUniqueName="[Clean Data]" displayFolder="" count="2" memberValueDatatype="11" unbalanced="0"/>
    <cacheHierarchy uniqueName="[Clean Data].[fact_check_method_used]" caption="fact_check_method_used" attribute="1" defaultMemberUniqueName="[Clean Data].[fact_check_method_used].[All]" allUniqueName="[Clean Data].[fact_check_method_used].[All]" dimensionUniqueName="[Clean Data]" displayFolder="" count="0" memberValueDatatype="130" unbalanced="0"/>
    <cacheHierarchy uniqueName="[Clean Data].[verification_duration_mins]" caption="verification_duration_mins" attribute="1" defaultMemberUniqueName="[Clean Data].[verification_duration_mins].[All]" allUniqueName="[Clean Data].[verification_duration_mins].[All]" dimensionUniqueName="[Clean Data]" displayFolder="" count="0" memberValueDatatype="5" unbalanced="0"/>
    <cacheHierarchy uniqueName="[Clean Data].[answer_accuracy_percentage]" caption="answer_accuracy_percentage" attribute="1" defaultMemberUniqueName="[Clean Data].[answer_accuracy_percentage].[All]" allUniqueName="[Clean Data].[answer_accuracy_percentage].[All]" dimensionUniqueName="[Clean Data]" displayFolder="" count="0" memberValueDatatype="5" unbalanced="0"/>
    <cacheHierarchy uniqueName="[Clean Data].[trust_calibration_valid]" caption="trust_calibration_valid" attribute="1" defaultMemberUniqueName="[Clean Data].[trust_calibration_valid].[All]" allUniqueName="[Clean Data].[trust_calibration_valid].[All]" dimensionUniqueName="[Clean Data]" displayFolder="" count="0" memberValueDatatype="11" unbalanced="0"/>
    <cacheHierarchy uniqueName="[Clean Data].[user_skepticism_category]" caption="user_skepticism_category" attribute="1" defaultMemberUniqueName="[Clean Data].[user_skepticism_category].[All]" allUniqueName="[Clean Data].[user_skepticism_category].[All]" dimensionUniqueName="[Clean Data]" displayFolder="" count="0" memberValueDatatype="130" unbalanced="0"/>
    <cacheHierarchy uniqueName="[Measures].[Avg Trust]" caption="Avg Trust" measure="1" displayFolder="" measureGroup="Clean Data" count="0"/>
    <cacheHierarchy uniqueName="[Measures].[Avg Accuracy]" caption="Avg Accuracy" measure="1" displayFolder="" measureGroup="Clean Data" count="0"/>
    <cacheHierarchy uniqueName="[Measures].[FactCheck_False]" caption="FactCheck_False" measure="1" displayFolder="" measureGroup="Clean Data" count="0"/>
    <cacheHierarchy uniqueName="[Measures].[FactCheck_True]" caption="FactCheck_True" measure="1" displayFolder="" measureGroup="Clean Data" count="0"/>
    <cacheHierarchy uniqueName="[Measures].[__XL_Count Table2]" caption="__XL_Count Table2" measure="1" displayFolder="" measureGroup="Clean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80699530"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mal" refreshedDate="46065.73246979167" createdVersion="3" refreshedVersion="8" minRefreshableVersion="3" recordCount="0" supportSubquery="1" supportAdvancedDrill="1" xr:uid="{3A807194-9FB3-4393-80FA-F9BE0A425CB3}">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Clean Data].[ai_model_name]" caption="ai_model_name" attribute="1" defaultMemberUniqueName="[Clean Data].[ai_model_name].[All]" allUniqueName="[Clean Data].[ai_model_name].[All]" dimensionUniqueName="[Clean Data]" displayFolder="" count="2" memberValueDatatype="130" unbalanced="0"/>
    <cacheHierarchy uniqueName="[Clean Data].[query_category]" caption="query_category" attribute="1" defaultMemberUniqueName="[Clean Data].[query_category].[All]" allUniqueName="[Clean Data].[query_category].[All]" dimensionUniqueName="[Clean Data]" displayFolder="" count="0" memberValueDatatype="130" unbalanced="0"/>
    <cacheHierarchy uniqueName="[Clean Data].[ai_confidence_percentage]" caption="ai_confidence_percentage" attribute="1" defaultMemberUniqueName="[Clean Data].[ai_confidence_percentage].[All]" allUniqueName="[Clean Data].[ai_confidence_percentage].[All]" dimensionUniqueName="[Clean Data]" displayFolder="" count="0" memberValueDatatype="5" unbalanced="0"/>
    <cacheHierarchy uniqueName="[Clean Data].[response_character_count]" caption="response_character_count" attribute="1" defaultMemberUniqueName="[Clean Data].[response_character_count].[All]" allUniqueName="[Clean Data].[response_character_count].[All]" dimensionUniqueName="[Clean Data]" displayFolder="" count="0" memberValueDatatype="20" unbalanced="0"/>
    <cacheHierarchy uniqueName="[Clean Data].[has_cited_sources]" caption="has_cited_sources" attribute="1" defaultMemberUniqueName="[Clean Data].[has_cited_sources].[All]" allUniqueName="[Clean Data].[has_cited_sources].[All]" dimensionUniqueName="[Clean Data]" displayFolder="" count="0" memberValueDatatype="11" unbalanced="0"/>
    <cacheHierarchy uniqueName="[Clean Data].[contains_hedging_words]" caption="contains_hedging_words" attribute="1" defaultMemberUniqueName="[Clean Data].[contains_hedging_words].[All]" allUniqueName="[Clean Data].[contains_hedging_words].[All]" dimensionUniqueName="[Clean Data]" displayFolder="" count="0" memberValueDatatype="11" unbalanced="0"/>
    <cacheHierarchy uniqueName="[Clean Data].[includes_disclaimer]" caption="includes_disclaimer" attribute="1" defaultMemberUniqueName="[Clean Data].[includes_disclaimer].[All]" allUniqueName="[Clean Data].[includes_disclaimer].[All]" dimensionUniqueName="[Clean Data]" displayFolder="" count="0" memberValueDatatype="11" unbalanced="0"/>
    <cacheHierarchy uniqueName="[Clean Data].[answer_detail_level]" caption="answer_detail_level" attribute="1" defaultMemberUniqueName="[Clean Data].[answer_detail_level].[All]" allUniqueName="[Clean Data].[answer_detail_level].[All]" dimensionUniqueName="[Clean Data]" displayFolder="" count="0" memberValueDatatype="130" unbalanced="0"/>
    <cacheHierarchy uniqueName="[Clean Data].[respondent_age_bracket]" caption="respondent_age_bracket" attribute="1" defaultMemberUniqueName="[Clean Data].[respondent_age_bracket].[All]" allUniqueName="[Clean Data].[respondent_age_bracket].[All]" dimensionUniqueName="[Clean Data]" displayFolder="" count="0" memberValueDatatype="130" unbalanced="0"/>
    <cacheHierarchy uniqueName="[Clean Data].[education_level]" caption="education_level" attribute="1" defaultMemberUniqueName="[Clean Data].[education_level].[All]" allUniqueName="[Clean Data].[education_level].[All]" dimensionUniqueName="[Clean Data]" displayFolder="" count="0" memberValueDatatype="130" unbalanced="0"/>
    <cacheHierarchy uniqueName="[Clean Data].[digital_literacy_score]" caption="digital_literacy_score" attribute="1" defaultMemberUniqueName="[Clean Data].[digital_literacy_score].[All]" allUniqueName="[Clean Data].[digital_literacy_score].[All]" dimensionUniqueName="[Clean Data]" displayFolder="" count="0" memberValueDatatype="130" unbalanced="0"/>
    <cacheHierarchy uniqueName="[Clean Data].[ai_familiarity_level]" caption="ai_familiarity_level" attribute="1" defaultMemberUniqueName="[Clean Data].[ai_familiarity_level].[All]" allUniqueName="[Clean Data].[ai_familiarity_level].[All]" dimensionUniqueName="[Clean Data]" displayFolder="" count="0" memberValueDatatype="130" unbalanced="0"/>
    <cacheHierarchy uniqueName="[Clean Data].[decision_importance]" caption="decision_importance" attribute="1" defaultMemberUniqueName="[Clean Data].[decision_importance].[All]" allUniqueName="[Clean Data].[decision_importance].[All]" dimensionUniqueName="[Clean Data]" displayFolder="" count="0" memberValueDatatype="130" unbalanced="0"/>
    <cacheHierarchy uniqueName="[Clean Data].[urgency_level]" caption="urgency_level" attribute="1" defaultMemberUniqueName="[Clean Data].[urgency_level].[All]" allUniqueName="[Clean Data].[urgency_level].[All]" dimensionUniqueName="[Clean Data]" displayFolder="" count="0" memberValueDatatype="130" unbalanced="0"/>
    <cacheHierarchy uniqueName="[Clean Data].[belief_alignment_status]" caption="belief_alignment_status" attribute="1" defaultMemberUniqueName="[Clean Data].[belief_alignment_status].[All]" allUniqueName="[Clean Data].[belief_alignment_status].[All]" dimensionUniqueName="[Clean Data]" displayFolder="" count="0" memberValueDatatype="11" unbalanced="0"/>
    <cacheHierarchy uniqueName="[Clean Data].[subject_matter_expertise]" caption="subject_matter_expertise" attribute="1" defaultMemberUniqueName="[Clean Data].[subject_matter_expertise].[All]" allUniqueName="[Clean Data].[subject_matter_expertise].[All]" dimensionUniqueName="[Clean Data]" displayFolder="" count="0" memberValueDatatype="11" unbalanced="0"/>
    <cacheHierarchy uniqueName="[Clean Data].[trust_score_out_of_10]" caption="trust_score_out_of_10" attribute="1" defaultMemberUniqueName="[Clean Data].[trust_score_out_of_10].[All]" allUniqueName="[Clean Data].[trust_score_out_of_10].[All]" dimensionUniqueName="[Clean Data]" displayFolder="" count="0" memberValueDatatype="5" unbalanced="0"/>
    <cacheHierarchy uniqueName="[Clean Data].[performed_fact_check]" caption="performed_fact_check" attribute="1" defaultMemberUniqueName="[Clean Data].[performed_fact_check].[All]" allUniqueName="[Clean Data].[performed_fact_check].[All]" dimensionUniqueName="[Clean Data]" displayFolder="" count="0" memberValueDatatype="11" unbalanced="0"/>
    <cacheHierarchy uniqueName="[Clean Data].[fact_check_method_used]" caption="fact_check_method_used" attribute="1" defaultMemberUniqueName="[Clean Data].[fact_check_method_used].[All]" allUniqueName="[Clean Data].[fact_check_method_used].[All]" dimensionUniqueName="[Clean Data]" displayFolder="" count="0" memberValueDatatype="130" unbalanced="0"/>
    <cacheHierarchy uniqueName="[Clean Data].[verification_duration_mins]" caption="verification_duration_mins" attribute="1" defaultMemberUniqueName="[Clean Data].[verification_duration_mins].[All]" allUniqueName="[Clean Data].[verification_duration_mins].[All]" dimensionUniqueName="[Clean Data]" displayFolder="" count="0" memberValueDatatype="5" unbalanced="0"/>
    <cacheHierarchy uniqueName="[Clean Data].[answer_accuracy_percentage]" caption="answer_accuracy_percentage" attribute="1" defaultMemberUniqueName="[Clean Data].[answer_accuracy_percentage].[All]" allUniqueName="[Clean Data].[answer_accuracy_percentage].[All]" dimensionUniqueName="[Clean Data]" displayFolder="" count="0" memberValueDatatype="5" unbalanced="0"/>
    <cacheHierarchy uniqueName="[Clean Data].[trust_calibration_valid]" caption="trust_calibration_valid" attribute="1" defaultMemberUniqueName="[Clean Data].[trust_calibration_valid].[All]" allUniqueName="[Clean Data].[trust_calibration_valid].[All]" dimensionUniqueName="[Clean Data]" displayFolder="" count="0" memberValueDatatype="11" unbalanced="0"/>
    <cacheHierarchy uniqueName="[Clean Data].[user_skepticism_category]" caption="user_skepticism_category" attribute="1" defaultMemberUniqueName="[Clean Data].[user_skepticism_category].[All]" allUniqueName="[Clean Data].[user_skepticism_category].[All]" dimensionUniqueName="[Clean Data]" displayFolder="" count="0" memberValueDatatype="130" unbalanced="0"/>
    <cacheHierarchy uniqueName="[Measures].[Avg Trust]" caption="Avg Trust" measure="1" displayFolder="" measureGroup="Clean Data" count="0"/>
    <cacheHierarchy uniqueName="[Measures].[Avg Accuracy]" caption="Avg Accuracy" measure="1" displayFolder="" measureGroup="Clean Data" count="0"/>
    <cacheHierarchy uniqueName="[Measures].[FactCheck_False]" caption="FactCheck_False" measure="1" displayFolder="" measureGroup="Clean Data" count="0"/>
    <cacheHierarchy uniqueName="[Measures].[FactCheck_True]" caption="FactCheck_True" measure="1" displayFolder="" measureGroup="Clean Data" count="0"/>
    <cacheHierarchy uniqueName="[Measures].[__XL_Count Table2]" caption="__XL_Count Table2" measure="1" displayFolder="" measureGroup="Clean 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56684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0AF116-0163-42B1-95F6-7646BC950ADE}" name="PivotTable4" cacheId="74" applyNumberFormats="0" applyBorderFormats="0" applyFontFormats="0" applyPatternFormats="0" applyAlignmentFormats="0" applyWidthHeightFormats="1" dataCaption="Values" tag="071e6b22-4906-45d5-bc07-5e586891455f" updatedVersion="8" minRefreshableVersion="3" useAutoFormatting="1" itemPrintTitles="1" createdVersion="5" indent="0" outline="1" outlineData="1" multipleFieldFilters="0" chartFormat="11">
  <location ref="B16:C1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8AB60B-04D5-420C-BDE1-994E2E2B1B17}" name="PivotTable2" cacheId="70" applyNumberFormats="0" applyBorderFormats="0" applyFontFormats="0" applyPatternFormats="0" applyAlignmentFormats="0" applyWidthHeightFormats="1" dataCaption="Values" tag="f5c70e95-700c-478a-9b2b-a2572a985427" updatedVersion="8" minRefreshableVersion="3" useAutoFormatting="1" itemPrintTitles="1" createdVersion="5" indent="0" outline="1" outlineData="1" multipleFieldFilters="0" chartFormat="27">
  <location ref="H9:I15" firstHeaderRow="1" firstDataRow="1" firstDataCol="1"/>
  <pivotFields count="3">
    <pivotField dataField="1" subtotalTop="0" showAll="0" defaultSubtotal="0"/>
    <pivotField axis="axisRow" allDrilled="1" subtotalTop="0" showAll="0" defaultSubtotal="0" defaultAttributeDrillState="1">
      <items count="5">
        <item x="1"/>
        <item x="0"/>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E965E-8BD9-4EBB-9637-BF99B4C85650}" name="PivotTable1" cacheId="66" applyNumberFormats="0" applyBorderFormats="0" applyFontFormats="0" applyPatternFormats="0" applyAlignmentFormats="0" applyWidthHeightFormats="1" dataCaption="Values" tag="6ff1cfde-c6fc-40ed-a1fe-107c86e67e32" updatedVersion="8" minRefreshableVersion="3" useAutoFormatting="1" itemPrintTitles="1" createdVersion="5" indent="0" outline="1" outlineData="1" multipleFieldFilters="0" chartFormat="11">
  <location ref="B3:D1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2"/>
  </colFields>
  <colItems count="2">
    <i>
      <x/>
    </i>
    <i i="1">
      <x v="1"/>
    </i>
  </colItems>
  <dataFields count="2">
    <dataField fld="0" subtotal="count" baseField="0" baseItem="0"/>
    <dataField fld="1"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model_name" xr10:uid="{9CE25863-C37A-4504-A14F-2A4CE3E4CB66}" sourceName="[Clean Data].[ai_model_name]">
  <pivotTables>
    <pivotTable tabId="7" name="PivotTable4"/>
  </pivotTables>
  <data>
    <olap pivotCacheId="1995668481">
      <levels count="2">
        <level uniqueName="[Clean Data].[ai_model_name].[(All)]" sourceCaption="(All)" count="0"/>
        <level uniqueName="[Clean Data].[ai_model_name].[ai_model_name]" sourceCaption="ai_model_name" count="6">
          <ranges>
            <range startItem="0">
              <i n="[Clean Data].[ai_model_name].&amp;[ChatGPT-3.5]" c="ChatGPT-3.5"/>
              <i n="[Clean Data].[ai_model_name].&amp;[Claude]" c="Claude"/>
              <i n="[Clean Data].[ai_model_name].&amp;[Gemini]" c="Gemini"/>
              <i n="[Clean Data].[ai_model_name].&amp;[GPT-4]" c="GPT-4"/>
              <i n="[Clean Data].[ai_model_name].&amp;[Llama]" c="Llama"/>
              <i n="[Clean Data].[ai_model_name].&amp;[Mistral]" c="Mistral"/>
            </range>
          </ranges>
        </level>
      </levels>
      <selections count="1">
        <selection n="[Clean Data].[ai_model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771FEDE2-BD21-4F1E-9AE9-511D51A2A8C2}" sourceName="[Clean Data].[education_level]">
  <pivotTables>
    <pivotTable tabId="7" name="PivotTable2"/>
  </pivotTables>
  <data>
    <olap pivotCacheId="1080699530">
      <levels count="2">
        <level uniqueName="[Clean Data].[education_level].[(All)]" sourceCaption="(All)" count="0"/>
        <level uniqueName="[Clean Data].[education_level].[education_level]" sourceCaption="education_level" count="5">
          <ranges>
            <range startItem="0">
              <i n="[Clean Data].[education_level].&amp;[Bachelors]" c="Bachelors"/>
              <i n="[Clean Data].[education_level].&amp;[High School]" c="High School"/>
              <i n="[Clean Data].[education_level].&amp;[Masters]" c="Masters"/>
              <i n="[Clean Data].[education_level].&amp;[PhD]" c="PhD"/>
              <i n="[Clean Data].[education_level].&amp;[Professional]" c="Professional"/>
            </range>
          </ranges>
        </level>
      </levels>
      <selections count="1">
        <selection n="[Clean Data].[education_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ed_fact_check" xr10:uid="{8918DBCC-6478-4656-BFE6-78CE9148CE91}" sourceName="[Clean Data].[performed_fact_check]">
  <pivotTables>
    <pivotTable tabId="7" name="PivotTable2"/>
  </pivotTables>
  <data>
    <olap pivotCacheId="1080699530">
      <levels count="2">
        <level uniqueName="[Clean Data].[performed_fact_check].[(All)]" sourceCaption="(All)" count="0"/>
        <level uniqueName="[Clean Data].[performed_fact_check].[performed_fact_check]" sourceCaption="performed_fact_check" count="2">
          <ranges>
            <range startItem="0">
              <i n="[Clean Data].[performed_fact_check].&amp;[False]" c="FALSE"/>
              <i n="[Clean Data].[performed_fact_check].&amp;[True]" c="TRUE"/>
            </range>
          </ranges>
        </level>
      </levels>
      <selections count="1">
        <selection n="[Clean Data].[performed_fact_chec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_model_name" xr10:uid="{99A306FF-2328-4DC4-A433-655A3770BED9}" cache="Slicer_ai_model_name" caption="ai_model_name" level="1" style="SlicerStyleLight3" rowHeight="241300"/>
  <slicer name="education_level" xr10:uid="{6B8D1432-F0DD-4D77-ADDB-BEDA76BA6AFE}" cache="Slicer_education_level" caption="education_level" level="1" style="SlicerStyleLight3" rowHeight="241300"/>
  <slicer name="performed_fact_check" xr10:uid="{BE33790B-FF8F-4D73-A143-33DFC6519400}" cache="Slicer_performed_fact_check" caption="performed_fact_check" level="1"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_model_name 1" xr10:uid="{465EC398-214A-46DF-AB13-42907937EA52}" cache="Slicer_ai_model_name" caption="AI Models " level="1" style="SlicerStyleLight6" rowHeight="241300"/>
  <slicer name="education_level 1" xr10:uid="{F8F2D5A3-A95A-43D2-9B51-38351D00F9F6}" cache="Slicer_education_level" caption="Education level" level="1" style="SlicerStyleDark4" rowHeight="241300"/>
  <slicer name="performed_fact_check 1" xr10:uid="{8A8EB3C3-3901-4201-A3B9-73718894D9EB}" cache="Slicer_performed_fact_check" caption="Performed fact check"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D6A7E2-8D37-4FEF-BC4C-46362C3C32C5}" name="Table2" displayName="Table2" ref="A1:W1001" totalsRowShown="0" headerRowDxfId="2" headerRowBorderDxfId="1" tableBorderDxfId="0">
  <autoFilter ref="A1:W1001" xr:uid="{68D6A7E2-8D37-4FEF-BC4C-46362C3C32C5}"/>
  <tableColumns count="23">
    <tableColumn id="1" xr3:uid="{2D574C54-8B5E-4DB7-9B81-1A50A89AB8F7}" name="ai_model_name"/>
    <tableColumn id="2" xr3:uid="{D98B7F2F-9DEB-4D96-9488-21EFC766934F}" name="query_category"/>
    <tableColumn id="3" xr3:uid="{7311075F-B803-4035-A97C-55ADBCBBA11E}" name="ai_confidence_percentage"/>
    <tableColumn id="4" xr3:uid="{C946685E-7CA4-4166-AC14-055002BF7B51}" name="response_character_count"/>
    <tableColumn id="5" xr3:uid="{A5312675-C4FE-4FDD-9C3C-735CA75DC7EF}" name="has_cited_sources"/>
    <tableColumn id="6" xr3:uid="{6528C703-F0E3-4AD3-A5D7-6981CA21AC10}" name="contains_hedging_words"/>
    <tableColumn id="7" xr3:uid="{9AE23022-957E-461E-AF1E-1CDACBECCE47}" name="includes_disclaimer"/>
    <tableColumn id="8" xr3:uid="{46FB5757-5F91-45D6-BD53-DE69F3C76BD0}" name="answer_detail_level"/>
    <tableColumn id="9" xr3:uid="{EC7B7EDD-39E2-4F1C-862E-AC1FB6D1256C}" name="respondent_age_bracket"/>
    <tableColumn id="10" xr3:uid="{1B6FCD99-0DAC-4092-9128-00D31C90582F}" name="education_level"/>
    <tableColumn id="11" xr3:uid="{07F248A4-F1E2-4CEE-A519-781F1AB0EDB0}" name="digital_literacy_score"/>
    <tableColumn id="12" xr3:uid="{F9DCC61F-B471-4C15-A073-FEC9ABD1D527}" name="ai_familiarity_level"/>
    <tableColumn id="13" xr3:uid="{8A37FA31-2FEB-4B7D-A002-536C3CB8896B}" name="decision_importance"/>
    <tableColumn id="14" xr3:uid="{92F76181-7C60-4B28-A4B4-D20D4187CA7B}" name="urgency_level"/>
    <tableColumn id="15" xr3:uid="{1A684D72-DB0D-4F88-8B28-F675CC7949E8}" name="belief_alignment_status"/>
    <tableColumn id="16" xr3:uid="{FA8139C0-0F1B-4B7B-9CDC-5DA75378F661}" name="subject_matter_expertise"/>
    <tableColumn id="17" xr3:uid="{0CEC7710-1E00-41E0-BB4F-B753116150BC}" name="trust_score_out_of_10"/>
    <tableColumn id="18" xr3:uid="{91C3F6D6-2FD3-4858-974E-8744A5D8DBBC}" name="performed_fact_check"/>
    <tableColumn id="19" xr3:uid="{60A038B4-1746-43FC-BDF7-37D351F118E7}" name="fact_check_method_used"/>
    <tableColumn id="20" xr3:uid="{612DE6C9-4AA9-40E5-91B0-C3997FE655C1}" name="verification_duration_mins"/>
    <tableColumn id="21" xr3:uid="{96A15E1A-C1D0-46F0-B0E3-D3AE618F1F88}" name="answer_accuracy_percentage"/>
    <tableColumn id="22" xr3:uid="{54C348BD-2FBD-460A-A764-7A8F983B5D0F}" name="trust_calibration_valid"/>
    <tableColumn id="23" xr3:uid="{95CC52E4-6A38-4BD5-B958-2125015C6699}" name="user_skepticism_catego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C84C20-CD5A-495B-AD1E-D29B0EF2257B}" name="Table1" displayName="Table1" ref="AP25:AP26" insertRow="1" totalsRowShown="0">
  <autoFilter ref="AP25:AP26" xr:uid="{C6C84C20-CD5A-495B-AD1E-D29B0EF2257B}"/>
  <tableColumns count="1">
    <tableColumn id="1" xr3:uid="{95F7EBD4-F13D-4873-8C48-7A906CF3678F}" name="Column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1268E-F678-48B7-8AA4-FCFA4D3D11B1}">
  <dimension ref="A1:W1001"/>
  <sheetViews>
    <sheetView workbookViewId="0">
      <selection activeCell="D14" sqref="D14"/>
    </sheetView>
  </sheetViews>
  <sheetFormatPr defaultRowHeight="15"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v>93.23</v>
      </c>
      <c r="D2">
        <v>527</v>
      </c>
      <c r="E2" t="b">
        <v>1</v>
      </c>
      <c r="F2" t="b">
        <v>0</v>
      </c>
      <c r="G2" t="b">
        <v>0</v>
      </c>
      <c r="H2" t="s">
        <v>25</v>
      </c>
      <c r="I2" t="s">
        <v>26</v>
      </c>
      <c r="J2" t="s">
        <v>27</v>
      </c>
      <c r="K2" t="s">
        <v>28</v>
      </c>
      <c r="L2" t="s">
        <v>29</v>
      </c>
      <c r="M2" t="s">
        <v>28</v>
      </c>
      <c r="N2" t="s">
        <v>28</v>
      </c>
      <c r="O2" t="b">
        <v>0</v>
      </c>
      <c r="P2" t="b">
        <v>0</v>
      </c>
      <c r="Q2">
        <v>10</v>
      </c>
      <c r="R2" t="b">
        <v>1</v>
      </c>
      <c r="S2" t="s">
        <v>30</v>
      </c>
      <c r="T2">
        <v>10.7</v>
      </c>
      <c r="U2">
        <v>80.150000000000006</v>
      </c>
      <c r="V2" t="b">
        <v>1</v>
      </c>
      <c r="W2" t="s">
        <v>31</v>
      </c>
    </row>
    <row r="3" spans="1:23" x14ac:dyDescent="0.25">
      <c r="A3" t="s">
        <v>32</v>
      </c>
      <c r="B3" t="s">
        <v>33</v>
      </c>
      <c r="C3">
        <v>84.47</v>
      </c>
      <c r="D3">
        <v>581</v>
      </c>
      <c r="E3" t="b">
        <v>0</v>
      </c>
      <c r="F3" t="b">
        <v>0</v>
      </c>
      <c r="G3" t="b">
        <v>0</v>
      </c>
      <c r="H3" t="s">
        <v>34</v>
      </c>
      <c r="I3" t="s">
        <v>35</v>
      </c>
      <c r="J3" t="s">
        <v>36</v>
      </c>
      <c r="K3" t="s">
        <v>37</v>
      </c>
      <c r="L3" t="s">
        <v>38</v>
      </c>
      <c r="M3" t="s">
        <v>39</v>
      </c>
      <c r="O3" t="b">
        <v>0</v>
      </c>
      <c r="P3" t="b">
        <v>1</v>
      </c>
      <c r="Q3">
        <v>7.9</v>
      </c>
      <c r="R3" t="b">
        <v>1</v>
      </c>
      <c r="S3" t="s">
        <v>40</v>
      </c>
      <c r="T3">
        <v>44.3</v>
      </c>
      <c r="U3">
        <v>92.33</v>
      </c>
      <c r="V3" t="b">
        <v>1</v>
      </c>
      <c r="W3" t="s">
        <v>41</v>
      </c>
    </row>
    <row r="4" spans="1:23" x14ac:dyDescent="0.25">
      <c r="A4" t="s">
        <v>23</v>
      </c>
      <c r="B4" t="s">
        <v>42</v>
      </c>
      <c r="C4">
        <v>69.819999999999993</v>
      </c>
      <c r="D4">
        <v>484</v>
      </c>
      <c r="E4" t="b">
        <v>1</v>
      </c>
      <c r="F4" t="b">
        <v>1</v>
      </c>
      <c r="G4" t="b">
        <v>0</v>
      </c>
      <c r="H4" t="s">
        <v>43</v>
      </c>
      <c r="I4" t="s">
        <v>44</v>
      </c>
      <c r="J4" t="s">
        <v>45</v>
      </c>
      <c r="K4" t="s">
        <v>46</v>
      </c>
      <c r="L4" t="s">
        <v>29</v>
      </c>
      <c r="M4" t="s">
        <v>47</v>
      </c>
      <c r="O4" t="b">
        <v>1</v>
      </c>
      <c r="P4" t="b">
        <v>0</v>
      </c>
      <c r="Q4">
        <v>8.6</v>
      </c>
      <c r="R4" t="b">
        <v>1</v>
      </c>
      <c r="S4" t="s">
        <v>48</v>
      </c>
      <c r="T4">
        <v>37.5</v>
      </c>
      <c r="U4">
        <v>67.319999999999993</v>
      </c>
      <c r="V4" t="b">
        <v>1</v>
      </c>
      <c r="W4" t="s">
        <v>31</v>
      </c>
    </row>
    <row r="5" spans="1:23" x14ac:dyDescent="0.25">
      <c r="A5" t="s">
        <v>23</v>
      </c>
      <c r="B5" t="s">
        <v>49</v>
      </c>
      <c r="C5">
        <v>79.61</v>
      </c>
      <c r="D5">
        <v>73</v>
      </c>
      <c r="E5" t="b">
        <v>1</v>
      </c>
      <c r="F5" t="b">
        <v>1</v>
      </c>
      <c r="G5" t="b">
        <v>0</v>
      </c>
      <c r="H5" t="s">
        <v>34</v>
      </c>
      <c r="I5" t="s">
        <v>26</v>
      </c>
      <c r="J5" t="s">
        <v>50</v>
      </c>
      <c r="K5" t="s">
        <v>28</v>
      </c>
      <c r="L5" t="s">
        <v>51</v>
      </c>
      <c r="M5" t="s">
        <v>39</v>
      </c>
      <c r="P5" t="b">
        <v>0</v>
      </c>
      <c r="Q5">
        <v>8.9</v>
      </c>
      <c r="R5" t="b">
        <v>1</v>
      </c>
      <c r="S5" t="s">
        <v>52</v>
      </c>
      <c r="T5">
        <v>22.7</v>
      </c>
      <c r="U5">
        <v>73.12</v>
      </c>
      <c r="V5" t="b">
        <v>1</v>
      </c>
      <c r="W5" t="s">
        <v>31</v>
      </c>
    </row>
    <row r="6" spans="1:23" x14ac:dyDescent="0.25">
      <c r="A6" t="s">
        <v>23</v>
      </c>
      <c r="B6" t="s">
        <v>49</v>
      </c>
      <c r="C6">
        <v>67.709999999999994</v>
      </c>
      <c r="D6">
        <v>146</v>
      </c>
      <c r="E6" t="b">
        <v>0</v>
      </c>
      <c r="F6" t="b">
        <v>1</v>
      </c>
      <c r="G6" t="b">
        <v>0</v>
      </c>
      <c r="H6" t="s">
        <v>53</v>
      </c>
      <c r="I6" t="s">
        <v>35</v>
      </c>
      <c r="J6" t="s">
        <v>54</v>
      </c>
      <c r="K6" t="s">
        <v>28</v>
      </c>
      <c r="L6" t="s">
        <v>37</v>
      </c>
      <c r="M6" t="s">
        <v>28</v>
      </c>
      <c r="O6" t="b">
        <v>1</v>
      </c>
      <c r="P6" t="b">
        <v>1</v>
      </c>
      <c r="Q6">
        <v>9</v>
      </c>
      <c r="R6" t="b">
        <v>1</v>
      </c>
      <c r="S6" t="s">
        <v>55</v>
      </c>
      <c r="T6">
        <v>43.7</v>
      </c>
      <c r="U6">
        <v>81.05</v>
      </c>
      <c r="V6" t="b">
        <v>1</v>
      </c>
      <c r="W6" t="s">
        <v>31</v>
      </c>
    </row>
    <row r="7" spans="1:23" x14ac:dyDescent="0.25">
      <c r="A7" t="s">
        <v>56</v>
      </c>
      <c r="B7" t="s">
        <v>24</v>
      </c>
      <c r="C7">
        <v>93.41</v>
      </c>
      <c r="D7">
        <v>198</v>
      </c>
      <c r="E7" t="b">
        <v>0</v>
      </c>
      <c r="F7" t="b">
        <v>1</v>
      </c>
      <c r="G7" t="b">
        <v>0</v>
      </c>
      <c r="H7" t="s">
        <v>25</v>
      </c>
      <c r="I7" t="s">
        <v>57</v>
      </c>
      <c r="J7" t="s">
        <v>50</v>
      </c>
      <c r="K7" t="s">
        <v>37</v>
      </c>
      <c r="L7" t="s">
        <v>51</v>
      </c>
      <c r="M7" t="s">
        <v>46</v>
      </c>
      <c r="O7" t="b">
        <v>0</v>
      </c>
      <c r="P7" t="b">
        <v>0</v>
      </c>
      <c r="Q7">
        <v>8.1999999999999993</v>
      </c>
      <c r="R7" t="b">
        <v>0</v>
      </c>
      <c r="T7">
        <v>0</v>
      </c>
      <c r="U7">
        <v>100</v>
      </c>
      <c r="V7" t="b">
        <v>1</v>
      </c>
      <c r="W7" t="s">
        <v>58</v>
      </c>
    </row>
    <row r="8" spans="1:23" x14ac:dyDescent="0.25">
      <c r="A8" t="s">
        <v>23</v>
      </c>
      <c r="B8" t="s">
        <v>59</v>
      </c>
      <c r="C8">
        <v>75.87</v>
      </c>
      <c r="D8">
        <v>285</v>
      </c>
      <c r="E8" t="b">
        <v>0</v>
      </c>
      <c r="F8" t="b">
        <v>0</v>
      </c>
      <c r="G8" t="b">
        <v>1</v>
      </c>
      <c r="H8" t="s">
        <v>43</v>
      </c>
      <c r="I8" t="s">
        <v>57</v>
      </c>
      <c r="J8" t="s">
        <v>45</v>
      </c>
      <c r="K8" t="s">
        <v>37</v>
      </c>
      <c r="L8" t="s">
        <v>37</v>
      </c>
      <c r="M8" t="s">
        <v>28</v>
      </c>
      <c r="N8" t="s">
        <v>39</v>
      </c>
      <c r="O8" t="b">
        <v>0</v>
      </c>
      <c r="P8" t="b">
        <v>1</v>
      </c>
      <c r="Q8">
        <v>7.6</v>
      </c>
      <c r="R8" t="b">
        <v>0</v>
      </c>
      <c r="T8">
        <v>0</v>
      </c>
      <c r="U8">
        <v>79.040000000000006</v>
      </c>
      <c r="V8" t="b">
        <v>1</v>
      </c>
      <c r="W8" t="s">
        <v>31</v>
      </c>
    </row>
    <row r="9" spans="1:23" x14ac:dyDescent="0.25">
      <c r="A9" t="s">
        <v>23</v>
      </c>
      <c r="B9" t="s">
        <v>60</v>
      </c>
      <c r="C9">
        <v>57.32</v>
      </c>
      <c r="D9">
        <v>371</v>
      </c>
      <c r="E9" t="b">
        <v>1</v>
      </c>
      <c r="F9" t="b">
        <v>0</v>
      </c>
      <c r="G9" t="b">
        <v>0</v>
      </c>
      <c r="H9" t="s">
        <v>53</v>
      </c>
      <c r="I9" t="s">
        <v>35</v>
      </c>
      <c r="J9" t="s">
        <v>50</v>
      </c>
      <c r="K9" t="s">
        <v>46</v>
      </c>
      <c r="L9" t="s">
        <v>38</v>
      </c>
      <c r="M9" t="s">
        <v>47</v>
      </c>
      <c r="N9" t="s">
        <v>39</v>
      </c>
      <c r="P9" t="b">
        <v>0</v>
      </c>
      <c r="Q9">
        <v>6.4</v>
      </c>
      <c r="R9" t="b">
        <v>0</v>
      </c>
      <c r="T9">
        <v>0</v>
      </c>
      <c r="U9">
        <v>55.65</v>
      </c>
      <c r="V9" t="b">
        <v>1</v>
      </c>
      <c r="W9" t="s">
        <v>31</v>
      </c>
    </row>
    <row r="10" spans="1:23" x14ac:dyDescent="0.25">
      <c r="A10" t="s">
        <v>61</v>
      </c>
      <c r="B10" t="s">
        <v>62</v>
      </c>
      <c r="C10">
        <v>50.17</v>
      </c>
      <c r="D10">
        <v>344</v>
      </c>
      <c r="E10" t="b">
        <v>0</v>
      </c>
      <c r="F10" t="b">
        <v>0</v>
      </c>
      <c r="G10" t="b">
        <v>1</v>
      </c>
      <c r="H10" t="s">
        <v>53</v>
      </c>
      <c r="I10" t="s">
        <v>63</v>
      </c>
      <c r="J10" t="s">
        <v>36</v>
      </c>
      <c r="K10" t="s">
        <v>46</v>
      </c>
      <c r="L10" t="s">
        <v>51</v>
      </c>
      <c r="M10" t="s">
        <v>46</v>
      </c>
      <c r="N10" t="s">
        <v>39</v>
      </c>
      <c r="P10" t="b">
        <v>0</v>
      </c>
      <c r="Q10">
        <v>5.3</v>
      </c>
      <c r="R10" t="b">
        <v>1</v>
      </c>
      <c r="S10" t="s">
        <v>64</v>
      </c>
      <c r="T10">
        <v>20</v>
      </c>
      <c r="U10">
        <v>41.69</v>
      </c>
      <c r="V10" t="b">
        <v>1</v>
      </c>
      <c r="W10" t="s">
        <v>41</v>
      </c>
    </row>
    <row r="11" spans="1:23" x14ac:dyDescent="0.25">
      <c r="A11" t="s">
        <v>32</v>
      </c>
      <c r="B11" t="s">
        <v>62</v>
      </c>
      <c r="C11">
        <v>58.77</v>
      </c>
      <c r="D11">
        <v>63</v>
      </c>
      <c r="E11" t="b">
        <v>0</v>
      </c>
      <c r="F11" t="b">
        <v>0</v>
      </c>
      <c r="G11" t="b">
        <v>1</v>
      </c>
      <c r="H11" t="s">
        <v>53</v>
      </c>
      <c r="I11" t="s">
        <v>63</v>
      </c>
      <c r="J11" t="s">
        <v>50</v>
      </c>
      <c r="K11" t="s">
        <v>28</v>
      </c>
      <c r="L11" t="s">
        <v>37</v>
      </c>
      <c r="M11" t="s">
        <v>46</v>
      </c>
      <c r="N11" t="s">
        <v>28</v>
      </c>
      <c r="O11" t="b">
        <v>0</v>
      </c>
      <c r="P11" t="b">
        <v>0</v>
      </c>
      <c r="Q11">
        <v>5.6</v>
      </c>
      <c r="R11" t="b">
        <v>1</v>
      </c>
      <c r="S11" t="s">
        <v>65</v>
      </c>
      <c r="T11">
        <v>23.5</v>
      </c>
      <c r="U11">
        <v>50.81</v>
      </c>
      <c r="V11" t="b">
        <v>1</v>
      </c>
      <c r="W11" t="s">
        <v>41</v>
      </c>
    </row>
    <row r="12" spans="1:23" x14ac:dyDescent="0.25">
      <c r="A12" t="s">
        <v>23</v>
      </c>
      <c r="B12" t="s">
        <v>42</v>
      </c>
      <c r="C12">
        <v>82.85</v>
      </c>
      <c r="D12">
        <v>331</v>
      </c>
      <c r="E12" t="b">
        <v>1</v>
      </c>
      <c r="F12" t="b">
        <v>1</v>
      </c>
      <c r="G12" t="b">
        <v>1</v>
      </c>
      <c r="H12" t="s">
        <v>34</v>
      </c>
      <c r="I12" t="s">
        <v>26</v>
      </c>
      <c r="J12" t="s">
        <v>54</v>
      </c>
      <c r="K12" t="s">
        <v>37</v>
      </c>
      <c r="L12" t="s">
        <v>38</v>
      </c>
      <c r="M12" t="s">
        <v>46</v>
      </c>
      <c r="N12" t="s">
        <v>46</v>
      </c>
      <c r="P12" t="b">
        <v>1</v>
      </c>
      <c r="Q12">
        <v>10</v>
      </c>
      <c r="R12" t="b">
        <v>1</v>
      </c>
      <c r="S12" t="s">
        <v>55</v>
      </c>
      <c r="T12">
        <v>22.9</v>
      </c>
      <c r="U12">
        <v>68.05</v>
      </c>
      <c r="V12" t="b">
        <v>0</v>
      </c>
      <c r="W12" t="s">
        <v>31</v>
      </c>
    </row>
    <row r="13" spans="1:23" x14ac:dyDescent="0.25">
      <c r="A13" t="s">
        <v>23</v>
      </c>
      <c r="B13" t="s">
        <v>33</v>
      </c>
      <c r="C13">
        <v>76.69</v>
      </c>
      <c r="D13">
        <v>70</v>
      </c>
      <c r="E13" t="b">
        <v>1</v>
      </c>
      <c r="F13" t="b">
        <v>0</v>
      </c>
      <c r="G13" t="b">
        <v>1</v>
      </c>
      <c r="H13" t="s">
        <v>25</v>
      </c>
      <c r="I13" t="s">
        <v>57</v>
      </c>
      <c r="J13" t="s">
        <v>50</v>
      </c>
      <c r="K13" t="s">
        <v>28</v>
      </c>
      <c r="L13" t="s">
        <v>37</v>
      </c>
      <c r="M13" t="s">
        <v>28</v>
      </c>
      <c r="N13" t="s">
        <v>46</v>
      </c>
      <c r="P13" t="b">
        <v>1</v>
      </c>
      <c r="Q13">
        <v>9.9</v>
      </c>
      <c r="R13" t="b">
        <v>0</v>
      </c>
      <c r="T13">
        <v>0</v>
      </c>
      <c r="U13">
        <v>62.11</v>
      </c>
      <c r="V13" t="b">
        <v>0</v>
      </c>
      <c r="W13" t="s">
        <v>58</v>
      </c>
    </row>
    <row r="14" spans="1:23" x14ac:dyDescent="0.25">
      <c r="A14" t="s">
        <v>32</v>
      </c>
      <c r="B14" t="s">
        <v>66</v>
      </c>
      <c r="C14">
        <v>77.430000000000007</v>
      </c>
      <c r="D14">
        <v>549</v>
      </c>
      <c r="E14" t="b">
        <v>0</v>
      </c>
      <c r="F14" t="b">
        <v>0</v>
      </c>
      <c r="G14" t="b">
        <v>1</v>
      </c>
      <c r="H14" t="s">
        <v>53</v>
      </c>
      <c r="I14" t="s">
        <v>67</v>
      </c>
      <c r="J14" t="s">
        <v>36</v>
      </c>
      <c r="K14" t="s">
        <v>39</v>
      </c>
      <c r="L14" t="s">
        <v>51</v>
      </c>
      <c r="M14" t="s">
        <v>28</v>
      </c>
      <c r="N14" t="s">
        <v>46</v>
      </c>
      <c r="O14" t="b">
        <v>1</v>
      </c>
      <c r="P14" t="b">
        <v>0</v>
      </c>
      <c r="Q14">
        <v>9.5</v>
      </c>
      <c r="R14" t="b">
        <v>1</v>
      </c>
      <c r="S14" t="s">
        <v>52</v>
      </c>
      <c r="T14">
        <v>33.799999999999997</v>
      </c>
      <c r="U14">
        <v>73.81</v>
      </c>
      <c r="V14" t="b">
        <v>0</v>
      </c>
      <c r="W14" t="s">
        <v>31</v>
      </c>
    </row>
    <row r="15" spans="1:23" x14ac:dyDescent="0.25">
      <c r="A15" t="s">
        <v>68</v>
      </c>
      <c r="B15" t="s">
        <v>33</v>
      </c>
      <c r="C15">
        <v>78.83</v>
      </c>
      <c r="D15">
        <v>419</v>
      </c>
      <c r="E15" t="b">
        <v>0</v>
      </c>
      <c r="F15" t="b">
        <v>1</v>
      </c>
      <c r="G15" t="b">
        <v>0</v>
      </c>
      <c r="H15" t="s">
        <v>34</v>
      </c>
      <c r="I15" t="s">
        <v>44</v>
      </c>
      <c r="J15" t="s">
        <v>45</v>
      </c>
      <c r="K15" t="s">
        <v>37</v>
      </c>
      <c r="L15" t="s">
        <v>51</v>
      </c>
      <c r="M15" t="s">
        <v>46</v>
      </c>
      <c r="N15" t="s">
        <v>46</v>
      </c>
      <c r="P15" t="b">
        <v>0</v>
      </c>
      <c r="Q15">
        <v>7.2</v>
      </c>
      <c r="R15" t="b">
        <v>1</v>
      </c>
      <c r="S15" t="s">
        <v>65</v>
      </c>
      <c r="T15">
        <v>41.9</v>
      </c>
      <c r="U15">
        <v>81.22</v>
      </c>
      <c r="V15" t="b">
        <v>1</v>
      </c>
      <c r="W15" t="s">
        <v>41</v>
      </c>
    </row>
    <row r="16" spans="1:23" x14ac:dyDescent="0.25">
      <c r="A16" t="s">
        <v>68</v>
      </c>
      <c r="B16" t="s">
        <v>49</v>
      </c>
      <c r="C16">
        <v>75</v>
      </c>
      <c r="D16">
        <v>386</v>
      </c>
      <c r="E16" t="b">
        <v>0</v>
      </c>
      <c r="F16" t="b">
        <v>1</v>
      </c>
      <c r="G16" t="b">
        <v>1</v>
      </c>
      <c r="H16" t="s">
        <v>25</v>
      </c>
      <c r="I16" t="s">
        <v>26</v>
      </c>
      <c r="J16" t="s">
        <v>50</v>
      </c>
      <c r="K16" t="s">
        <v>46</v>
      </c>
      <c r="L16" t="s">
        <v>29</v>
      </c>
      <c r="M16" t="s">
        <v>28</v>
      </c>
      <c r="N16" t="s">
        <v>46</v>
      </c>
      <c r="O16" t="b">
        <v>1</v>
      </c>
      <c r="P16" t="b">
        <v>0</v>
      </c>
      <c r="Q16">
        <v>9.9</v>
      </c>
      <c r="R16" t="b">
        <v>0</v>
      </c>
      <c r="T16">
        <v>0</v>
      </c>
      <c r="U16">
        <v>66.209999999999994</v>
      </c>
      <c r="V16" t="b">
        <v>0</v>
      </c>
      <c r="W16" t="s">
        <v>58</v>
      </c>
    </row>
    <row r="17" spans="1:23" x14ac:dyDescent="0.25">
      <c r="A17" t="s">
        <v>68</v>
      </c>
      <c r="B17" t="s">
        <v>66</v>
      </c>
      <c r="C17">
        <v>55.73</v>
      </c>
      <c r="D17">
        <v>698</v>
      </c>
      <c r="E17" t="b">
        <v>1</v>
      </c>
      <c r="F17" t="b">
        <v>1</v>
      </c>
      <c r="G17" t="b">
        <v>0</v>
      </c>
      <c r="H17" t="s">
        <v>25</v>
      </c>
      <c r="I17" t="s">
        <v>57</v>
      </c>
      <c r="J17" t="s">
        <v>27</v>
      </c>
      <c r="K17" t="s">
        <v>28</v>
      </c>
      <c r="L17" t="s">
        <v>69</v>
      </c>
      <c r="M17" t="s">
        <v>47</v>
      </c>
      <c r="N17" t="s">
        <v>39</v>
      </c>
      <c r="O17" t="b">
        <v>0</v>
      </c>
      <c r="P17" t="b">
        <v>1</v>
      </c>
      <c r="Q17">
        <v>5.2</v>
      </c>
      <c r="R17" t="b">
        <v>0</v>
      </c>
      <c r="T17">
        <v>0</v>
      </c>
      <c r="U17">
        <v>55.92</v>
      </c>
      <c r="V17" t="b">
        <v>1</v>
      </c>
      <c r="W17" t="s">
        <v>41</v>
      </c>
    </row>
    <row r="18" spans="1:23" x14ac:dyDescent="0.25">
      <c r="A18" t="s">
        <v>68</v>
      </c>
      <c r="B18" t="s">
        <v>70</v>
      </c>
      <c r="C18">
        <v>79.42</v>
      </c>
      <c r="D18">
        <v>382</v>
      </c>
      <c r="E18" t="b">
        <v>0</v>
      </c>
      <c r="F18" t="b">
        <v>0</v>
      </c>
      <c r="G18" t="b">
        <v>1</v>
      </c>
      <c r="H18" t="s">
        <v>53</v>
      </c>
      <c r="I18" t="s">
        <v>57</v>
      </c>
      <c r="J18" t="s">
        <v>50</v>
      </c>
      <c r="K18" t="s">
        <v>37</v>
      </c>
      <c r="L18" t="s">
        <v>51</v>
      </c>
      <c r="M18" t="s">
        <v>39</v>
      </c>
      <c r="N18" t="s">
        <v>39</v>
      </c>
      <c r="O18" t="b">
        <v>0</v>
      </c>
      <c r="P18" t="b">
        <v>0</v>
      </c>
      <c r="Q18">
        <v>6.7</v>
      </c>
      <c r="R18" t="b">
        <v>1</v>
      </c>
      <c r="S18" t="s">
        <v>40</v>
      </c>
      <c r="T18">
        <v>30</v>
      </c>
      <c r="U18">
        <v>88.58</v>
      </c>
      <c r="V18" t="b">
        <v>0</v>
      </c>
      <c r="W18" t="s">
        <v>41</v>
      </c>
    </row>
    <row r="19" spans="1:23" x14ac:dyDescent="0.25">
      <c r="A19" t="s">
        <v>23</v>
      </c>
      <c r="B19" t="s">
        <v>71</v>
      </c>
      <c r="C19">
        <v>47.7</v>
      </c>
      <c r="D19">
        <v>53</v>
      </c>
      <c r="E19" t="b">
        <v>0</v>
      </c>
      <c r="F19" t="b">
        <v>1</v>
      </c>
      <c r="G19" t="b">
        <v>0</v>
      </c>
      <c r="H19" t="s">
        <v>53</v>
      </c>
      <c r="I19" t="s">
        <v>63</v>
      </c>
      <c r="J19" t="s">
        <v>36</v>
      </c>
      <c r="K19" t="s">
        <v>39</v>
      </c>
      <c r="L19" t="s">
        <v>69</v>
      </c>
      <c r="M19" t="s">
        <v>47</v>
      </c>
      <c r="N19" t="s">
        <v>28</v>
      </c>
      <c r="O19" t="b">
        <v>0</v>
      </c>
      <c r="P19" t="b">
        <v>1</v>
      </c>
      <c r="Q19">
        <v>2.9</v>
      </c>
      <c r="R19" t="b">
        <v>1</v>
      </c>
      <c r="S19" t="s">
        <v>55</v>
      </c>
      <c r="T19">
        <v>29.9</v>
      </c>
      <c r="U19">
        <v>40.409999999999997</v>
      </c>
      <c r="V19" t="b">
        <v>1</v>
      </c>
      <c r="W19" t="s">
        <v>72</v>
      </c>
    </row>
    <row r="20" spans="1:23" x14ac:dyDescent="0.25">
      <c r="A20" t="s">
        <v>61</v>
      </c>
      <c r="B20" t="s">
        <v>73</v>
      </c>
      <c r="C20">
        <v>52.94</v>
      </c>
      <c r="D20">
        <v>725</v>
      </c>
      <c r="E20" t="b">
        <v>1</v>
      </c>
      <c r="F20" t="b">
        <v>0</v>
      </c>
      <c r="G20" t="b">
        <v>1</v>
      </c>
      <c r="H20" t="s">
        <v>53</v>
      </c>
      <c r="I20" t="s">
        <v>35</v>
      </c>
      <c r="J20" t="s">
        <v>36</v>
      </c>
      <c r="K20" t="s">
        <v>46</v>
      </c>
      <c r="L20" t="s">
        <v>29</v>
      </c>
      <c r="M20" t="s">
        <v>47</v>
      </c>
      <c r="N20" t="s">
        <v>46</v>
      </c>
      <c r="O20" t="b">
        <v>0</v>
      </c>
      <c r="P20" t="b">
        <v>1</v>
      </c>
      <c r="Q20">
        <v>4.7</v>
      </c>
      <c r="R20" t="b">
        <v>1</v>
      </c>
      <c r="S20" t="s">
        <v>64</v>
      </c>
      <c r="T20">
        <v>36.1</v>
      </c>
      <c r="U20">
        <v>38.72</v>
      </c>
      <c r="V20" t="b">
        <v>1</v>
      </c>
      <c r="W20" t="s">
        <v>72</v>
      </c>
    </row>
    <row r="21" spans="1:23" x14ac:dyDescent="0.25">
      <c r="A21" t="s">
        <v>68</v>
      </c>
      <c r="B21" t="s">
        <v>59</v>
      </c>
      <c r="C21">
        <v>91.49</v>
      </c>
      <c r="D21">
        <v>457</v>
      </c>
      <c r="E21" t="b">
        <v>1</v>
      </c>
      <c r="F21" t="b">
        <v>1</v>
      </c>
      <c r="G21" t="b">
        <v>0</v>
      </c>
      <c r="H21" t="s">
        <v>43</v>
      </c>
      <c r="I21" t="s">
        <v>44</v>
      </c>
      <c r="J21" t="s">
        <v>54</v>
      </c>
      <c r="K21" t="s">
        <v>37</v>
      </c>
      <c r="L21" t="s">
        <v>51</v>
      </c>
      <c r="M21" t="s">
        <v>46</v>
      </c>
      <c r="N21" t="s">
        <v>28</v>
      </c>
      <c r="P21" t="b">
        <v>1</v>
      </c>
      <c r="Q21">
        <v>9.4</v>
      </c>
      <c r="R21" t="b">
        <v>0</v>
      </c>
      <c r="T21">
        <v>0</v>
      </c>
      <c r="U21">
        <v>78.010000000000005</v>
      </c>
      <c r="V21" t="b">
        <v>1</v>
      </c>
      <c r="W21" t="s">
        <v>58</v>
      </c>
    </row>
    <row r="22" spans="1:23" x14ac:dyDescent="0.25">
      <c r="A22" t="s">
        <v>32</v>
      </c>
      <c r="B22" t="s">
        <v>33</v>
      </c>
      <c r="C22">
        <v>85.85</v>
      </c>
      <c r="D22">
        <v>617</v>
      </c>
      <c r="E22" t="b">
        <v>0</v>
      </c>
      <c r="F22" t="b">
        <v>1</v>
      </c>
      <c r="G22" t="b">
        <v>0</v>
      </c>
      <c r="H22" t="s">
        <v>34</v>
      </c>
      <c r="I22" t="s">
        <v>35</v>
      </c>
      <c r="J22" t="s">
        <v>27</v>
      </c>
      <c r="K22" t="s">
        <v>28</v>
      </c>
      <c r="L22" t="s">
        <v>69</v>
      </c>
      <c r="M22" t="s">
        <v>28</v>
      </c>
      <c r="N22" t="s">
        <v>28</v>
      </c>
      <c r="P22" t="b">
        <v>0</v>
      </c>
      <c r="Q22">
        <v>9.9</v>
      </c>
      <c r="R22" t="b">
        <v>1</v>
      </c>
      <c r="S22" t="s">
        <v>65</v>
      </c>
      <c r="T22">
        <v>42.1</v>
      </c>
      <c r="U22">
        <v>77.63</v>
      </c>
      <c r="V22" t="b">
        <v>0</v>
      </c>
      <c r="W22" t="s">
        <v>31</v>
      </c>
    </row>
    <row r="23" spans="1:23" x14ac:dyDescent="0.25">
      <c r="A23" t="s">
        <v>23</v>
      </c>
      <c r="B23" t="s">
        <v>60</v>
      </c>
      <c r="C23">
        <v>55.95</v>
      </c>
      <c r="D23">
        <v>166</v>
      </c>
      <c r="E23" t="b">
        <v>1</v>
      </c>
      <c r="F23" t="b">
        <v>0</v>
      </c>
      <c r="G23" t="b">
        <v>1</v>
      </c>
      <c r="H23" t="s">
        <v>43</v>
      </c>
      <c r="I23" t="s">
        <v>57</v>
      </c>
      <c r="J23" t="s">
        <v>54</v>
      </c>
      <c r="K23" t="s">
        <v>46</v>
      </c>
      <c r="L23" t="s">
        <v>38</v>
      </c>
      <c r="M23" t="s">
        <v>39</v>
      </c>
      <c r="N23" t="s">
        <v>39</v>
      </c>
      <c r="P23" t="b">
        <v>1</v>
      </c>
      <c r="Q23">
        <v>7.7</v>
      </c>
      <c r="R23" t="b">
        <v>1</v>
      </c>
      <c r="S23" t="s">
        <v>52</v>
      </c>
      <c r="T23">
        <v>34.299999999999997</v>
      </c>
      <c r="U23">
        <v>55.71</v>
      </c>
      <c r="V23" t="b">
        <v>0</v>
      </c>
      <c r="W23" t="s">
        <v>41</v>
      </c>
    </row>
    <row r="24" spans="1:23" x14ac:dyDescent="0.25">
      <c r="A24" t="s">
        <v>56</v>
      </c>
      <c r="B24" t="s">
        <v>66</v>
      </c>
      <c r="C24">
        <v>75.510000000000005</v>
      </c>
      <c r="D24">
        <v>289</v>
      </c>
      <c r="E24" t="b">
        <v>1</v>
      </c>
      <c r="F24" t="b">
        <v>0</v>
      </c>
      <c r="G24" t="b">
        <v>1</v>
      </c>
      <c r="H24" t="s">
        <v>34</v>
      </c>
      <c r="I24" t="s">
        <v>26</v>
      </c>
      <c r="J24" t="s">
        <v>54</v>
      </c>
      <c r="K24" t="s">
        <v>28</v>
      </c>
      <c r="L24" t="s">
        <v>38</v>
      </c>
      <c r="M24" t="s">
        <v>39</v>
      </c>
      <c r="N24" t="s">
        <v>28</v>
      </c>
      <c r="O24" t="b">
        <v>1</v>
      </c>
      <c r="P24" t="b">
        <v>1</v>
      </c>
      <c r="Q24">
        <v>10</v>
      </c>
      <c r="R24" t="b">
        <v>1</v>
      </c>
      <c r="S24" t="s">
        <v>30</v>
      </c>
      <c r="T24">
        <v>13</v>
      </c>
      <c r="U24">
        <v>53.58</v>
      </c>
      <c r="V24" t="b">
        <v>0</v>
      </c>
      <c r="W24" t="s">
        <v>31</v>
      </c>
    </row>
    <row r="25" spans="1:23" x14ac:dyDescent="0.25">
      <c r="A25" t="s">
        <v>32</v>
      </c>
      <c r="B25" t="s">
        <v>71</v>
      </c>
      <c r="C25">
        <v>42.81</v>
      </c>
      <c r="D25">
        <v>86</v>
      </c>
      <c r="E25" t="b">
        <v>1</v>
      </c>
      <c r="F25" t="b">
        <v>0</v>
      </c>
      <c r="G25" t="b">
        <v>1</v>
      </c>
      <c r="H25" t="s">
        <v>43</v>
      </c>
      <c r="I25" t="s">
        <v>26</v>
      </c>
      <c r="J25" t="s">
        <v>54</v>
      </c>
      <c r="K25" t="s">
        <v>28</v>
      </c>
      <c r="L25" t="s">
        <v>29</v>
      </c>
      <c r="M25" t="s">
        <v>47</v>
      </c>
      <c r="N25" t="s">
        <v>39</v>
      </c>
      <c r="O25" t="b">
        <v>0</v>
      </c>
      <c r="P25" t="b">
        <v>0</v>
      </c>
      <c r="Q25">
        <v>2.7</v>
      </c>
      <c r="R25" t="b">
        <v>1</v>
      </c>
      <c r="S25" t="s">
        <v>55</v>
      </c>
      <c r="T25">
        <v>2.5</v>
      </c>
      <c r="U25">
        <v>21.4</v>
      </c>
      <c r="V25" t="b">
        <v>1</v>
      </c>
      <c r="W25" t="s">
        <v>72</v>
      </c>
    </row>
    <row r="26" spans="1:23" x14ac:dyDescent="0.25">
      <c r="A26" t="s">
        <v>74</v>
      </c>
      <c r="B26" t="s">
        <v>66</v>
      </c>
      <c r="C26">
        <v>62.31</v>
      </c>
      <c r="D26">
        <v>51</v>
      </c>
      <c r="E26" t="b">
        <v>0</v>
      </c>
      <c r="F26" t="b">
        <v>1</v>
      </c>
      <c r="G26" t="b">
        <v>1</v>
      </c>
      <c r="H26" t="s">
        <v>43</v>
      </c>
      <c r="I26" t="s">
        <v>63</v>
      </c>
      <c r="J26" t="s">
        <v>36</v>
      </c>
      <c r="K26" t="s">
        <v>28</v>
      </c>
      <c r="L26" t="s">
        <v>69</v>
      </c>
      <c r="M26" t="s">
        <v>39</v>
      </c>
      <c r="N26" t="s">
        <v>28</v>
      </c>
      <c r="O26" t="b">
        <v>0</v>
      </c>
      <c r="P26" t="b">
        <v>0</v>
      </c>
      <c r="Q26">
        <v>4.8</v>
      </c>
      <c r="R26" t="b">
        <v>1</v>
      </c>
      <c r="S26" t="s">
        <v>65</v>
      </c>
      <c r="T26">
        <v>26.2</v>
      </c>
      <c r="U26">
        <v>40.83</v>
      </c>
      <c r="V26" t="b">
        <v>1</v>
      </c>
      <c r="W26" t="s">
        <v>72</v>
      </c>
    </row>
    <row r="27" spans="1:23" x14ac:dyDescent="0.25">
      <c r="A27" t="s">
        <v>74</v>
      </c>
      <c r="B27" t="s">
        <v>66</v>
      </c>
      <c r="C27">
        <v>65.12</v>
      </c>
      <c r="D27">
        <v>320</v>
      </c>
      <c r="E27" t="b">
        <v>0</v>
      </c>
      <c r="F27" t="b">
        <v>1</v>
      </c>
      <c r="G27" t="b">
        <v>1</v>
      </c>
      <c r="H27" t="s">
        <v>43</v>
      </c>
      <c r="I27" t="s">
        <v>57</v>
      </c>
      <c r="J27" t="s">
        <v>36</v>
      </c>
      <c r="K27" t="s">
        <v>37</v>
      </c>
      <c r="L27" t="s">
        <v>69</v>
      </c>
      <c r="M27" t="s">
        <v>39</v>
      </c>
      <c r="O27" t="b">
        <v>1</v>
      </c>
      <c r="P27" t="b">
        <v>0</v>
      </c>
      <c r="Q27">
        <v>7.5</v>
      </c>
      <c r="R27" t="b">
        <v>1</v>
      </c>
      <c r="S27" t="s">
        <v>64</v>
      </c>
      <c r="T27">
        <v>11.5</v>
      </c>
      <c r="U27">
        <v>61.68</v>
      </c>
      <c r="V27" t="b">
        <v>1</v>
      </c>
      <c r="W27" t="s">
        <v>41</v>
      </c>
    </row>
    <row r="28" spans="1:23" x14ac:dyDescent="0.25">
      <c r="A28" t="s">
        <v>23</v>
      </c>
      <c r="B28" t="s">
        <v>73</v>
      </c>
      <c r="C28">
        <v>64.2</v>
      </c>
      <c r="D28">
        <v>293</v>
      </c>
      <c r="E28" t="b">
        <v>1</v>
      </c>
      <c r="F28" t="b">
        <v>0</v>
      </c>
      <c r="G28" t="b">
        <v>0</v>
      </c>
      <c r="H28" t="s">
        <v>34</v>
      </c>
      <c r="I28" t="s">
        <v>63</v>
      </c>
      <c r="J28" t="s">
        <v>36</v>
      </c>
      <c r="K28" t="s">
        <v>39</v>
      </c>
      <c r="L28" t="s">
        <v>37</v>
      </c>
      <c r="M28" t="s">
        <v>28</v>
      </c>
      <c r="N28" t="s">
        <v>39</v>
      </c>
      <c r="O28" t="b">
        <v>0</v>
      </c>
      <c r="P28" t="b">
        <v>0</v>
      </c>
      <c r="Q28">
        <v>6.6</v>
      </c>
      <c r="R28" t="b">
        <v>1</v>
      </c>
      <c r="S28" t="s">
        <v>30</v>
      </c>
      <c r="T28">
        <v>27.5</v>
      </c>
      <c r="U28">
        <v>59.63</v>
      </c>
      <c r="V28" t="b">
        <v>1</v>
      </c>
      <c r="W28" t="s">
        <v>41</v>
      </c>
    </row>
    <row r="29" spans="1:23" x14ac:dyDescent="0.25">
      <c r="A29" t="s">
        <v>23</v>
      </c>
      <c r="B29" t="s">
        <v>49</v>
      </c>
      <c r="C29">
        <v>64.930000000000007</v>
      </c>
      <c r="D29">
        <v>177</v>
      </c>
      <c r="E29" t="b">
        <v>1</v>
      </c>
      <c r="F29" t="b">
        <v>0</v>
      </c>
      <c r="G29" t="b">
        <v>0</v>
      </c>
      <c r="H29" t="s">
        <v>43</v>
      </c>
      <c r="I29" t="s">
        <v>63</v>
      </c>
      <c r="J29" t="s">
        <v>54</v>
      </c>
      <c r="K29" t="s">
        <v>28</v>
      </c>
      <c r="L29" t="s">
        <v>51</v>
      </c>
      <c r="M29" t="s">
        <v>28</v>
      </c>
      <c r="N29" t="s">
        <v>28</v>
      </c>
      <c r="O29" t="b">
        <v>1</v>
      </c>
      <c r="P29" t="b">
        <v>0</v>
      </c>
      <c r="Q29">
        <v>9.4</v>
      </c>
      <c r="R29" t="b">
        <v>1</v>
      </c>
      <c r="S29" t="s">
        <v>52</v>
      </c>
      <c r="T29">
        <v>30.4</v>
      </c>
      <c r="U29">
        <v>67.760000000000005</v>
      </c>
      <c r="V29" t="b">
        <v>0</v>
      </c>
      <c r="W29" t="s">
        <v>31</v>
      </c>
    </row>
    <row r="30" spans="1:23" x14ac:dyDescent="0.25">
      <c r="A30" t="s">
        <v>68</v>
      </c>
      <c r="B30" t="s">
        <v>59</v>
      </c>
      <c r="C30">
        <v>75.099999999999994</v>
      </c>
      <c r="D30">
        <v>107</v>
      </c>
      <c r="E30" t="b">
        <v>0</v>
      </c>
      <c r="F30" t="b">
        <v>0</v>
      </c>
      <c r="G30" t="b">
        <v>1</v>
      </c>
      <c r="H30" t="s">
        <v>25</v>
      </c>
      <c r="I30" t="s">
        <v>63</v>
      </c>
      <c r="J30" t="s">
        <v>36</v>
      </c>
      <c r="K30" t="s">
        <v>37</v>
      </c>
      <c r="L30" t="s">
        <v>69</v>
      </c>
      <c r="M30" t="s">
        <v>39</v>
      </c>
      <c r="O30" t="b">
        <v>1</v>
      </c>
      <c r="P30" t="b">
        <v>1</v>
      </c>
      <c r="Q30">
        <v>9.5</v>
      </c>
      <c r="R30" t="b">
        <v>1</v>
      </c>
      <c r="S30" t="s">
        <v>48</v>
      </c>
      <c r="T30">
        <v>37.6</v>
      </c>
      <c r="U30">
        <v>69.680000000000007</v>
      </c>
      <c r="V30" t="b">
        <v>0</v>
      </c>
      <c r="W30" t="s">
        <v>31</v>
      </c>
    </row>
    <row r="31" spans="1:23" x14ac:dyDescent="0.25">
      <c r="A31" t="s">
        <v>61</v>
      </c>
      <c r="B31" t="s">
        <v>71</v>
      </c>
      <c r="C31">
        <v>43.22</v>
      </c>
      <c r="D31">
        <v>345</v>
      </c>
      <c r="E31" t="b">
        <v>1</v>
      </c>
      <c r="F31" t="b">
        <v>1</v>
      </c>
      <c r="G31" t="b">
        <v>1</v>
      </c>
      <c r="H31" t="s">
        <v>25</v>
      </c>
      <c r="I31" t="s">
        <v>44</v>
      </c>
      <c r="J31" t="s">
        <v>45</v>
      </c>
      <c r="K31" t="s">
        <v>28</v>
      </c>
      <c r="L31" t="s">
        <v>29</v>
      </c>
      <c r="M31" t="s">
        <v>39</v>
      </c>
      <c r="N31" t="s">
        <v>46</v>
      </c>
      <c r="O31" t="b">
        <v>0</v>
      </c>
      <c r="P31" t="b">
        <v>0</v>
      </c>
      <c r="Q31">
        <v>4.3</v>
      </c>
      <c r="R31" t="b">
        <v>0</v>
      </c>
      <c r="T31">
        <v>0</v>
      </c>
      <c r="U31">
        <v>26.69</v>
      </c>
      <c r="V31" t="b">
        <v>1</v>
      </c>
      <c r="W31" t="s">
        <v>41</v>
      </c>
    </row>
    <row r="32" spans="1:23" x14ac:dyDescent="0.25">
      <c r="A32" t="s">
        <v>68</v>
      </c>
      <c r="B32" t="s">
        <v>73</v>
      </c>
      <c r="C32">
        <v>58.29</v>
      </c>
      <c r="D32">
        <v>776</v>
      </c>
      <c r="E32" t="b">
        <v>1</v>
      </c>
      <c r="F32" t="b">
        <v>0</v>
      </c>
      <c r="G32" t="b">
        <v>1</v>
      </c>
      <c r="H32" t="s">
        <v>53</v>
      </c>
      <c r="I32" t="s">
        <v>63</v>
      </c>
      <c r="J32" t="s">
        <v>36</v>
      </c>
      <c r="K32" t="s">
        <v>28</v>
      </c>
      <c r="L32" t="s">
        <v>38</v>
      </c>
      <c r="M32" t="s">
        <v>28</v>
      </c>
      <c r="N32" t="s">
        <v>39</v>
      </c>
      <c r="O32" t="b">
        <v>1</v>
      </c>
      <c r="P32" t="b">
        <v>1</v>
      </c>
      <c r="Q32">
        <v>10</v>
      </c>
      <c r="R32" t="b">
        <v>0</v>
      </c>
      <c r="T32">
        <v>0</v>
      </c>
      <c r="U32">
        <v>63.76</v>
      </c>
      <c r="V32" t="b">
        <v>0</v>
      </c>
      <c r="W32" t="s">
        <v>58</v>
      </c>
    </row>
    <row r="33" spans="1:23" x14ac:dyDescent="0.25">
      <c r="A33" t="s">
        <v>32</v>
      </c>
      <c r="B33" t="s">
        <v>66</v>
      </c>
      <c r="C33">
        <v>76.42</v>
      </c>
      <c r="D33">
        <v>466</v>
      </c>
      <c r="E33" t="b">
        <v>1</v>
      </c>
      <c r="F33" t="b">
        <v>0</v>
      </c>
      <c r="G33" t="b">
        <v>0</v>
      </c>
      <c r="H33" t="s">
        <v>25</v>
      </c>
      <c r="I33" t="s">
        <v>44</v>
      </c>
      <c r="J33" t="s">
        <v>54</v>
      </c>
      <c r="K33" t="s">
        <v>37</v>
      </c>
      <c r="L33" t="s">
        <v>37</v>
      </c>
      <c r="M33" t="s">
        <v>47</v>
      </c>
      <c r="O33" t="b">
        <v>1</v>
      </c>
      <c r="P33" t="b">
        <v>1</v>
      </c>
      <c r="Q33">
        <v>9.4</v>
      </c>
      <c r="R33" t="b">
        <v>1</v>
      </c>
      <c r="S33" t="s">
        <v>30</v>
      </c>
      <c r="T33">
        <v>30.9</v>
      </c>
      <c r="U33">
        <v>66.39</v>
      </c>
      <c r="V33" t="b">
        <v>0</v>
      </c>
      <c r="W33" t="s">
        <v>31</v>
      </c>
    </row>
    <row r="34" spans="1:23" x14ac:dyDescent="0.25">
      <c r="A34" t="s">
        <v>68</v>
      </c>
      <c r="B34" t="s">
        <v>60</v>
      </c>
      <c r="C34">
        <v>48.76</v>
      </c>
      <c r="D34">
        <v>60</v>
      </c>
      <c r="E34" t="b">
        <v>0</v>
      </c>
      <c r="F34" t="b">
        <v>1</v>
      </c>
      <c r="G34" t="b">
        <v>1</v>
      </c>
      <c r="H34" t="s">
        <v>25</v>
      </c>
      <c r="I34" t="s">
        <v>63</v>
      </c>
      <c r="J34" t="s">
        <v>27</v>
      </c>
      <c r="K34" t="s">
        <v>46</v>
      </c>
      <c r="L34" t="s">
        <v>69</v>
      </c>
      <c r="M34" t="s">
        <v>46</v>
      </c>
      <c r="N34" t="s">
        <v>28</v>
      </c>
      <c r="O34" t="b">
        <v>1</v>
      </c>
      <c r="P34" t="b">
        <v>0</v>
      </c>
      <c r="Q34">
        <v>7.3</v>
      </c>
      <c r="R34" t="b">
        <v>1</v>
      </c>
      <c r="S34" t="s">
        <v>52</v>
      </c>
      <c r="T34">
        <v>26.3</v>
      </c>
      <c r="U34">
        <v>47.61</v>
      </c>
      <c r="V34" t="b">
        <v>0</v>
      </c>
      <c r="W34" t="s">
        <v>41</v>
      </c>
    </row>
    <row r="35" spans="1:23" x14ac:dyDescent="0.25">
      <c r="A35" t="s">
        <v>74</v>
      </c>
      <c r="B35" t="s">
        <v>24</v>
      </c>
      <c r="C35">
        <v>92.82</v>
      </c>
      <c r="D35">
        <v>541</v>
      </c>
      <c r="E35" t="b">
        <v>1</v>
      </c>
      <c r="F35" t="b">
        <v>0</v>
      </c>
      <c r="G35" t="b">
        <v>0</v>
      </c>
      <c r="H35" t="s">
        <v>25</v>
      </c>
      <c r="I35" t="s">
        <v>63</v>
      </c>
      <c r="J35" t="s">
        <v>45</v>
      </c>
      <c r="K35" t="s">
        <v>46</v>
      </c>
      <c r="L35" t="s">
        <v>69</v>
      </c>
      <c r="M35" t="s">
        <v>46</v>
      </c>
      <c r="P35" t="b">
        <v>0</v>
      </c>
      <c r="Q35">
        <v>10</v>
      </c>
      <c r="R35" t="b">
        <v>0</v>
      </c>
      <c r="T35">
        <v>0</v>
      </c>
      <c r="U35">
        <v>90.77</v>
      </c>
      <c r="V35" t="b">
        <v>1</v>
      </c>
      <c r="W35" t="s">
        <v>58</v>
      </c>
    </row>
    <row r="36" spans="1:23" x14ac:dyDescent="0.25">
      <c r="A36" t="s">
        <v>56</v>
      </c>
      <c r="B36" t="s">
        <v>60</v>
      </c>
      <c r="C36">
        <v>46.95</v>
      </c>
      <c r="D36">
        <v>521</v>
      </c>
      <c r="E36" t="b">
        <v>0</v>
      </c>
      <c r="F36" t="b">
        <v>0</v>
      </c>
      <c r="G36" t="b">
        <v>0</v>
      </c>
      <c r="H36" t="s">
        <v>53</v>
      </c>
      <c r="I36" t="s">
        <v>35</v>
      </c>
      <c r="J36" t="s">
        <v>45</v>
      </c>
      <c r="K36" t="s">
        <v>37</v>
      </c>
      <c r="L36" t="s">
        <v>29</v>
      </c>
      <c r="M36" t="s">
        <v>28</v>
      </c>
      <c r="P36" t="b">
        <v>0</v>
      </c>
      <c r="Q36">
        <v>5.2</v>
      </c>
      <c r="R36" t="b">
        <v>1</v>
      </c>
      <c r="S36" t="s">
        <v>55</v>
      </c>
      <c r="T36">
        <v>25.5</v>
      </c>
      <c r="U36">
        <v>58.55</v>
      </c>
      <c r="V36" t="b">
        <v>1</v>
      </c>
      <c r="W36" t="s">
        <v>41</v>
      </c>
    </row>
    <row r="37" spans="1:23" x14ac:dyDescent="0.25">
      <c r="A37" t="s">
        <v>23</v>
      </c>
      <c r="B37" t="s">
        <v>49</v>
      </c>
      <c r="C37">
        <v>60.77</v>
      </c>
      <c r="D37">
        <v>442</v>
      </c>
      <c r="E37" t="b">
        <v>1</v>
      </c>
      <c r="F37" t="b">
        <v>1</v>
      </c>
      <c r="G37" t="b">
        <v>1</v>
      </c>
      <c r="H37" t="s">
        <v>25</v>
      </c>
      <c r="I37" t="s">
        <v>44</v>
      </c>
      <c r="J37" t="s">
        <v>45</v>
      </c>
      <c r="K37" t="s">
        <v>37</v>
      </c>
      <c r="L37" t="s">
        <v>69</v>
      </c>
      <c r="M37" t="s">
        <v>28</v>
      </c>
      <c r="N37" t="s">
        <v>28</v>
      </c>
      <c r="P37" t="b">
        <v>0</v>
      </c>
      <c r="Q37">
        <v>8</v>
      </c>
      <c r="R37" t="b">
        <v>1</v>
      </c>
      <c r="S37" t="s">
        <v>64</v>
      </c>
      <c r="T37">
        <v>35</v>
      </c>
      <c r="U37">
        <v>71.84</v>
      </c>
      <c r="V37" t="b">
        <v>1</v>
      </c>
      <c r="W37" t="s">
        <v>31</v>
      </c>
    </row>
    <row r="38" spans="1:23" x14ac:dyDescent="0.25">
      <c r="A38" t="s">
        <v>23</v>
      </c>
      <c r="B38" t="s">
        <v>60</v>
      </c>
      <c r="C38">
        <v>56.58</v>
      </c>
      <c r="D38">
        <v>688</v>
      </c>
      <c r="E38" t="b">
        <v>0</v>
      </c>
      <c r="F38" t="b">
        <v>1</v>
      </c>
      <c r="G38" t="b">
        <v>0</v>
      </c>
      <c r="H38" t="s">
        <v>25</v>
      </c>
      <c r="I38" t="s">
        <v>44</v>
      </c>
      <c r="J38" t="s">
        <v>45</v>
      </c>
      <c r="K38" t="s">
        <v>37</v>
      </c>
      <c r="L38" t="s">
        <v>38</v>
      </c>
      <c r="M38" t="s">
        <v>46</v>
      </c>
      <c r="P38" t="b">
        <v>1</v>
      </c>
      <c r="Q38">
        <v>5.7</v>
      </c>
      <c r="R38" t="b">
        <v>1</v>
      </c>
      <c r="S38" t="s">
        <v>30</v>
      </c>
      <c r="T38">
        <v>14.8</v>
      </c>
      <c r="U38">
        <v>48.42</v>
      </c>
      <c r="V38" t="b">
        <v>1</v>
      </c>
      <c r="W38" t="s">
        <v>41</v>
      </c>
    </row>
    <row r="39" spans="1:23" x14ac:dyDescent="0.25">
      <c r="A39" t="s">
        <v>23</v>
      </c>
      <c r="B39" t="s">
        <v>24</v>
      </c>
      <c r="C39">
        <v>98.66</v>
      </c>
      <c r="D39">
        <v>109</v>
      </c>
      <c r="E39" t="b">
        <v>0</v>
      </c>
      <c r="F39" t="b">
        <v>1</v>
      </c>
      <c r="G39" t="b">
        <v>1</v>
      </c>
      <c r="H39" t="s">
        <v>34</v>
      </c>
      <c r="I39" t="s">
        <v>26</v>
      </c>
      <c r="J39" t="s">
        <v>50</v>
      </c>
      <c r="K39" t="s">
        <v>39</v>
      </c>
      <c r="L39" t="s">
        <v>69</v>
      </c>
      <c r="M39" t="s">
        <v>46</v>
      </c>
      <c r="O39" t="b">
        <v>0</v>
      </c>
      <c r="P39" t="b">
        <v>1</v>
      </c>
      <c r="Q39">
        <v>9.1</v>
      </c>
      <c r="R39" t="b">
        <v>1</v>
      </c>
      <c r="S39" t="s">
        <v>65</v>
      </c>
      <c r="T39">
        <v>16.600000000000001</v>
      </c>
      <c r="U39">
        <v>89.95</v>
      </c>
      <c r="V39" t="b">
        <v>1</v>
      </c>
      <c r="W39" t="s">
        <v>31</v>
      </c>
    </row>
    <row r="40" spans="1:23" x14ac:dyDescent="0.25">
      <c r="A40" t="s">
        <v>23</v>
      </c>
      <c r="B40" t="s">
        <v>24</v>
      </c>
      <c r="C40">
        <v>89.07</v>
      </c>
      <c r="D40">
        <v>258</v>
      </c>
      <c r="E40" t="b">
        <v>0</v>
      </c>
      <c r="F40" t="b">
        <v>0</v>
      </c>
      <c r="G40" t="b">
        <v>1</v>
      </c>
      <c r="H40" t="s">
        <v>43</v>
      </c>
      <c r="I40" t="s">
        <v>35</v>
      </c>
      <c r="J40" t="s">
        <v>54</v>
      </c>
      <c r="K40" t="s">
        <v>37</v>
      </c>
      <c r="L40" t="s">
        <v>37</v>
      </c>
      <c r="M40" t="s">
        <v>39</v>
      </c>
      <c r="N40" t="s">
        <v>46</v>
      </c>
      <c r="O40" t="b">
        <v>1</v>
      </c>
      <c r="P40" t="b">
        <v>0</v>
      </c>
      <c r="Q40">
        <v>10</v>
      </c>
      <c r="R40" t="b">
        <v>1</v>
      </c>
      <c r="S40" t="s">
        <v>75</v>
      </c>
      <c r="T40">
        <v>37.6</v>
      </c>
      <c r="U40">
        <v>89.53</v>
      </c>
      <c r="V40" t="b">
        <v>1</v>
      </c>
      <c r="W40" t="s">
        <v>31</v>
      </c>
    </row>
    <row r="41" spans="1:23" x14ac:dyDescent="0.25">
      <c r="A41" t="s">
        <v>74</v>
      </c>
      <c r="B41" t="s">
        <v>70</v>
      </c>
      <c r="C41">
        <v>83.32</v>
      </c>
      <c r="D41">
        <v>152</v>
      </c>
      <c r="E41" t="b">
        <v>1</v>
      </c>
      <c r="F41" t="b">
        <v>1</v>
      </c>
      <c r="G41" t="b">
        <v>1</v>
      </c>
      <c r="H41" t="s">
        <v>25</v>
      </c>
      <c r="I41" t="s">
        <v>63</v>
      </c>
      <c r="J41" t="s">
        <v>36</v>
      </c>
      <c r="K41" t="s">
        <v>28</v>
      </c>
      <c r="L41" t="s">
        <v>69</v>
      </c>
      <c r="M41" t="s">
        <v>47</v>
      </c>
      <c r="N41" t="s">
        <v>46</v>
      </c>
      <c r="O41" t="b">
        <v>1</v>
      </c>
      <c r="P41" t="b">
        <v>1</v>
      </c>
      <c r="Q41">
        <v>10</v>
      </c>
      <c r="R41" t="b">
        <v>1</v>
      </c>
      <c r="S41" t="s">
        <v>30</v>
      </c>
      <c r="T41">
        <v>44.5</v>
      </c>
      <c r="U41">
        <v>81</v>
      </c>
      <c r="V41" t="b">
        <v>1</v>
      </c>
      <c r="W41" t="s">
        <v>31</v>
      </c>
    </row>
    <row r="42" spans="1:23" x14ac:dyDescent="0.25">
      <c r="A42" t="s">
        <v>61</v>
      </c>
      <c r="B42" t="s">
        <v>76</v>
      </c>
      <c r="C42">
        <v>77.77</v>
      </c>
      <c r="D42">
        <v>97</v>
      </c>
      <c r="E42" t="b">
        <v>0</v>
      </c>
      <c r="F42" t="b">
        <v>1</v>
      </c>
      <c r="G42" t="b">
        <v>0</v>
      </c>
      <c r="H42" t="s">
        <v>25</v>
      </c>
      <c r="I42" t="s">
        <v>57</v>
      </c>
      <c r="J42" t="s">
        <v>36</v>
      </c>
      <c r="K42" t="s">
        <v>37</v>
      </c>
      <c r="L42" t="s">
        <v>69</v>
      </c>
      <c r="M42" t="s">
        <v>47</v>
      </c>
      <c r="N42" t="s">
        <v>46</v>
      </c>
      <c r="P42" t="b">
        <v>1</v>
      </c>
      <c r="Q42">
        <v>7.2</v>
      </c>
      <c r="R42" t="b">
        <v>1</v>
      </c>
      <c r="S42" t="s">
        <v>65</v>
      </c>
      <c r="T42">
        <v>2.2000000000000002</v>
      </c>
      <c r="U42">
        <v>76.98</v>
      </c>
      <c r="V42" t="b">
        <v>1</v>
      </c>
      <c r="W42" t="s">
        <v>41</v>
      </c>
    </row>
    <row r="43" spans="1:23" x14ac:dyDescent="0.25">
      <c r="A43" t="s">
        <v>23</v>
      </c>
      <c r="B43" t="s">
        <v>66</v>
      </c>
      <c r="C43">
        <v>65.010000000000005</v>
      </c>
      <c r="D43">
        <v>74</v>
      </c>
      <c r="E43" t="b">
        <v>1</v>
      </c>
      <c r="F43" t="b">
        <v>1</v>
      </c>
      <c r="G43" t="b">
        <v>0</v>
      </c>
      <c r="H43" t="s">
        <v>34</v>
      </c>
      <c r="I43" t="s">
        <v>67</v>
      </c>
      <c r="J43" t="s">
        <v>54</v>
      </c>
      <c r="K43" t="s">
        <v>28</v>
      </c>
      <c r="L43" t="s">
        <v>37</v>
      </c>
      <c r="M43" t="s">
        <v>28</v>
      </c>
      <c r="N43" t="s">
        <v>46</v>
      </c>
      <c r="O43" t="b">
        <v>0</v>
      </c>
      <c r="P43" t="b">
        <v>0</v>
      </c>
      <c r="Q43">
        <v>8</v>
      </c>
      <c r="R43" t="b">
        <v>0</v>
      </c>
      <c r="T43">
        <v>0</v>
      </c>
      <c r="U43">
        <v>46.75</v>
      </c>
      <c r="V43" t="b">
        <v>0</v>
      </c>
      <c r="W43" t="s">
        <v>58</v>
      </c>
    </row>
    <row r="44" spans="1:23" x14ac:dyDescent="0.25">
      <c r="A44" t="s">
        <v>74</v>
      </c>
      <c r="B44" t="s">
        <v>33</v>
      </c>
      <c r="C44">
        <v>84.03</v>
      </c>
      <c r="D44">
        <v>180</v>
      </c>
      <c r="E44" t="b">
        <v>0</v>
      </c>
      <c r="F44" t="b">
        <v>0</v>
      </c>
      <c r="G44" t="b">
        <v>1</v>
      </c>
      <c r="H44" t="s">
        <v>25</v>
      </c>
      <c r="I44" t="s">
        <v>63</v>
      </c>
      <c r="J44" t="s">
        <v>36</v>
      </c>
      <c r="K44" t="s">
        <v>39</v>
      </c>
      <c r="L44" t="s">
        <v>38</v>
      </c>
      <c r="M44" t="s">
        <v>39</v>
      </c>
      <c r="N44" t="s">
        <v>46</v>
      </c>
      <c r="O44" t="b">
        <v>1</v>
      </c>
      <c r="P44" t="b">
        <v>1</v>
      </c>
      <c r="Q44">
        <v>10</v>
      </c>
      <c r="R44" t="b">
        <v>1</v>
      </c>
      <c r="S44" t="s">
        <v>30</v>
      </c>
      <c r="T44">
        <v>34.6</v>
      </c>
      <c r="U44">
        <v>85.07</v>
      </c>
      <c r="V44" t="b">
        <v>1</v>
      </c>
      <c r="W44" t="s">
        <v>31</v>
      </c>
    </row>
    <row r="45" spans="1:23" x14ac:dyDescent="0.25">
      <c r="A45" t="s">
        <v>68</v>
      </c>
      <c r="B45" t="s">
        <v>73</v>
      </c>
      <c r="C45">
        <v>66.989999999999995</v>
      </c>
      <c r="D45">
        <v>263</v>
      </c>
      <c r="E45" t="b">
        <v>0</v>
      </c>
      <c r="F45" t="b">
        <v>0</v>
      </c>
      <c r="G45" t="b">
        <v>1</v>
      </c>
      <c r="H45" t="s">
        <v>43</v>
      </c>
      <c r="I45" t="s">
        <v>57</v>
      </c>
      <c r="J45" t="s">
        <v>27</v>
      </c>
      <c r="K45" t="s">
        <v>39</v>
      </c>
      <c r="L45" t="s">
        <v>29</v>
      </c>
      <c r="M45" t="s">
        <v>46</v>
      </c>
      <c r="N45" t="s">
        <v>46</v>
      </c>
      <c r="P45" t="b">
        <v>0</v>
      </c>
      <c r="Q45">
        <v>6.7</v>
      </c>
      <c r="R45" t="b">
        <v>1</v>
      </c>
      <c r="S45" t="s">
        <v>30</v>
      </c>
      <c r="T45">
        <v>6.1</v>
      </c>
      <c r="U45">
        <v>60.83</v>
      </c>
      <c r="V45" t="b">
        <v>1</v>
      </c>
      <c r="W45" t="s">
        <v>41</v>
      </c>
    </row>
    <row r="46" spans="1:23" x14ac:dyDescent="0.25">
      <c r="A46" t="s">
        <v>61</v>
      </c>
      <c r="B46" t="s">
        <v>59</v>
      </c>
      <c r="C46">
        <v>78.569999999999993</v>
      </c>
      <c r="D46">
        <v>772</v>
      </c>
      <c r="E46" t="b">
        <v>1</v>
      </c>
      <c r="F46" t="b">
        <v>0</v>
      </c>
      <c r="G46" t="b">
        <v>0</v>
      </c>
      <c r="H46" t="s">
        <v>25</v>
      </c>
      <c r="I46" t="s">
        <v>57</v>
      </c>
      <c r="J46" t="s">
        <v>27</v>
      </c>
      <c r="K46" t="s">
        <v>46</v>
      </c>
      <c r="L46" t="s">
        <v>51</v>
      </c>
      <c r="M46" t="s">
        <v>46</v>
      </c>
      <c r="O46" t="b">
        <v>0</v>
      </c>
      <c r="P46" t="b">
        <v>0</v>
      </c>
      <c r="Q46">
        <v>9</v>
      </c>
      <c r="R46" t="b">
        <v>0</v>
      </c>
      <c r="T46">
        <v>0</v>
      </c>
      <c r="U46">
        <v>92.84</v>
      </c>
      <c r="V46" t="b">
        <v>1</v>
      </c>
      <c r="W46" t="s">
        <v>58</v>
      </c>
    </row>
    <row r="47" spans="1:23" x14ac:dyDescent="0.25">
      <c r="A47" t="s">
        <v>74</v>
      </c>
      <c r="B47" t="s">
        <v>76</v>
      </c>
      <c r="C47">
        <v>80.430000000000007</v>
      </c>
      <c r="D47">
        <v>560</v>
      </c>
      <c r="E47" t="b">
        <v>1</v>
      </c>
      <c r="F47" t="b">
        <v>0</v>
      </c>
      <c r="G47" t="b">
        <v>1</v>
      </c>
      <c r="H47" t="s">
        <v>25</v>
      </c>
      <c r="I47" t="s">
        <v>57</v>
      </c>
      <c r="J47" t="s">
        <v>36</v>
      </c>
      <c r="K47" t="s">
        <v>39</v>
      </c>
      <c r="L47" t="s">
        <v>69</v>
      </c>
      <c r="M47" t="s">
        <v>46</v>
      </c>
      <c r="O47" t="b">
        <v>0</v>
      </c>
      <c r="P47" t="b">
        <v>1</v>
      </c>
      <c r="Q47">
        <v>8.5</v>
      </c>
      <c r="R47" t="b">
        <v>1</v>
      </c>
      <c r="S47" t="s">
        <v>40</v>
      </c>
      <c r="T47">
        <v>19.600000000000001</v>
      </c>
      <c r="U47">
        <v>84.6</v>
      </c>
      <c r="V47" t="b">
        <v>1</v>
      </c>
      <c r="W47" t="s">
        <v>31</v>
      </c>
    </row>
    <row r="48" spans="1:23" x14ac:dyDescent="0.25">
      <c r="A48" t="s">
        <v>56</v>
      </c>
      <c r="B48" t="s">
        <v>33</v>
      </c>
      <c r="C48">
        <v>76.069999999999993</v>
      </c>
      <c r="D48">
        <v>188</v>
      </c>
      <c r="E48" t="b">
        <v>0</v>
      </c>
      <c r="F48" t="b">
        <v>1</v>
      </c>
      <c r="G48" t="b">
        <v>1</v>
      </c>
      <c r="H48" t="s">
        <v>25</v>
      </c>
      <c r="I48" t="s">
        <v>35</v>
      </c>
      <c r="J48" t="s">
        <v>45</v>
      </c>
      <c r="K48" t="s">
        <v>37</v>
      </c>
      <c r="L48" t="s">
        <v>51</v>
      </c>
      <c r="M48" t="s">
        <v>28</v>
      </c>
      <c r="N48" t="s">
        <v>46</v>
      </c>
      <c r="O48" t="b">
        <v>0</v>
      </c>
      <c r="P48" t="b">
        <v>1</v>
      </c>
      <c r="Q48">
        <v>6.5</v>
      </c>
      <c r="R48" t="b">
        <v>1</v>
      </c>
      <c r="S48" t="s">
        <v>40</v>
      </c>
      <c r="T48">
        <v>35.6</v>
      </c>
      <c r="U48">
        <v>65.510000000000005</v>
      </c>
      <c r="V48" t="b">
        <v>1</v>
      </c>
      <c r="W48" t="s">
        <v>41</v>
      </c>
    </row>
    <row r="49" spans="1:23" x14ac:dyDescent="0.25">
      <c r="A49" t="s">
        <v>61</v>
      </c>
      <c r="B49" t="s">
        <v>73</v>
      </c>
      <c r="C49">
        <v>68.36</v>
      </c>
      <c r="D49">
        <v>416</v>
      </c>
      <c r="E49" t="b">
        <v>1</v>
      </c>
      <c r="F49" t="b">
        <v>1</v>
      </c>
      <c r="G49" t="b">
        <v>0</v>
      </c>
      <c r="H49" t="s">
        <v>25</v>
      </c>
      <c r="I49" t="s">
        <v>67</v>
      </c>
      <c r="J49" t="s">
        <v>36</v>
      </c>
      <c r="K49" t="s">
        <v>28</v>
      </c>
      <c r="L49" t="s">
        <v>29</v>
      </c>
      <c r="M49" t="s">
        <v>28</v>
      </c>
      <c r="N49" t="s">
        <v>46</v>
      </c>
      <c r="P49" t="b">
        <v>1</v>
      </c>
      <c r="Q49">
        <v>8.1999999999999993</v>
      </c>
      <c r="R49" t="b">
        <v>0</v>
      </c>
      <c r="T49">
        <v>0</v>
      </c>
      <c r="U49">
        <v>76.36</v>
      </c>
      <c r="V49" t="b">
        <v>1</v>
      </c>
      <c r="W49" t="s">
        <v>58</v>
      </c>
    </row>
    <row r="50" spans="1:23" x14ac:dyDescent="0.25">
      <c r="A50" t="s">
        <v>74</v>
      </c>
      <c r="B50" t="s">
        <v>59</v>
      </c>
      <c r="C50">
        <v>86.27</v>
      </c>
      <c r="D50">
        <v>666</v>
      </c>
      <c r="E50" t="b">
        <v>0</v>
      </c>
      <c r="F50" t="b">
        <v>0</v>
      </c>
      <c r="G50" t="b">
        <v>1</v>
      </c>
      <c r="H50" t="s">
        <v>43</v>
      </c>
      <c r="I50" t="s">
        <v>57</v>
      </c>
      <c r="J50" t="s">
        <v>27</v>
      </c>
      <c r="K50" t="s">
        <v>37</v>
      </c>
      <c r="L50" t="s">
        <v>29</v>
      </c>
      <c r="M50" t="s">
        <v>39</v>
      </c>
      <c r="N50" t="s">
        <v>46</v>
      </c>
      <c r="P50" t="b">
        <v>0</v>
      </c>
      <c r="Q50">
        <v>8.1</v>
      </c>
      <c r="R50" t="b">
        <v>1</v>
      </c>
      <c r="S50" t="s">
        <v>40</v>
      </c>
      <c r="T50">
        <v>25.3</v>
      </c>
      <c r="U50">
        <v>79.5</v>
      </c>
      <c r="V50" t="b">
        <v>1</v>
      </c>
      <c r="W50" t="s">
        <v>31</v>
      </c>
    </row>
    <row r="51" spans="1:23" x14ac:dyDescent="0.25">
      <c r="A51" t="s">
        <v>23</v>
      </c>
      <c r="B51" t="s">
        <v>33</v>
      </c>
      <c r="C51">
        <v>78</v>
      </c>
      <c r="D51">
        <v>563</v>
      </c>
      <c r="E51" t="b">
        <v>0</v>
      </c>
      <c r="F51" t="b">
        <v>1</v>
      </c>
      <c r="G51" t="b">
        <v>0</v>
      </c>
      <c r="H51" t="s">
        <v>43</v>
      </c>
      <c r="I51" t="s">
        <v>26</v>
      </c>
      <c r="J51" t="s">
        <v>36</v>
      </c>
      <c r="K51" t="s">
        <v>46</v>
      </c>
      <c r="L51" t="s">
        <v>29</v>
      </c>
      <c r="M51" t="s">
        <v>46</v>
      </c>
      <c r="N51" t="s">
        <v>28</v>
      </c>
      <c r="P51" t="b">
        <v>0</v>
      </c>
      <c r="Q51">
        <v>8.1</v>
      </c>
      <c r="R51" t="b">
        <v>0</v>
      </c>
      <c r="T51">
        <v>0</v>
      </c>
      <c r="U51">
        <v>74.430000000000007</v>
      </c>
      <c r="V51" t="b">
        <v>1</v>
      </c>
      <c r="W51" t="s">
        <v>58</v>
      </c>
    </row>
    <row r="52" spans="1:23" x14ac:dyDescent="0.25">
      <c r="A52" t="s">
        <v>68</v>
      </c>
      <c r="B52" t="s">
        <v>49</v>
      </c>
      <c r="C52">
        <v>64.34</v>
      </c>
      <c r="D52">
        <v>477</v>
      </c>
      <c r="E52" t="b">
        <v>1</v>
      </c>
      <c r="F52" t="b">
        <v>1</v>
      </c>
      <c r="G52" t="b">
        <v>0</v>
      </c>
      <c r="H52" t="s">
        <v>25</v>
      </c>
      <c r="I52" t="s">
        <v>26</v>
      </c>
      <c r="J52" t="s">
        <v>45</v>
      </c>
      <c r="K52" t="s">
        <v>39</v>
      </c>
      <c r="L52" t="s">
        <v>69</v>
      </c>
      <c r="M52" t="s">
        <v>28</v>
      </c>
      <c r="N52" t="s">
        <v>46</v>
      </c>
      <c r="P52" t="b">
        <v>1</v>
      </c>
      <c r="Q52">
        <v>8.6999999999999993</v>
      </c>
      <c r="R52" t="b">
        <v>0</v>
      </c>
      <c r="T52">
        <v>0</v>
      </c>
      <c r="U52">
        <v>75.099999999999994</v>
      </c>
      <c r="V52" t="b">
        <v>1</v>
      </c>
      <c r="W52" t="s">
        <v>58</v>
      </c>
    </row>
    <row r="53" spans="1:23" x14ac:dyDescent="0.25">
      <c r="A53" t="s">
        <v>61</v>
      </c>
      <c r="B53" t="s">
        <v>60</v>
      </c>
      <c r="C53">
        <v>48.63</v>
      </c>
      <c r="D53">
        <v>758</v>
      </c>
      <c r="E53" t="b">
        <v>1</v>
      </c>
      <c r="F53" t="b">
        <v>1</v>
      </c>
      <c r="G53" t="b">
        <v>1</v>
      </c>
      <c r="H53" t="s">
        <v>34</v>
      </c>
      <c r="I53" t="s">
        <v>44</v>
      </c>
      <c r="J53" t="s">
        <v>45</v>
      </c>
      <c r="K53" t="s">
        <v>46</v>
      </c>
      <c r="L53" t="s">
        <v>29</v>
      </c>
      <c r="M53" t="s">
        <v>46</v>
      </c>
      <c r="P53" t="b">
        <v>0</v>
      </c>
      <c r="Q53">
        <v>5.7</v>
      </c>
      <c r="R53" t="b">
        <v>0</v>
      </c>
      <c r="T53">
        <v>0</v>
      </c>
      <c r="U53">
        <v>60.58</v>
      </c>
      <c r="V53" t="b">
        <v>1</v>
      </c>
      <c r="W53" t="s">
        <v>41</v>
      </c>
    </row>
    <row r="54" spans="1:23" x14ac:dyDescent="0.25">
      <c r="A54" t="s">
        <v>74</v>
      </c>
      <c r="B54" t="s">
        <v>59</v>
      </c>
      <c r="C54">
        <v>78.510000000000005</v>
      </c>
      <c r="D54">
        <v>751</v>
      </c>
      <c r="E54" t="b">
        <v>1</v>
      </c>
      <c r="F54" t="b">
        <v>0</v>
      </c>
      <c r="G54" t="b">
        <v>1</v>
      </c>
      <c r="H54" t="s">
        <v>53</v>
      </c>
      <c r="I54" t="s">
        <v>26</v>
      </c>
      <c r="J54" t="s">
        <v>54</v>
      </c>
      <c r="K54" t="s">
        <v>46</v>
      </c>
      <c r="L54" t="s">
        <v>29</v>
      </c>
      <c r="M54" t="s">
        <v>39</v>
      </c>
      <c r="N54" t="s">
        <v>39</v>
      </c>
      <c r="P54" t="b">
        <v>0</v>
      </c>
      <c r="Q54">
        <v>8.5</v>
      </c>
      <c r="R54" t="b">
        <v>1</v>
      </c>
      <c r="S54" t="s">
        <v>48</v>
      </c>
      <c r="T54">
        <v>22.1</v>
      </c>
      <c r="U54">
        <v>73.84</v>
      </c>
      <c r="V54" t="b">
        <v>1</v>
      </c>
      <c r="W54" t="s">
        <v>31</v>
      </c>
    </row>
    <row r="55" spans="1:23" x14ac:dyDescent="0.25">
      <c r="A55" t="s">
        <v>61</v>
      </c>
      <c r="B55" t="s">
        <v>42</v>
      </c>
      <c r="C55">
        <v>65.680000000000007</v>
      </c>
      <c r="D55">
        <v>228</v>
      </c>
      <c r="E55" t="b">
        <v>0</v>
      </c>
      <c r="F55" t="b">
        <v>1</v>
      </c>
      <c r="G55" t="b">
        <v>0</v>
      </c>
      <c r="H55" t="s">
        <v>53</v>
      </c>
      <c r="I55" t="s">
        <v>57</v>
      </c>
      <c r="J55" t="s">
        <v>50</v>
      </c>
      <c r="K55" t="s">
        <v>46</v>
      </c>
      <c r="L55" t="s">
        <v>69</v>
      </c>
      <c r="M55" t="s">
        <v>28</v>
      </c>
      <c r="N55" t="s">
        <v>39</v>
      </c>
      <c r="O55" t="b">
        <v>0</v>
      </c>
      <c r="P55" t="b">
        <v>1</v>
      </c>
      <c r="Q55">
        <v>6.6</v>
      </c>
      <c r="R55" t="b">
        <v>0</v>
      </c>
      <c r="T55">
        <v>0</v>
      </c>
      <c r="U55">
        <v>67.84</v>
      </c>
      <c r="V55" t="b">
        <v>1</v>
      </c>
      <c r="W55" t="s">
        <v>31</v>
      </c>
    </row>
    <row r="56" spans="1:23" x14ac:dyDescent="0.25">
      <c r="A56" t="s">
        <v>68</v>
      </c>
      <c r="B56" t="s">
        <v>33</v>
      </c>
      <c r="C56">
        <v>83.56</v>
      </c>
      <c r="D56">
        <v>782</v>
      </c>
      <c r="E56" t="b">
        <v>0</v>
      </c>
      <c r="F56" t="b">
        <v>0</v>
      </c>
      <c r="G56" t="b">
        <v>0</v>
      </c>
      <c r="H56" t="s">
        <v>25</v>
      </c>
      <c r="I56" t="s">
        <v>44</v>
      </c>
      <c r="J56" t="s">
        <v>50</v>
      </c>
      <c r="K56" t="s">
        <v>46</v>
      </c>
      <c r="L56" t="s">
        <v>29</v>
      </c>
      <c r="M56" t="s">
        <v>46</v>
      </c>
      <c r="P56" t="b">
        <v>1</v>
      </c>
      <c r="Q56">
        <v>8.9</v>
      </c>
      <c r="R56" t="b">
        <v>1</v>
      </c>
      <c r="S56" t="s">
        <v>48</v>
      </c>
      <c r="T56">
        <v>17.2</v>
      </c>
      <c r="U56">
        <v>77.87</v>
      </c>
      <c r="V56" t="b">
        <v>1</v>
      </c>
      <c r="W56" t="s">
        <v>31</v>
      </c>
    </row>
    <row r="57" spans="1:23" x14ac:dyDescent="0.25">
      <c r="A57" t="s">
        <v>56</v>
      </c>
      <c r="B57" t="s">
        <v>76</v>
      </c>
      <c r="C57">
        <v>78.98</v>
      </c>
      <c r="D57">
        <v>721</v>
      </c>
      <c r="E57" t="b">
        <v>1</v>
      </c>
      <c r="F57" t="b">
        <v>0</v>
      </c>
      <c r="G57" t="b">
        <v>1</v>
      </c>
      <c r="H57" t="s">
        <v>34</v>
      </c>
      <c r="I57" t="s">
        <v>26</v>
      </c>
      <c r="J57" t="s">
        <v>45</v>
      </c>
      <c r="K57" t="s">
        <v>28</v>
      </c>
      <c r="L57" t="s">
        <v>37</v>
      </c>
      <c r="M57" t="s">
        <v>39</v>
      </c>
      <c r="N57" t="s">
        <v>39</v>
      </c>
      <c r="O57" t="b">
        <v>1</v>
      </c>
      <c r="P57" t="b">
        <v>1</v>
      </c>
      <c r="Q57">
        <v>10</v>
      </c>
      <c r="R57" t="b">
        <v>0</v>
      </c>
      <c r="T57">
        <v>0</v>
      </c>
      <c r="U57">
        <v>81.3</v>
      </c>
      <c r="V57" t="b">
        <v>1</v>
      </c>
      <c r="W57" t="s">
        <v>58</v>
      </c>
    </row>
    <row r="58" spans="1:23" x14ac:dyDescent="0.25">
      <c r="A58" t="s">
        <v>61</v>
      </c>
      <c r="B58" t="s">
        <v>71</v>
      </c>
      <c r="C58">
        <v>44.6</v>
      </c>
      <c r="D58">
        <v>177</v>
      </c>
      <c r="E58" t="b">
        <v>1</v>
      </c>
      <c r="F58" t="b">
        <v>1</v>
      </c>
      <c r="G58" t="b">
        <v>1</v>
      </c>
      <c r="H58" t="s">
        <v>53</v>
      </c>
      <c r="I58" t="s">
        <v>44</v>
      </c>
      <c r="J58" t="s">
        <v>54</v>
      </c>
      <c r="K58" t="s">
        <v>28</v>
      </c>
      <c r="L58" t="s">
        <v>37</v>
      </c>
      <c r="M58" t="s">
        <v>39</v>
      </c>
      <c r="O58" t="b">
        <v>1</v>
      </c>
      <c r="P58" t="b">
        <v>0</v>
      </c>
      <c r="Q58">
        <v>5.8</v>
      </c>
      <c r="R58" t="b">
        <v>1</v>
      </c>
      <c r="S58" t="s">
        <v>75</v>
      </c>
      <c r="T58">
        <v>37</v>
      </c>
      <c r="U58">
        <v>22.32</v>
      </c>
      <c r="V58" t="b">
        <v>0</v>
      </c>
      <c r="W58" t="s">
        <v>41</v>
      </c>
    </row>
    <row r="59" spans="1:23" x14ac:dyDescent="0.25">
      <c r="A59" t="s">
        <v>61</v>
      </c>
      <c r="B59" t="s">
        <v>76</v>
      </c>
      <c r="C59">
        <v>89.73</v>
      </c>
      <c r="D59">
        <v>530</v>
      </c>
      <c r="E59" t="b">
        <v>0</v>
      </c>
      <c r="F59" t="b">
        <v>0</v>
      </c>
      <c r="G59" t="b">
        <v>1</v>
      </c>
      <c r="H59" t="s">
        <v>43</v>
      </c>
      <c r="I59" t="s">
        <v>35</v>
      </c>
      <c r="J59" t="s">
        <v>54</v>
      </c>
      <c r="K59" t="s">
        <v>39</v>
      </c>
      <c r="L59" t="s">
        <v>51</v>
      </c>
      <c r="M59" t="s">
        <v>47</v>
      </c>
      <c r="N59" t="s">
        <v>46</v>
      </c>
      <c r="P59" t="b">
        <v>0</v>
      </c>
      <c r="Q59">
        <v>8</v>
      </c>
      <c r="R59" t="b">
        <v>0</v>
      </c>
      <c r="T59">
        <v>0</v>
      </c>
      <c r="U59">
        <v>87.16</v>
      </c>
      <c r="V59" t="b">
        <v>1</v>
      </c>
      <c r="W59" t="s">
        <v>58</v>
      </c>
    </row>
    <row r="60" spans="1:23" x14ac:dyDescent="0.25">
      <c r="A60" t="s">
        <v>68</v>
      </c>
      <c r="B60" t="s">
        <v>24</v>
      </c>
      <c r="C60">
        <v>85.71</v>
      </c>
      <c r="D60">
        <v>745</v>
      </c>
      <c r="E60" t="b">
        <v>1</v>
      </c>
      <c r="F60" t="b">
        <v>1</v>
      </c>
      <c r="G60" t="b">
        <v>1</v>
      </c>
      <c r="H60" t="s">
        <v>25</v>
      </c>
      <c r="I60" t="s">
        <v>63</v>
      </c>
      <c r="J60" t="s">
        <v>27</v>
      </c>
      <c r="K60" t="s">
        <v>37</v>
      </c>
      <c r="L60" t="s">
        <v>69</v>
      </c>
      <c r="M60" t="s">
        <v>39</v>
      </c>
      <c r="N60" t="s">
        <v>28</v>
      </c>
      <c r="P60" t="b">
        <v>1</v>
      </c>
      <c r="Q60">
        <v>8.8000000000000007</v>
      </c>
      <c r="R60" t="b">
        <v>1</v>
      </c>
      <c r="S60" t="s">
        <v>75</v>
      </c>
      <c r="T60">
        <v>41.3</v>
      </c>
      <c r="U60">
        <v>79.75</v>
      </c>
      <c r="V60" t="b">
        <v>1</v>
      </c>
      <c r="W60" t="s">
        <v>31</v>
      </c>
    </row>
    <row r="61" spans="1:23" x14ac:dyDescent="0.25">
      <c r="A61" t="s">
        <v>56</v>
      </c>
      <c r="B61" t="s">
        <v>62</v>
      </c>
      <c r="C61">
        <v>66.94</v>
      </c>
      <c r="D61">
        <v>591</v>
      </c>
      <c r="E61" t="b">
        <v>0</v>
      </c>
      <c r="F61" t="b">
        <v>1</v>
      </c>
      <c r="G61" t="b">
        <v>0</v>
      </c>
      <c r="H61" t="s">
        <v>53</v>
      </c>
      <c r="I61" t="s">
        <v>57</v>
      </c>
      <c r="J61" t="s">
        <v>36</v>
      </c>
      <c r="K61" t="s">
        <v>46</v>
      </c>
      <c r="L61" t="s">
        <v>38</v>
      </c>
      <c r="M61" t="s">
        <v>47</v>
      </c>
      <c r="N61" t="s">
        <v>46</v>
      </c>
      <c r="P61" t="b">
        <v>0</v>
      </c>
      <c r="Q61">
        <v>6.2</v>
      </c>
      <c r="R61" t="b">
        <v>1</v>
      </c>
      <c r="S61" t="s">
        <v>64</v>
      </c>
      <c r="T61">
        <v>31</v>
      </c>
      <c r="U61">
        <v>58.21</v>
      </c>
      <c r="V61" t="b">
        <v>1</v>
      </c>
      <c r="W61" t="s">
        <v>41</v>
      </c>
    </row>
    <row r="62" spans="1:23" x14ac:dyDescent="0.25">
      <c r="A62" t="s">
        <v>68</v>
      </c>
      <c r="B62" t="s">
        <v>49</v>
      </c>
      <c r="C62">
        <v>69.400000000000006</v>
      </c>
      <c r="D62">
        <v>127</v>
      </c>
      <c r="E62" t="b">
        <v>1</v>
      </c>
      <c r="F62" t="b">
        <v>1</v>
      </c>
      <c r="G62" t="b">
        <v>0</v>
      </c>
      <c r="H62" t="s">
        <v>34</v>
      </c>
      <c r="I62" t="s">
        <v>57</v>
      </c>
      <c r="J62" t="s">
        <v>36</v>
      </c>
      <c r="K62" t="s">
        <v>39</v>
      </c>
      <c r="L62" t="s">
        <v>51</v>
      </c>
      <c r="M62" t="s">
        <v>47</v>
      </c>
      <c r="N62" t="s">
        <v>46</v>
      </c>
      <c r="P62" t="b">
        <v>1</v>
      </c>
      <c r="Q62">
        <v>7</v>
      </c>
      <c r="R62" t="b">
        <v>1</v>
      </c>
      <c r="S62" t="s">
        <v>75</v>
      </c>
      <c r="T62">
        <v>8.4</v>
      </c>
      <c r="U62">
        <v>83.3</v>
      </c>
      <c r="V62" t="b">
        <v>1</v>
      </c>
      <c r="W62" t="s">
        <v>41</v>
      </c>
    </row>
    <row r="63" spans="1:23" x14ac:dyDescent="0.25">
      <c r="A63" t="s">
        <v>32</v>
      </c>
      <c r="B63" t="s">
        <v>49</v>
      </c>
      <c r="C63">
        <v>78.42</v>
      </c>
      <c r="D63">
        <v>154</v>
      </c>
      <c r="E63" t="b">
        <v>0</v>
      </c>
      <c r="F63" t="b">
        <v>0</v>
      </c>
      <c r="G63" t="b">
        <v>0</v>
      </c>
      <c r="H63" t="s">
        <v>53</v>
      </c>
      <c r="I63" t="s">
        <v>44</v>
      </c>
      <c r="J63" t="s">
        <v>36</v>
      </c>
      <c r="K63" t="s">
        <v>28</v>
      </c>
      <c r="L63" t="s">
        <v>29</v>
      </c>
      <c r="M63" t="s">
        <v>28</v>
      </c>
      <c r="N63" t="s">
        <v>46</v>
      </c>
      <c r="P63" t="b">
        <v>0</v>
      </c>
      <c r="Q63">
        <v>8.8000000000000007</v>
      </c>
      <c r="R63" t="b">
        <v>0</v>
      </c>
      <c r="T63">
        <v>0</v>
      </c>
      <c r="U63">
        <v>66.900000000000006</v>
      </c>
      <c r="V63" t="b">
        <v>0</v>
      </c>
      <c r="W63" t="s">
        <v>58</v>
      </c>
    </row>
    <row r="64" spans="1:23" x14ac:dyDescent="0.25">
      <c r="A64" t="s">
        <v>56</v>
      </c>
      <c r="B64" t="s">
        <v>33</v>
      </c>
      <c r="C64">
        <v>80.39</v>
      </c>
      <c r="D64">
        <v>298</v>
      </c>
      <c r="E64" t="b">
        <v>0</v>
      </c>
      <c r="F64" t="b">
        <v>1</v>
      </c>
      <c r="G64" t="b">
        <v>0</v>
      </c>
      <c r="H64" t="s">
        <v>34</v>
      </c>
      <c r="I64" t="s">
        <v>67</v>
      </c>
      <c r="J64" t="s">
        <v>50</v>
      </c>
      <c r="K64" t="s">
        <v>46</v>
      </c>
      <c r="L64" t="s">
        <v>37</v>
      </c>
      <c r="M64" t="s">
        <v>39</v>
      </c>
      <c r="N64" t="s">
        <v>39</v>
      </c>
      <c r="O64" t="b">
        <v>0</v>
      </c>
      <c r="P64" t="b">
        <v>1</v>
      </c>
      <c r="Q64">
        <v>7.5</v>
      </c>
      <c r="R64" t="b">
        <v>1</v>
      </c>
      <c r="S64" t="s">
        <v>55</v>
      </c>
      <c r="T64">
        <v>2.4</v>
      </c>
      <c r="U64">
        <v>77.290000000000006</v>
      </c>
      <c r="V64" t="b">
        <v>1</v>
      </c>
      <c r="W64" t="s">
        <v>41</v>
      </c>
    </row>
    <row r="65" spans="1:23" x14ac:dyDescent="0.25">
      <c r="A65" t="s">
        <v>74</v>
      </c>
      <c r="B65" t="s">
        <v>59</v>
      </c>
      <c r="C65">
        <v>83.16</v>
      </c>
      <c r="D65">
        <v>257</v>
      </c>
      <c r="E65" t="b">
        <v>1</v>
      </c>
      <c r="F65" t="b">
        <v>1</v>
      </c>
      <c r="G65" t="b">
        <v>1</v>
      </c>
      <c r="H65" t="s">
        <v>34</v>
      </c>
      <c r="I65" t="s">
        <v>63</v>
      </c>
      <c r="J65" t="s">
        <v>50</v>
      </c>
      <c r="K65" t="s">
        <v>46</v>
      </c>
      <c r="L65" t="s">
        <v>37</v>
      </c>
      <c r="M65" t="s">
        <v>39</v>
      </c>
      <c r="P65" t="b">
        <v>1</v>
      </c>
      <c r="Q65">
        <v>9.3000000000000007</v>
      </c>
      <c r="R65" t="b">
        <v>1</v>
      </c>
      <c r="S65" t="s">
        <v>65</v>
      </c>
      <c r="T65">
        <v>16.5</v>
      </c>
      <c r="U65">
        <v>96.68</v>
      </c>
      <c r="V65" t="b">
        <v>1</v>
      </c>
      <c r="W65" t="s">
        <v>31</v>
      </c>
    </row>
    <row r="66" spans="1:23" x14ac:dyDescent="0.25">
      <c r="A66" t="s">
        <v>61</v>
      </c>
      <c r="B66" t="s">
        <v>42</v>
      </c>
      <c r="C66">
        <v>72.92</v>
      </c>
      <c r="D66">
        <v>490</v>
      </c>
      <c r="E66" t="b">
        <v>0</v>
      </c>
      <c r="F66" t="b">
        <v>1</v>
      </c>
      <c r="G66" t="b">
        <v>1</v>
      </c>
      <c r="H66" t="s">
        <v>43</v>
      </c>
      <c r="I66" t="s">
        <v>67</v>
      </c>
      <c r="J66" t="s">
        <v>36</v>
      </c>
      <c r="K66" t="s">
        <v>46</v>
      </c>
      <c r="L66" t="s">
        <v>51</v>
      </c>
      <c r="M66" t="s">
        <v>28</v>
      </c>
      <c r="N66" t="s">
        <v>28</v>
      </c>
      <c r="O66" t="b">
        <v>0</v>
      </c>
      <c r="P66" t="b">
        <v>1</v>
      </c>
      <c r="Q66">
        <v>7.3</v>
      </c>
      <c r="R66" t="b">
        <v>1</v>
      </c>
      <c r="S66" t="s">
        <v>55</v>
      </c>
      <c r="T66">
        <v>37.6</v>
      </c>
      <c r="U66">
        <v>87.51</v>
      </c>
      <c r="V66" t="b">
        <v>1</v>
      </c>
      <c r="W66" t="s">
        <v>41</v>
      </c>
    </row>
    <row r="67" spans="1:23" x14ac:dyDescent="0.25">
      <c r="A67" t="s">
        <v>61</v>
      </c>
      <c r="B67" t="s">
        <v>33</v>
      </c>
      <c r="C67">
        <v>75.38</v>
      </c>
      <c r="D67">
        <v>317</v>
      </c>
      <c r="E67" t="b">
        <v>0</v>
      </c>
      <c r="F67" t="b">
        <v>1</v>
      </c>
      <c r="G67" t="b">
        <v>0</v>
      </c>
      <c r="H67" t="s">
        <v>34</v>
      </c>
      <c r="I67" t="s">
        <v>44</v>
      </c>
      <c r="J67" t="s">
        <v>54</v>
      </c>
      <c r="K67" t="s">
        <v>46</v>
      </c>
      <c r="L67" t="s">
        <v>51</v>
      </c>
      <c r="M67" t="s">
        <v>47</v>
      </c>
      <c r="O67" t="b">
        <v>0</v>
      </c>
      <c r="P67" t="b">
        <v>0</v>
      </c>
      <c r="Q67">
        <v>5.0999999999999996</v>
      </c>
      <c r="R67" t="b">
        <v>1</v>
      </c>
      <c r="S67" t="s">
        <v>75</v>
      </c>
      <c r="T67">
        <v>25.4</v>
      </c>
      <c r="U67">
        <v>60.63</v>
      </c>
      <c r="V67" t="b">
        <v>1</v>
      </c>
      <c r="W67" t="s">
        <v>41</v>
      </c>
    </row>
    <row r="68" spans="1:23" x14ac:dyDescent="0.25">
      <c r="A68" t="s">
        <v>32</v>
      </c>
      <c r="B68" t="s">
        <v>66</v>
      </c>
      <c r="C68">
        <v>65.959999999999994</v>
      </c>
      <c r="D68">
        <v>794</v>
      </c>
      <c r="E68" t="b">
        <v>1</v>
      </c>
      <c r="F68" t="b">
        <v>1</v>
      </c>
      <c r="G68" t="b">
        <v>1</v>
      </c>
      <c r="H68" t="s">
        <v>43</v>
      </c>
      <c r="I68" t="s">
        <v>35</v>
      </c>
      <c r="J68" t="s">
        <v>27</v>
      </c>
      <c r="K68" t="s">
        <v>28</v>
      </c>
      <c r="L68" t="s">
        <v>38</v>
      </c>
      <c r="M68" t="s">
        <v>47</v>
      </c>
      <c r="N68" t="s">
        <v>39</v>
      </c>
      <c r="P68" t="b">
        <v>1</v>
      </c>
      <c r="Q68">
        <v>7.4</v>
      </c>
      <c r="R68" t="b">
        <v>1</v>
      </c>
      <c r="S68" t="s">
        <v>48</v>
      </c>
      <c r="T68">
        <v>21.3</v>
      </c>
      <c r="U68">
        <v>66.599999999999994</v>
      </c>
      <c r="V68" t="b">
        <v>1</v>
      </c>
      <c r="W68" t="s">
        <v>41</v>
      </c>
    </row>
    <row r="69" spans="1:23" x14ac:dyDescent="0.25">
      <c r="A69" t="s">
        <v>32</v>
      </c>
      <c r="B69" t="s">
        <v>73</v>
      </c>
      <c r="C69">
        <v>58.08</v>
      </c>
      <c r="D69">
        <v>587</v>
      </c>
      <c r="E69" t="b">
        <v>1</v>
      </c>
      <c r="F69" t="b">
        <v>1</v>
      </c>
      <c r="G69" t="b">
        <v>0</v>
      </c>
      <c r="H69" t="s">
        <v>43</v>
      </c>
      <c r="I69" t="s">
        <v>63</v>
      </c>
      <c r="J69" t="s">
        <v>36</v>
      </c>
      <c r="K69" t="s">
        <v>46</v>
      </c>
      <c r="L69" t="s">
        <v>29</v>
      </c>
      <c r="M69" t="s">
        <v>28</v>
      </c>
      <c r="N69" t="s">
        <v>39</v>
      </c>
      <c r="P69" t="b">
        <v>0</v>
      </c>
      <c r="Q69">
        <v>7.9</v>
      </c>
      <c r="R69" t="b">
        <v>1</v>
      </c>
      <c r="S69" t="s">
        <v>30</v>
      </c>
      <c r="T69">
        <v>41.5</v>
      </c>
      <c r="U69">
        <v>61.59</v>
      </c>
      <c r="V69" t="b">
        <v>1</v>
      </c>
      <c r="W69" t="s">
        <v>41</v>
      </c>
    </row>
    <row r="70" spans="1:23" x14ac:dyDescent="0.25">
      <c r="A70" t="s">
        <v>74</v>
      </c>
      <c r="B70" t="s">
        <v>66</v>
      </c>
      <c r="C70">
        <v>59.28</v>
      </c>
      <c r="D70">
        <v>138</v>
      </c>
      <c r="E70" t="b">
        <v>1</v>
      </c>
      <c r="F70" t="b">
        <v>1</v>
      </c>
      <c r="G70" t="b">
        <v>0</v>
      </c>
      <c r="H70" t="s">
        <v>34</v>
      </c>
      <c r="I70" t="s">
        <v>44</v>
      </c>
      <c r="J70" t="s">
        <v>50</v>
      </c>
      <c r="K70" t="s">
        <v>46</v>
      </c>
      <c r="L70" t="s">
        <v>51</v>
      </c>
      <c r="M70" t="s">
        <v>46</v>
      </c>
      <c r="N70" t="s">
        <v>39</v>
      </c>
      <c r="P70" t="b">
        <v>1</v>
      </c>
      <c r="Q70">
        <v>7.6</v>
      </c>
      <c r="R70" t="b">
        <v>0</v>
      </c>
      <c r="T70">
        <v>0</v>
      </c>
      <c r="U70">
        <v>35.69</v>
      </c>
      <c r="V70" t="b">
        <v>0</v>
      </c>
      <c r="W70" t="s">
        <v>31</v>
      </c>
    </row>
    <row r="71" spans="1:23" x14ac:dyDescent="0.25">
      <c r="A71" t="s">
        <v>61</v>
      </c>
      <c r="B71" t="s">
        <v>24</v>
      </c>
      <c r="C71">
        <v>98.51</v>
      </c>
      <c r="D71">
        <v>697</v>
      </c>
      <c r="E71" t="b">
        <v>0</v>
      </c>
      <c r="F71" t="b">
        <v>0</v>
      </c>
      <c r="G71" t="b">
        <v>1</v>
      </c>
      <c r="H71" t="s">
        <v>25</v>
      </c>
      <c r="I71" t="s">
        <v>63</v>
      </c>
      <c r="J71" t="s">
        <v>27</v>
      </c>
      <c r="K71" t="s">
        <v>28</v>
      </c>
      <c r="L71" t="s">
        <v>51</v>
      </c>
      <c r="M71" t="s">
        <v>47</v>
      </c>
      <c r="N71" t="s">
        <v>39</v>
      </c>
      <c r="P71" t="b">
        <v>0</v>
      </c>
      <c r="Q71">
        <v>9.5</v>
      </c>
      <c r="R71" t="b">
        <v>1</v>
      </c>
      <c r="S71" t="s">
        <v>55</v>
      </c>
      <c r="T71">
        <v>39</v>
      </c>
      <c r="U71">
        <v>100</v>
      </c>
      <c r="V71" t="b">
        <v>1</v>
      </c>
      <c r="W71" t="s">
        <v>31</v>
      </c>
    </row>
    <row r="72" spans="1:23" x14ac:dyDescent="0.25">
      <c r="A72" t="s">
        <v>68</v>
      </c>
      <c r="B72" t="s">
        <v>70</v>
      </c>
      <c r="C72">
        <v>88.03</v>
      </c>
      <c r="D72">
        <v>129</v>
      </c>
      <c r="E72" t="b">
        <v>1</v>
      </c>
      <c r="F72" t="b">
        <v>0</v>
      </c>
      <c r="G72" t="b">
        <v>0</v>
      </c>
      <c r="H72" t="s">
        <v>34</v>
      </c>
      <c r="I72" t="s">
        <v>26</v>
      </c>
      <c r="J72" t="s">
        <v>54</v>
      </c>
      <c r="K72" t="s">
        <v>37</v>
      </c>
      <c r="L72" t="s">
        <v>69</v>
      </c>
      <c r="M72" t="s">
        <v>28</v>
      </c>
      <c r="N72" t="s">
        <v>39</v>
      </c>
      <c r="P72" t="b">
        <v>0</v>
      </c>
      <c r="Q72">
        <v>10</v>
      </c>
      <c r="R72" t="b">
        <v>0</v>
      </c>
      <c r="T72">
        <v>0</v>
      </c>
      <c r="U72">
        <v>96.82</v>
      </c>
      <c r="V72" t="b">
        <v>1</v>
      </c>
      <c r="W72" t="s">
        <v>58</v>
      </c>
    </row>
    <row r="73" spans="1:23" x14ac:dyDescent="0.25">
      <c r="A73" t="s">
        <v>56</v>
      </c>
      <c r="B73" t="s">
        <v>59</v>
      </c>
      <c r="C73">
        <v>75.58</v>
      </c>
      <c r="D73">
        <v>253</v>
      </c>
      <c r="E73" t="b">
        <v>0</v>
      </c>
      <c r="F73" t="b">
        <v>0</v>
      </c>
      <c r="G73" t="b">
        <v>0</v>
      </c>
      <c r="H73" t="s">
        <v>53</v>
      </c>
      <c r="I73" t="s">
        <v>35</v>
      </c>
      <c r="J73" t="s">
        <v>36</v>
      </c>
      <c r="K73" t="s">
        <v>39</v>
      </c>
      <c r="L73" t="s">
        <v>29</v>
      </c>
      <c r="M73" t="s">
        <v>28</v>
      </c>
      <c r="P73" t="b">
        <v>0</v>
      </c>
      <c r="Q73">
        <v>8.1</v>
      </c>
      <c r="R73" t="b">
        <v>1</v>
      </c>
      <c r="S73" t="s">
        <v>48</v>
      </c>
      <c r="T73">
        <v>32.6</v>
      </c>
      <c r="U73">
        <v>61.68</v>
      </c>
      <c r="V73" t="b">
        <v>1</v>
      </c>
      <c r="W73" t="s">
        <v>31</v>
      </c>
    </row>
    <row r="74" spans="1:23" x14ac:dyDescent="0.25">
      <c r="A74" t="s">
        <v>68</v>
      </c>
      <c r="B74" t="s">
        <v>71</v>
      </c>
      <c r="C74">
        <v>47.38</v>
      </c>
      <c r="D74">
        <v>144</v>
      </c>
      <c r="E74" t="b">
        <v>0</v>
      </c>
      <c r="F74" t="b">
        <v>1</v>
      </c>
      <c r="G74" t="b">
        <v>1</v>
      </c>
      <c r="H74" t="s">
        <v>34</v>
      </c>
      <c r="I74" t="s">
        <v>63</v>
      </c>
      <c r="J74" t="s">
        <v>27</v>
      </c>
      <c r="K74" t="s">
        <v>46</v>
      </c>
      <c r="L74" t="s">
        <v>29</v>
      </c>
      <c r="M74" t="s">
        <v>47</v>
      </c>
      <c r="P74" t="b">
        <v>0</v>
      </c>
      <c r="Q74">
        <v>4.2</v>
      </c>
      <c r="R74" t="b">
        <v>1</v>
      </c>
      <c r="S74" t="s">
        <v>75</v>
      </c>
      <c r="T74">
        <v>31.8</v>
      </c>
      <c r="U74">
        <v>35.21</v>
      </c>
      <c r="V74" t="b">
        <v>1</v>
      </c>
      <c r="W74" t="s">
        <v>72</v>
      </c>
    </row>
    <row r="75" spans="1:23" x14ac:dyDescent="0.25">
      <c r="A75" t="s">
        <v>68</v>
      </c>
      <c r="B75" t="s">
        <v>70</v>
      </c>
      <c r="C75">
        <v>76.86</v>
      </c>
      <c r="D75">
        <v>439</v>
      </c>
      <c r="E75" t="b">
        <v>1</v>
      </c>
      <c r="F75" t="b">
        <v>0</v>
      </c>
      <c r="G75" t="b">
        <v>0</v>
      </c>
      <c r="H75" t="s">
        <v>43</v>
      </c>
      <c r="I75" t="s">
        <v>35</v>
      </c>
      <c r="J75" t="s">
        <v>36</v>
      </c>
      <c r="K75" t="s">
        <v>28</v>
      </c>
      <c r="L75" t="s">
        <v>38</v>
      </c>
      <c r="M75" t="s">
        <v>46</v>
      </c>
      <c r="N75" t="s">
        <v>46</v>
      </c>
      <c r="O75" t="b">
        <v>1</v>
      </c>
      <c r="P75" t="b">
        <v>0</v>
      </c>
      <c r="Q75">
        <v>10</v>
      </c>
      <c r="R75" t="b">
        <v>1</v>
      </c>
      <c r="S75" t="s">
        <v>55</v>
      </c>
      <c r="T75">
        <v>32.799999999999997</v>
      </c>
      <c r="U75">
        <v>68.52</v>
      </c>
      <c r="V75" t="b">
        <v>0</v>
      </c>
      <c r="W75" t="s">
        <v>31</v>
      </c>
    </row>
    <row r="76" spans="1:23" x14ac:dyDescent="0.25">
      <c r="A76" t="s">
        <v>23</v>
      </c>
      <c r="B76" t="s">
        <v>24</v>
      </c>
      <c r="C76">
        <v>88.16</v>
      </c>
      <c r="D76">
        <v>689</v>
      </c>
      <c r="E76" t="b">
        <v>1</v>
      </c>
      <c r="F76" t="b">
        <v>1</v>
      </c>
      <c r="G76" t="b">
        <v>0</v>
      </c>
      <c r="H76" t="s">
        <v>53</v>
      </c>
      <c r="I76" t="s">
        <v>63</v>
      </c>
      <c r="J76" t="s">
        <v>45</v>
      </c>
      <c r="K76" t="s">
        <v>46</v>
      </c>
      <c r="L76" t="s">
        <v>37</v>
      </c>
      <c r="M76" t="s">
        <v>46</v>
      </c>
      <c r="N76" t="s">
        <v>28</v>
      </c>
      <c r="O76" t="b">
        <v>1</v>
      </c>
      <c r="P76" t="b">
        <v>0</v>
      </c>
      <c r="Q76">
        <v>10</v>
      </c>
      <c r="R76" t="b">
        <v>0</v>
      </c>
      <c r="T76">
        <v>0</v>
      </c>
      <c r="U76">
        <v>75.67</v>
      </c>
      <c r="V76" t="b">
        <v>0</v>
      </c>
      <c r="W76" t="s">
        <v>58</v>
      </c>
    </row>
    <row r="77" spans="1:23" x14ac:dyDescent="0.25">
      <c r="A77" t="s">
        <v>61</v>
      </c>
      <c r="B77" t="s">
        <v>76</v>
      </c>
      <c r="C77">
        <v>89.46</v>
      </c>
      <c r="D77">
        <v>751</v>
      </c>
      <c r="E77" t="b">
        <v>1</v>
      </c>
      <c r="F77" t="b">
        <v>1</v>
      </c>
      <c r="G77" t="b">
        <v>1</v>
      </c>
      <c r="H77" t="s">
        <v>43</v>
      </c>
      <c r="I77" t="s">
        <v>67</v>
      </c>
      <c r="J77" t="s">
        <v>45</v>
      </c>
      <c r="K77" t="s">
        <v>28</v>
      </c>
      <c r="L77" t="s">
        <v>37</v>
      </c>
      <c r="M77" t="s">
        <v>39</v>
      </c>
      <c r="N77" t="s">
        <v>46</v>
      </c>
      <c r="O77" t="b">
        <v>0</v>
      </c>
      <c r="P77" t="b">
        <v>0</v>
      </c>
      <c r="Q77">
        <v>8.4</v>
      </c>
      <c r="R77" t="b">
        <v>1</v>
      </c>
      <c r="S77" t="s">
        <v>30</v>
      </c>
      <c r="T77">
        <v>35.799999999999997</v>
      </c>
      <c r="U77">
        <v>79.42</v>
      </c>
      <c r="V77" t="b">
        <v>1</v>
      </c>
      <c r="W77" t="s">
        <v>31</v>
      </c>
    </row>
    <row r="78" spans="1:23" x14ac:dyDescent="0.25">
      <c r="A78" t="s">
        <v>23</v>
      </c>
      <c r="B78" t="s">
        <v>66</v>
      </c>
      <c r="C78">
        <v>59.47</v>
      </c>
      <c r="D78">
        <v>771</v>
      </c>
      <c r="E78" t="b">
        <v>0</v>
      </c>
      <c r="F78" t="b">
        <v>1</v>
      </c>
      <c r="G78" t="b">
        <v>1</v>
      </c>
      <c r="H78" t="s">
        <v>25</v>
      </c>
      <c r="I78" t="s">
        <v>35</v>
      </c>
      <c r="J78" t="s">
        <v>27</v>
      </c>
      <c r="K78" t="s">
        <v>37</v>
      </c>
      <c r="L78" t="s">
        <v>37</v>
      </c>
      <c r="M78" t="s">
        <v>28</v>
      </c>
      <c r="N78" t="s">
        <v>39</v>
      </c>
      <c r="O78" t="b">
        <v>0</v>
      </c>
      <c r="P78" t="b">
        <v>0</v>
      </c>
      <c r="Q78">
        <v>5.2</v>
      </c>
      <c r="R78" t="b">
        <v>0</v>
      </c>
      <c r="T78">
        <v>0</v>
      </c>
      <c r="U78">
        <v>42.38</v>
      </c>
      <c r="V78" t="b">
        <v>1</v>
      </c>
      <c r="W78" t="s">
        <v>41</v>
      </c>
    </row>
    <row r="79" spans="1:23" x14ac:dyDescent="0.25">
      <c r="A79" t="s">
        <v>61</v>
      </c>
      <c r="B79" t="s">
        <v>76</v>
      </c>
      <c r="C79">
        <v>88.65</v>
      </c>
      <c r="D79">
        <v>725</v>
      </c>
      <c r="E79" t="b">
        <v>0</v>
      </c>
      <c r="F79" t="b">
        <v>0</v>
      </c>
      <c r="G79" t="b">
        <v>0</v>
      </c>
      <c r="H79" t="s">
        <v>25</v>
      </c>
      <c r="I79" t="s">
        <v>67</v>
      </c>
      <c r="J79" t="s">
        <v>50</v>
      </c>
      <c r="K79" t="s">
        <v>28</v>
      </c>
      <c r="L79" t="s">
        <v>51</v>
      </c>
      <c r="M79" t="s">
        <v>28</v>
      </c>
      <c r="O79" t="b">
        <v>0</v>
      </c>
      <c r="P79" t="b">
        <v>1</v>
      </c>
      <c r="Q79">
        <v>8.9</v>
      </c>
      <c r="R79" t="b">
        <v>1</v>
      </c>
      <c r="S79" t="s">
        <v>75</v>
      </c>
      <c r="T79">
        <v>9.6</v>
      </c>
      <c r="U79">
        <v>79.42</v>
      </c>
      <c r="V79" t="b">
        <v>1</v>
      </c>
      <c r="W79" t="s">
        <v>31</v>
      </c>
    </row>
    <row r="80" spans="1:23" x14ac:dyDescent="0.25">
      <c r="A80" t="s">
        <v>61</v>
      </c>
      <c r="B80" t="s">
        <v>42</v>
      </c>
      <c r="C80">
        <v>80.62</v>
      </c>
      <c r="D80">
        <v>517</v>
      </c>
      <c r="E80" t="b">
        <v>0</v>
      </c>
      <c r="F80" t="b">
        <v>0</v>
      </c>
      <c r="G80" t="b">
        <v>0</v>
      </c>
      <c r="H80" t="s">
        <v>53</v>
      </c>
      <c r="I80" t="s">
        <v>26</v>
      </c>
      <c r="J80" t="s">
        <v>36</v>
      </c>
      <c r="K80" t="s">
        <v>28</v>
      </c>
      <c r="L80" t="s">
        <v>29</v>
      </c>
      <c r="M80" t="s">
        <v>39</v>
      </c>
      <c r="O80" t="b">
        <v>1</v>
      </c>
      <c r="P80" t="b">
        <v>1</v>
      </c>
      <c r="Q80">
        <v>9</v>
      </c>
      <c r="R80" t="b">
        <v>1</v>
      </c>
      <c r="S80" t="s">
        <v>75</v>
      </c>
      <c r="T80">
        <v>12.6</v>
      </c>
      <c r="U80">
        <v>68.010000000000005</v>
      </c>
      <c r="V80" t="b">
        <v>0</v>
      </c>
      <c r="W80" t="s">
        <v>31</v>
      </c>
    </row>
    <row r="81" spans="1:23" x14ac:dyDescent="0.25">
      <c r="A81" t="s">
        <v>74</v>
      </c>
      <c r="B81" t="s">
        <v>59</v>
      </c>
      <c r="C81">
        <v>80.77</v>
      </c>
      <c r="D81">
        <v>597</v>
      </c>
      <c r="E81" t="b">
        <v>1</v>
      </c>
      <c r="F81" t="b">
        <v>0</v>
      </c>
      <c r="G81" t="b">
        <v>1</v>
      </c>
      <c r="H81" t="s">
        <v>43</v>
      </c>
      <c r="I81" t="s">
        <v>63</v>
      </c>
      <c r="J81" t="s">
        <v>50</v>
      </c>
      <c r="K81" t="s">
        <v>37</v>
      </c>
      <c r="L81" t="s">
        <v>29</v>
      </c>
      <c r="M81" t="s">
        <v>39</v>
      </c>
      <c r="N81" t="s">
        <v>28</v>
      </c>
      <c r="P81" t="b">
        <v>0</v>
      </c>
      <c r="Q81">
        <v>8.1999999999999993</v>
      </c>
      <c r="R81" t="b">
        <v>1</v>
      </c>
      <c r="S81" t="s">
        <v>40</v>
      </c>
      <c r="T81">
        <v>16.2</v>
      </c>
      <c r="U81">
        <v>73.31</v>
      </c>
      <c r="V81" t="b">
        <v>1</v>
      </c>
      <c r="W81" t="s">
        <v>31</v>
      </c>
    </row>
    <row r="82" spans="1:23" x14ac:dyDescent="0.25">
      <c r="A82" t="s">
        <v>56</v>
      </c>
      <c r="B82" t="s">
        <v>76</v>
      </c>
      <c r="C82">
        <v>89.4</v>
      </c>
      <c r="D82">
        <v>388</v>
      </c>
      <c r="E82" t="b">
        <v>1</v>
      </c>
      <c r="F82" t="b">
        <v>1</v>
      </c>
      <c r="G82" t="b">
        <v>0</v>
      </c>
      <c r="H82" t="s">
        <v>53</v>
      </c>
      <c r="I82" t="s">
        <v>63</v>
      </c>
      <c r="J82" t="s">
        <v>50</v>
      </c>
      <c r="K82" t="s">
        <v>46</v>
      </c>
      <c r="L82" t="s">
        <v>51</v>
      </c>
      <c r="M82" t="s">
        <v>28</v>
      </c>
      <c r="N82" t="s">
        <v>28</v>
      </c>
      <c r="O82" t="b">
        <v>0</v>
      </c>
      <c r="P82" t="b">
        <v>1</v>
      </c>
      <c r="Q82">
        <v>8.9</v>
      </c>
      <c r="R82" t="b">
        <v>1</v>
      </c>
      <c r="S82" t="s">
        <v>48</v>
      </c>
      <c r="T82">
        <v>16.3</v>
      </c>
      <c r="U82">
        <v>100</v>
      </c>
      <c r="V82" t="b">
        <v>1</v>
      </c>
      <c r="W82" t="s">
        <v>31</v>
      </c>
    </row>
    <row r="83" spans="1:23" x14ac:dyDescent="0.25">
      <c r="A83" t="s">
        <v>56</v>
      </c>
      <c r="B83" t="s">
        <v>49</v>
      </c>
      <c r="C83">
        <v>77.13</v>
      </c>
      <c r="D83">
        <v>639</v>
      </c>
      <c r="E83" t="b">
        <v>0</v>
      </c>
      <c r="F83" t="b">
        <v>1</v>
      </c>
      <c r="G83" t="b">
        <v>0</v>
      </c>
      <c r="H83" t="s">
        <v>53</v>
      </c>
      <c r="I83" t="s">
        <v>35</v>
      </c>
      <c r="J83" t="s">
        <v>54</v>
      </c>
      <c r="K83" t="s">
        <v>37</v>
      </c>
      <c r="L83" t="s">
        <v>37</v>
      </c>
      <c r="M83" t="s">
        <v>39</v>
      </c>
      <c r="N83" t="s">
        <v>46</v>
      </c>
      <c r="P83" t="b">
        <v>0</v>
      </c>
      <c r="Q83">
        <v>6.9</v>
      </c>
      <c r="R83" t="b">
        <v>1</v>
      </c>
      <c r="S83" t="s">
        <v>55</v>
      </c>
      <c r="T83">
        <v>34.299999999999997</v>
      </c>
      <c r="U83">
        <v>66.69</v>
      </c>
      <c r="V83" t="b">
        <v>1</v>
      </c>
      <c r="W83" t="s">
        <v>41</v>
      </c>
    </row>
    <row r="84" spans="1:23" x14ac:dyDescent="0.25">
      <c r="A84" t="s">
        <v>68</v>
      </c>
      <c r="B84" t="s">
        <v>33</v>
      </c>
      <c r="C84">
        <v>83.64</v>
      </c>
      <c r="D84">
        <v>756</v>
      </c>
      <c r="E84" t="b">
        <v>0</v>
      </c>
      <c r="F84" t="b">
        <v>0</v>
      </c>
      <c r="G84" t="b">
        <v>0</v>
      </c>
      <c r="H84" t="s">
        <v>53</v>
      </c>
      <c r="I84" t="s">
        <v>26</v>
      </c>
      <c r="J84" t="s">
        <v>54</v>
      </c>
      <c r="K84" t="s">
        <v>39</v>
      </c>
      <c r="L84" t="s">
        <v>69</v>
      </c>
      <c r="M84" t="s">
        <v>39</v>
      </c>
      <c r="N84" t="s">
        <v>46</v>
      </c>
      <c r="O84" t="b">
        <v>1</v>
      </c>
      <c r="P84" t="b">
        <v>0</v>
      </c>
      <c r="Q84">
        <v>10</v>
      </c>
      <c r="R84" t="b">
        <v>1</v>
      </c>
      <c r="S84" t="s">
        <v>55</v>
      </c>
      <c r="T84">
        <v>25.8</v>
      </c>
      <c r="U84">
        <v>80.540000000000006</v>
      </c>
      <c r="V84" t="b">
        <v>1</v>
      </c>
      <c r="W84" t="s">
        <v>31</v>
      </c>
    </row>
    <row r="85" spans="1:23" x14ac:dyDescent="0.25">
      <c r="A85" t="s">
        <v>23</v>
      </c>
      <c r="B85" t="s">
        <v>33</v>
      </c>
      <c r="C85">
        <v>88.54</v>
      </c>
      <c r="D85">
        <v>196</v>
      </c>
      <c r="E85" t="b">
        <v>1</v>
      </c>
      <c r="F85" t="b">
        <v>0</v>
      </c>
      <c r="G85" t="b">
        <v>0</v>
      </c>
      <c r="H85" t="s">
        <v>34</v>
      </c>
      <c r="I85" t="s">
        <v>63</v>
      </c>
      <c r="J85" t="s">
        <v>45</v>
      </c>
      <c r="K85" t="s">
        <v>37</v>
      </c>
      <c r="L85" t="s">
        <v>38</v>
      </c>
      <c r="M85" t="s">
        <v>46</v>
      </c>
      <c r="N85" t="s">
        <v>39</v>
      </c>
      <c r="O85" t="b">
        <v>1</v>
      </c>
      <c r="P85" t="b">
        <v>1</v>
      </c>
      <c r="Q85">
        <v>10</v>
      </c>
      <c r="R85" t="b">
        <v>0</v>
      </c>
      <c r="T85">
        <v>0</v>
      </c>
      <c r="U85">
        <v>96.36</v>
      </c>
      <c r="V85" t="b">
        <v>1</v>
      </c>
      <c r="W85" t="s">
        <v>58</v>
      </c>
    </row>
    <row r="86" spans="1:23" x14ac:dyDescent="0.25">
      <c r="A86" t="s">
        <v>23</v>
      </c>
      <c r="B86" t="s">
        <v>71</v>
      </c>
      <c r="C86">
        <v>54.8</v>
      </c>
      <c r="D86">
        <v>770</v>
      </c>
      <c r="E86" t="b">
        <v>1</v>
      </c>
      <c r="F86" t="b">
        <v>1</v>
      </c>
      <c r="G86" t="b">
        <v>1</v>
      </c>
      <c r="H86" t="s">
        <v>53</v>
      </c>
      <c r="I86" t="s">
        <v>26</v>
      </c>
      <c r="J86" t="s">
        <v>36</v>
      </c>
      <c r="K86" t="s">
        <v>28</v>
      </c>
      <c r="L86" t="s">
        <v>51</v>
      </c>
      <c r="M86" t="s">
        <v>28</v>
      </c>
      <c r="N86" t="s">
        <v>46</v>
      </c>
      <c r="O86" t="b">
        <v>1</v>
      </c>
      <c r="P86" t="b">
        <v>0</v>
      </c>
      <c r="Q86">
        <v>8.9</v>
      </c>
      <c r="R86" t="b">
        <v>1</v>
      </c>
      <c r="S86" t="s">
        <v>48</v>
      </c>
      <c r="T86">
        <v>23.3</v>
      </c>
      <c r="U86">
        <v>59.7</v>
      </c>
      <c r="V86" t="b">
        <v>0</v>
      </c>
      <c r="W86" t="s">
        <v>31</v>
      </c>
    </row>
    <row r="87" spans="1:23" x14ac:dyDescent="0.25">
      <c r="A87" t="s">
        <v>68</v>
      </c>
      <c r="B87" t="s">
        <v>73</v>
      </c>
      <c r="C87">
        <v>48.06</v>
      </c>
      <c r="D87">
        <v>566</v>
      </c>
      <c r="E87" t="b">
        <v>1</v>
      </c>
      <c r="F87" t="b">
        <v>0</v>
      </c>
      <c r="G87" t="b">
        <v>1</v>
      </c>
      <c r="H87" t="s">
        <v>53</v>
      </c>
      <c r="I87" t="s">
        <v>44</v>
      </c>
      <c r="J87" t="s">
        <v>54</v>
      </c>
      <c r="K87" t="s">
        <v>37</v>
      </c>
      <c r="L87" t="s">
        <v>51</v>
      </c>
      <c r="M87" t="s">
        <v>39</v>
      </c>
      <c r="N87" t="s">
        <v>46</v>
      </c>
      <c r="O87" t="b">
        <v>0</v>
      </c>
      <c r="P87" t="b">
        <v>0</v>
      </c>
      <c r="Q87">
        <v>3.9</v>
      </c>
      <c r="R87" t="b">
        <v>1</v>
      </c>
      <c r="S87" t="s">
        <v>64</v>
      </c>
      <c r="T87">
        <v>14.8</v>
      </c>
      <c r="U87">
        <v>61.44</v>
      </c>
      <c r="V87" t="b">
        <v>0</v>
      </c>
      <c r="W87" t="s">
        <v>72</v>
      </c>
    </row>
    <row r="88" spans="1:23" x14ac:dyDescent="0.25">
      <c r="A88" t="s">
        <v>32</v>
      </c>
      <c r="B88" t="s">
        <v>76</v>
      </c>
      <c r="C88">
        <v>87.56</v>
      </c>
      <c r="D88">
        <v>115</v>
      </c>
      <c r="E88" t="b">
        <v>0</v>
      </c>
      <c r="F88" t="b">
        <v>1</v>
      </c>
      <c r="G88" t="b">
        <v>1</v>
      </c>
      <c r="H88" t="s">
        <v>53</v>
      </c>
      <c r="I88" t="s">
        <v>35</v>
      </c>
      <c r="J88" t="s">
        <v>50</v>
      </c>
      <c r="K88" t="s">
        <v>46</v>
      </c>
      <c r="L88" t="s">
        <v>29</v>
      </c>
      <c r="M88" t="s">
        <v>46</v>
      </c>
      <c r="N88" t="s">
        <v>28</v>
      </c>
      <c r="O88" t="b">
        <v>0</v>
      </c>
      <c r="P88" t="b">
        <v>0</v>
      </c>
      <c r="Q88">
        <v>7.6</v>
      </c>
      <c r="R88" t="b">
        <v>1</v>
      </c>
      <c r="S88" t="s">
        <v>64</v>
      </c>
      <c r="T88">
        <v>32.5</v>
      </c>
      <c r="U88">
        <v>97.2</v>
      </c>
      <c r="V88" t="b">
        <v>0</v>
      </c>
      <c r="W88" t="s">
        <v>41</v>
      </c>
    </row>
    <row r="89" spans="1:23" x14ac:dyDescent="0.25">
      <c r="A89" t="s">
        <v>32</v>
      </c>
      <c r="B89" t="s">
        <v>66</v>
      </c>
      <c r="C89">
        <v>59.58</v>
      </c>
      <c r="D89">
        <v>295</v>
      </c>
      <c r="E89" t="b">
        <v>0</v>
      </c>
      <c r="F89" t="b">
        <v>1</v>
      </c>
      <c r="G89" t="b">
        <v>1</v>
      </c>
      <c r="H89" t="s">
        <v>53</v>
      </c>
      <c r="I89" t="s">
        <v>67</v>
      </c>
      <c r="J89" t="s">
        <v>45</v>
      </c>
      <c r="K89" t="s">
        <v>39</v>
      </c>
      <c r="L89" t="s">
        <v>51</v>
      </c>
      <c r="M89" t="s">
        <v>28</v>
      </c>
      <c r="O89" t="b">
        <v>0</v>
      </c>
      <c r="P89" t="b">
        <v>0</v>
      </c>
      <c r="Q89">
        <v>4.9000000000000004</v>
      </c>
      <c r="R89" t="b">
        <v>1</v>
      </c>
      <c r="S89" t="s">
        <v>55</v>
      </c>
      <c r="T89">
        <v>19</v>
      </c>
      <c r="U89">
        <v>43.43</v>
      </c>
      <c r="V89" t="b">
        <v>1</v>
      </c>
      <c r="W89" t="s">
        <v>72</v>
      </c>
    </row>
    <row r="90" spans="1:23" x14ac:dyDescent="0.25">
      <c r="A90" t="s">
        <v>23</v>
      </c>
      <c r="B90" t="s">
        <v>76</v>
      </c>
      <c r="C90">
        <v>89.02</v>
      </c>
      <c r="D90">
        <v>339</v>
      </c>
      <c r="E90" t="b">
        <v>0</v>
      </c>
      <c r="F90" t="b">
        <v>0</v>
      </c>
      <c r="G90" t="b">
        <v>0</v>
      </c>
      <c r="H90" t="s">
        <v>43</v>
      </c>
      <c r="I90" t="s">
        <v>44</v>
      </c>
      <c r="J90" t="s">
        <v>36</v>
      </c>
      <c r="K90" t="s">
        <v>37</v>
      </c>
      <c r="L90" t="s">
        <v>38</v>
      </c>
      <c r="M90" t="s">
        <v>39</v>
      </c>
      <c r="N90" t="s">
        <v>46</v>
      </c>
      <c r="O90" t="b">
        <v>0</v>
      </c>
      <c r="P90" t="b">
        <v>0</v>
      </c>
      <c r="Q90">
        <v>8.6999999999999993</v>
      </c>
      <c r="R90" t="b">
        <v>0</v>
      </c>
      <c r="T90">
        <v>0</v>
      </c>
      <c r="U90">
        <v>80.900000000000006</v>
      </c>
      <c r="V90" t="b">
        <v>1</v>
      </c>
      <c r="W90" t="s">
        <v>58</v>
      </c>
    </row>
    <row r="91" spans="1:23" x14ac:dyDescent="0.25">
      <c r="A91" t="s">
        <v>74</v>
      </c>
      <c r="B91" t="s">
        <v>62</v>
      </c>
      <c r="C91">
        <v>67.63</v>
      </c>
      <c r="D91">
        <v>357</v>
      </c>
      <c r="E91" t="b">
        <v>0</v>
      </c>
      <c r="F91" t="b">
        <v>1</v>
      </c>
      <c r="G91" t="b">
        <v>1</v>
      </c>
      <c r="H91" t="s">
        <v>25</v>
      </c>
      <c r="I91" t="s">
        <v>35</v>
      </c>
      <c r="J91" t="s">
        <v>36</v>
      </c>
      <c r="K91" t="s">
        <v>46</v>
      </c>
      <c r="L91" t="s">
        <v>51</v>
      </c>
      <c r="M91" t="s">
        <v>47</v>
      </c>
      <c r="O91" t="b">
        <v>0</v>
      </c>
      <c r="P91" t="b">
        <v>1</v>
      </c>
      <c r="Q91">
        <v>4.0999999999999996</v>
      </c>
      <c r="R91" t="b">
        <v>1</v>
      </c>
      <c r="S91" t="s">
        <v>75</v>
      </c>
      <c r="T91">
        <v>42.8</v>
      </c>
      <c r="U91">
        <v>81.96</v>
      </c>
      <c r="V91" t="b">
        <v>0</v>
      </c>
      <c r="W91" t="s">
        <v>72</v>
      </c>
    </row>
    <row r="92" spans="1:23" x14ac:dyDescent="0.25">
      <c r="A92" t="s">
        <v>61</v>
      </c>
      <c r="B92" t="s">
        <v>71</v>
      </c>
      <c r="C92">
        <v>42.75</v>
      </c>
      <c r="D92">
        <v>792</v>
      </c>
      <c r="E92" t="b">
        <v>1</v>
      </c>
      <c r="F92" t="b">
        <v>1</v>
      </c>
      <c r="G92" t="b">
        <v>1</v>
      </c>
      <c r="H92" t="s">
        <v>43</v>
      </c>
      <c r="I92" t="s">
        <v>67</v>
      </c>
      <c r="J92" t="s">
        <v>36</v>
      </c>
      <c r="K92" t="s">
        <v>37</v>
      </c>
      <c r="L92" t="s">
        <v>29</v>
      </c>
      <c r="M92" t="s">
        <v>39</v>
      </c>
      <c r="N92" t="s">
        <v>28</v>
      </c>
      <c r="O92" t="b">
        <v>1</v>
      </c>
      <c r="P92" t="b">
        <v>0</v>
      </c>
      <c r="Q92">
        <v>5.6</v>
      </c>
      <c r="R92" t="b">
        <v>1</v>
      </c>
      <c r="S92" t="s">
        <v>65</v>
      </c>
      <c r="T92">
        <v>14.7</v>
      </c>
      <c r="U92">
        <v>24.32</v>
      </c>
      <c r="V92" t="b">
        <v>0</v>
      </c>
      <c r="W92" t="s">
        <v>41</v>
      </c>
    </row>
    <row r="93" spans="1:23" x14ac:dyDescent="0.25">
      <c r="A93" t="s">
        <v>32</v>
      </c>
      <c r="B93" t="s">
        <v>33</v>
      </c>
      <c r="C93">
        <v>89.01</v>
      </c>
      <c r="D93">
        <v>193</v>
      </c>
      <c r="E93" t="b">
        <v>0</v>
      </c>
      <c r="F93" t="b">
        <v>0</v>
      </c>
      <c r="G93" t="b">
        <v>1</v>
      </c>
      <c r="H93" t="s">
        <v>34</v>
      </c>
      <c r="I93" t="s">
        <v>57</v>
      </c>
      <c r="J93" t="s">
        <v>45</v>
      </c>
      <c r="K93" t="s">
        <v>39</v>
      </c>
      <c r="L93" t="s">
        <v>37</v>
      </c>
      <c r="M93" t="s">
        <v>46</v>
      </c>
      <c r="N93" t="s">
        <v>28</v>
      </c>
      <c r="O93" t="b">
        <v>1</v>
      </c>
      <c r="P93" t="b">
        <v>1</v>
      </c>
      <c r="Q93">
        <v>10</v>
      </c>
      <c r="R93" t="b">
        <v>1</v>
      </c>
      <c r="S93" t="s">
        <v>75</v>
      </c>
      <c r="T93">
        <v>11.6</v>
      </c>
      <c r="U93">
        <v>74.75</v>
      </c>
      <c r="V93" t="b">
        <v>0</v>
      </c>
      <c r="W93" t="s">
        <v>31</v>
      </c>
    </row>
    <row r="94" spans="1:23" x14ac:dyDescent="0.25">
      <c r="A94" t="s">
        <v>74</v>
      </c>
      <c r="B94" t="s">
        <v>60</v>
      </c>
      <c r="C94">
        <v>61.16</v>
      </c>
      <c r="D94">
        <v>108</v>
      </c>
      <c r="E94" t="b">
        <v>0</v>
      </c>
      <c r="F94" t="b">
        <v>1</v>
      </c>
      <c r="G94" t="b">
        <v>1</v>
      </c>
      <c r="H94" t="s">
        <v>25</v>
      </c>
      <c r="I94" t="s">
        <v>67</v>
      </c>
      <c r="J94" t="s">
        <v>45</v>
      </c>
      <c r="K94" t="s">
        <v>46</v>
      </c>
      <c r="L94" t="s">
        <v>51</v>
      </c>
      <c r="M94" t="s">
        <v>46</v>
      </c>
      <c r="O94" t="b">
        <v>0</v>
      </c>
      <c r="P94" t="b">
        <v>0</v>
      </c>
      <c r="Q94">
        <v>5.5</v>
      </c>
      <c r="R94" t="b">
        <v>0</v>
      </c>
      <c r="T94">
        <v>0</v>
      </c>
      <c r="U94">
        <v>68.37</v>
      </c>
      <c r="V94" t="b">
        <v>1</v>
      </c>
      <c r="W94" t="s">
        <v>41</v>
      </c>
    </row>
    <row r="95" spans="1:23" x14ac:dyDescent="0.25">
      <c r="A95" t="s">
        <v>61</v>
      </c>
      <c r="B95" t="s">
        <v>24</v>
      </c>
      <c r="C95">
        <v>98</v>
      </c>
      <c r="D95">
        <v>275</v>
      </c>
      <c r="E95" t="b">
        <v>0</v>
      </c>
      <c r="F95" t="b">
        <v>0</v>
      </c>
      <c r="G95" t="b">
        <v>1</v>
      </c>
      <c r="H95" t="s">
        <v>43</v>
      </c>
      <c r="I95" t="s">
        <v>57</v>
      </c>
      <c r="J95" t="s">
        <v>36</v>
      </c>
      <c r="K95" t="s">
        <v>28</v>
      </c>
      <c r="L95" t="s">
        <v>38</v>
      </c>
      <c r="M95" t="s">
        <v>28</v>
      </c>
      <c r="N95" t="s">
        <v>39</v>
      </c>
      <c r="O95" t="b">
        <v>1</v>
      </c>
      <c r="P95" t="b">
        <v>0</v>
      </c>
      <c r="Q95">
        <v>10</v>
      </c>
      <c r="R95" t="b">
        <v>0</v>
      </c>
      <c r="T95">
        <v>0</v>
      </c>
      <c r="U95">
        <v>96.56</v>
      </c>
      <c r="V95" t="b">
        <v>1</v>
      </c>
      <c r="W95" t="s">
        <v>58</v>
      </c>
    </row>
    <row r="96" spans="1:23" x14ac:dyDescent="0.25">
      <c r="A96" t="s">
        <v>56</v>
      </c>
      <c r="B96" t="s">
        <v>60</v>
      </c>
      <c r="C96">
        <v>46.99</v>
      </c>
      <c r="D96">
        <v>108</v>
      </c>
      <c r="E96" t="b">
        <v>1</v>
      </c>
      <c r="F96" t="b">
        <v>0</v>
      </c>
      <c r="G96" t="b">
        <v>0</v>
      </c>
      <c r="H96" t="s">
        <v>53</v>
      </c>
      <c r="I96" t="s">
        <v>35</v>
      </c>
      <c r="J96" t="s">
        <v>50</v>
      </c>
      <c r="K96" t="s">
        <v>46</v>
      </c>
      <c r="L96" t="s">
        <v>38</v>
      </c>
      <c r="M96" t="s">
        <v>46</v>
      </c>
      <c r="N96" t="s">
        <v>46</v>
      </c>
      <c r="P96" t="b">
        <v>0</v>
      </c>
      <c r="Q96">
        <v>7.5</v>
      </c>
      <c r="R96" t="b">
        <v>1</v>
      </c>
      <c r="S96" t="s">
        <v>52</v>
      </c>
      <c r="T96">
        <v>36.9</v>
      </c>
      <c r="U96">
        <v>33.92</v>
      </c>
      <c r="V96" t="b">
        <v>0</v>
      </c>
      <c r="W96" t="s">
        <v>41</v>
      </c>
    </row>
    <row r="97" spans="1:23" x14ac:dyDescent="0.25">
      <c r="A97" t="s">
        <v>61</v>
      </c>
      <c r="B97" t="s">
        <v>42</v>
      </c>
      <c r="C97">
        <v>77.239999999999995</v>
      </c>
      <c r="D97">
        <v>642</v>
      </c>
      <c r="E97" t="b">
        <v>1</v>
      </c>
      <c r="F97" t="b">
        <v>1</v>
      </c>
      <c r="G97" t="b">
        <v>1</v>
      </c>
      <c r="H97" t="s">
        <v>25</v>
      </c>
      <c r="I97" t="s">
        <v>67</v>
      </c>
      <c r="J97" t="s">
        <v>27</v>
      </c>
      <c r="K97" t="s">
        <v>37</v>
      </c>
      <c r="L97" t="s">
        <v>69</v>
      </c>
      <c r="M97" t="s">
        <v>47</v>
      </c>
      <c r="N97" t="s">
        <v>39</v>
      </c>
      <c r="O97" t="b">
        <v>1</v>
      </c>
      <c r="P97" t="b">
        <v>1</v>
      </c>
      <c r="Q97">
        <v>9.8000000000000007</v>
      </c>
      <c r="R97" t="b">
        <v>0</v>
      </c>
      <c r="T97">
        <v>0</v>
      </c>
      <c r="U97">
        <v>66.48</v>
      </c>
      <c r="V97" t="b">
        <v>0</v>
      </c>
      <c r="W97" t="s">
        <v>58</v>
      </c>
    </row>
    <row r="98" spans="1:23" x14ac:dyDescent="0.25">
      <c r="A98" t="s">
        <v>56</v>
      </c>
      <c r="B98" t="s">
        <v>73</v>
      </c>
      <c r="C98">
        <v>61.57</v>
      </c>
      <c r="D98">
        <v>780</v>
      </c>
      <c r="E98" t="b">
        <v>1</v>
      </c>
      <c r="F98" t="b">
        <v>1</v>
      </c>
      <c r="G98" t="b">
        <v>0</v>
      </c>
      <c r="H98" t="s">
        <v>34</v>
      </c>
      <c r="I98" t="s">
        <v>67</v>
      </c>
      <c r="J98" t="s">
        <v>54</v>
      </c>
      <c r="K98" t="s">
        <v>46</v>
      </c>
      <c r="L98" t="s">
        <v>29</v>
      </c>
      <c r="M98" t="s">
        <v>47</v>
      </c>
      <c r="N98" t="s">
        <v>46</v>
      </c>
      <c r="O98" t="b">
        <v>0</v>
      </c>
      <c r="P98" t="b">
        <v>0</v>
      </c>
      <c r="Q98">
        <v>4.9000000000000004</v>
      </c>
      <c r="R98" t="b">
        <v>1</v>
      </c>
      <c r="S98" t="s">
        <v>52</v>
      </c>
      <c r="T98">
        <v>18.2</v>
      </c>
      <c r="U98">
        <v>75.930000000000007</v>
      </c>
      <c r="V98" t="b">
        <v>0</v>
      </c>
      <c r="W98" t="s">
        <v>72</v>
      </c>
    </row>
    <row r="99" spans="1:23" x14ac:dyDescent="0.25">
      <c r="A99" t="s">
        <v>74</v>
      </c>
      <c r="B99" t="s">
        <v>24</v>
      </c>
      <c r="C99">
        <v>96.55</v>
      </c>
      <c r="D99">
        <v>723</v>
      </c>
      <c r="E99" t="b">
        <v>0</v>
      </c>
      <c r="F99" t="b">
        <v>0</v>
      </c>
      <c r="G99" t="b">
        <v>0</v>
      </c>
      <c r="H99" t="s">
        <v>53</v>
      </c>
      <c r="I99" t="s">
        <v>35</v>
      </c>
      <c r="J99" t="s">
        <v>27</v>
      </c>
      <c r="K99" t="s">
        <v>37</v>
      </c>
      <c r="L99" t="s">
        <v>51</v>
      </c>
      <c r="M99" t="s">
        <v>28</v>
      </c>
      <c r="N99" t="s">
        <v>28</v>
      </c>
      <c r="O99" t="b">
        <v>1</v>
      </c>
      <c r="P99" t="b">
        <v>0</v>
      </c>
      <c r="Q99">
        <v>10</v>
      </c>
      <c r="R99" t="b">
        <v>1</v>
      </c>
      <c r="S99" t="s">
        <v>40</v>
      </c>
      <c r="T99">
        <v>19.600000000000001</v>
      </c>
      <c r="U99">
        <v>94.05</v>
      </c>
      <c r="V99" t="b">
        <v>1</v>
      </c>
      <c r="W99" t="s">
        <v>31</v>
      </c>
    </row>
    <row r="100" spans="1:23" x14ac:dyDescent="0.25">
      <c r="A100" t="s">
        <v>68</v>
      </c>
      <c r="B100" t="s">
        <v>73</v>
      </c>
      <c r="C100">
        <v>47.62</v>
      </c>
      <c r="D100">
        <v>224</v>
      </c>
      <c r="E100" t="b">
        <v>1</v>
      </c>
      <c r="F100" t="b">
        <v>1</v>
      </c>
      <c r="G100" t="b">
        <v>1</v>
      </c>
      <c r="H100" t="s">
        <v>53</v>
      </c>
      <c r="I100" t="s">
        <v>63</v>
      </c>
      <c r="J100" t="s">
        <v>54</v>
      </c>
      <c r="K100" t="s">
        <v>28</v>
      </c>
      <c r="L100" t="s">
        <v>29</v>
      </c>
      <c r="M100" t="s">
        <v>28</v>
      </c>
      <c r="N100" t="s">
        <v>39</v>
      </c>
      <c r="P100" t="b">
        <v>1</v>
      </c>
      <c r="Q100">
        <v>6.8</v>
      </c>
      <c r="R100" t="b">
        <v>1</v>
      </c>
      <c r="S100" t="s">
        <v>48</v>
      </c>
      <c r="T100">
        <v>2.8</v>
      </c>
      <c r="U100">
        <v>33.5</v>
      </c>
      <c r="V100" t="b">
        <v>0</v>
      </c>
      <c r="W100" t="s">
        <v>41</v>
      </c>
    </row>
    <row r="101" spans="1:23" x14ac:dyDescent="0.25">
      <c r="A101" t="s">
        <v>23</v>
      </c>
      <c r="B101" t="s">
        <v>59</v>
      </c>
      <c r="C101">
        <v>78.05</v>
      </c>
      <c r="D101">
        <v>118</v>
      </c>
      <c r="E101" t="b">
        <v>1</v>
      </c>
      <c r="F101" t="b">
        <v>0</v>
      </c>
      <c r="G101" t="b">
        <v>1</v>
      </c>
      <c r="H101" t="s">
        <v>25</v>
      </c>
      <c r="I101" t="s">
        <v>44</v>
      </c>
      <c r="J101" t="s">
        <v>54</v>
      </c>
      <c r="K101" t="s">
        <v>46</v>
      </c>
      <c r="L101" t="s">
        <v>69</v>
      </c>
      <c r="M101" t="s">
        <v>46</v>
      </c>
      <c r="N101" t="s">
        <v>39</v>
      </c>
      <c r="P101" t="b">
        <v>0</v>
      </c>
      <c r="Q101">
        <v>10</v>
      </c>
      <c r="R101" t="b">
        <v>0</v>
      </c>
      <c r="T101">
        <v>0</v>
      </c>
      <c r="U101">
        <v>85.32</v>
      </c>
      <c r="V101" t="b">
        <v>1</v>
      </c>
      <c r="W101" t="s">
        <v>58</v>
      </c>
    </row>
    <row r="102" spans="1:23" x14ac:dyDescent="0.25">
      <c r="A102" t="s">
        <v>32</v>
      </c>
      <c r="B102" t="s">
        <v>33</v>
      </c>
      <c r="C102">
        <v>80.099999999999994</v>
      </c>
      <c r="D102">
        <v>492</v>
      </c>
      <c r="E102" t="b">
        <v>1</v>
      </c>
      <c r="F102" t="b">
        <v>1</v>
      </c>
      <c r="G102" t="b">
        <v>0</v>
      </c>
      <c r="H102" t="s">
        <v>25</v>
      </c>
      <c r="I102" t="s">
        <v>44</v>
      </c>
      <c r="J102" t="s">
        <v>45</v>
      </c>
      <c r="K102" t="s">
        <v>37</v>
      </c>
      <c r="L102" t="s">
        <v>29</v>
      </c>
      <c r="M102" t="s">
        <v>46</v>
      </c>
      <c r="O102" t="b">
        <v>0</v>
      </c>
      <c r="P102" t="b">
        <v>0</v>
      </c>
      <c r="Q102">
        <v>7.9</v>
      </c>
      <c r="R102" t="b">
        <v>0</v>
      </c>
      <c r="T102">
        <v>0</v>
      </c>
      <c r="U102">
        <v>69.2</v>
      </c>
      <c r="V102" t="b">
        <v>1</v>
      </c>
      <c r="W102" t="s">
        <v>31</v>
      </c>
    </row>
    <row r="103" spans="1:23" x14ac:dyDescent="0.25">
      <c r="A103" t="s">
        <v>61</v>
      </c>
      <c r="B103" t="s">
        <v>73</v>
      </c>
      <c r="C103">
        <v>47.8</v>
      </c>
      <c r="D103">
        <v>320</v>
      </c>
      <c r="E103" t="b">
        <v>1</v>
      </c>
      <c r="F103" t="b">
        <v>0</v>
      </c>
      <c r="G103" t="b">
        <v>0</v>
      </c>
      <c r="H103" t="s">
        <v>53</v>
      </c>
      <c r="I103" t="s">
        <v>26</v>
      </c>
      <c r="J103" t="s">
        <v>54</v>
      </c>
      <c r="K103" t="s">
        <v>37</v>
      </c>
      <c r="L103" t="s">
        <v>37</v>
      </c>
      <c r="M103" t="s">
        <v>46</v>
      </c>
      <c r="P103" t="b">
        <v>0</v>
      </c>
      <c r="Q103">
        <v>6.2</v>
      </c>
      <c r="R103" t="b">
        <v>1</v>
      </c>
      <c r="S103" t="s">
        <v>75</v>
      </c>
      <c r="T103">
        <v>7.2</v>
      </c>
      <c r="U103">
        <v>37.549999999999997</v>
      </c>
      <c r="V103" t="b">
        <v>0</v>
      </c>
      <c r="W103" t="s">
        <v>41</v>
      </c>
    </row>
    <row r="104" spans="1:23" x14ac:dyDescent="0.25">
      <c r="A104" t="s">
        <v>23</v>
      </c>
      <c r="B104" t="s">
        <v>76</v>
      </c>
      <c r="C104">
        <v>70.42</v>
      </c>
      <c r="D104">
        <v>539</v>
      </c>
      <c r="E104" t="b">
        <v>0</v>
      </c>
      <c r="F104" t="b">
        <v>1</v>
      </c>
      <c r="G104" t="b">
        <v>0</v>
      </c>
      <c r="H104" t="s">
        <v>53</v>
      </c>
      <c r="I104" t="s">
        <v>57</v>
      </c>
      <c r="J104" t="s">
        <v>36</v>
      </c>
      <c r="K104" t="s">
        <v>28</v>
      </c>
      <c r="L104" t="s">
        <v>29</v>
      </c>
      <c r="M104" t="s">
        <v>28</v>
      </c>
      <c r="N104" t="s">
        <v>46</v>
      </c>
      <c r="O104" t="b">
        <v>1</v>
      </c>
      <c r="P104" t="b">
        <v>0</v>
      </c>
      <c r="Q104">
        <v>9.6</v>
      </c>
      <c r="R104" t="b">
        <v>1</v>
      </c>
      <c r="S104" t="s">
        <v>52</v>
      </c>
      <c r="T104">
        <v>33.799999999999997</v>
      </c>
      <c r="U104">
        <v>63.12</v>
      </c>
      <c r="V104" t="b">
        <v>0</v>
      </c>
      <c r="W104" t="s">
        <v>31</v>
      </c>
    </row>
    <row r="105" spans="1:23" x14ac:dyDescent="0.25">
      <c r="A105" t="s">
        <v>74</v>
      </c>
      <c r="B105" t="s">
        <v>24</v>
      </c>
      <c r="C105">
        <v>87.81</v>
      </c>
      <c r="D105">
        <v>50</v>
      </c>
      <c r="E105" t="b">
        <v>1</v>
      </c>
      <c r="F105" t="b">
        <v>1</v>
      </c>
      <c r="G105" t="b">
        <v>0</v>
      </c>
      <c r="H105" t="s">
        <v>34</v>
      </c>
      <c r="I105" t="s">
        <v>26</v>
      </c>
      <c r="J105" t="s">
        <v>54</v>
      </c>
      <c r="K105" t="s">
        <v>28</v>
      </c>
      <c r="L105" t="s">
        <v>29</v>
      </c>
      <c r="M105" t="s">
        <v>46</v>
      </c>
      <c r="N105" t="s">
        <v>28</v>
      </c>
      <c r="O105" t="b">
        <v>0</v>
      </c>
      <c r="P105" t="b">
        <v>0</v>
      </c>
      <c r="Q105">
        <v>8.5</v>
      </c>
      <c r="R105" t="b">
        <v>0</v>
      </c>
      <c r="T105">
        <v>0</v>
      </c>
      <c r="U105">
        <v>98.22</v>
      </c>
      <c r="V105" t="b">
        <v>1</v>
      </c>
      <c r="W105" t="s">
        <v>58</v>
      </c>
    </row>
    <row r="106" spans="1:23" x14ac:dyDescent="0.25">
      <c r="A106" t="s">
        <v>23</v>
      </c>
      <c r="B106" t="s">
        <v>76</v>
      </c>
      <c r="C106">
        <v>73.05</v>
      </c>
      <c r="D106">
        <v>721</v>
      </c>
      <c r="E106" t="b">
        <v>0</v>
      </c>
      <c r="F106" t="b">
        <v>0</v>
      </c>
      <c r="G106" t="b">
        <v>1</v>
      </c>
      <c r="H106" t="s">
        <v>43</v>
      </c>
      <c r="I106" t="s">
        <v>26</v>
      </c>
      <c r="J106" t="s">
        <v>54</v>
      </c>
      <c r="K106" t="s">
        <v>37</v>
      </c>
      <c r="L106" t="s">
        <v>29</v>
      </c>
      <c r="M106" t="s">
        <v>28</v>
      </c>
      <c r="N106" t="s">
        <v>39</v>
      </c>
      <c r="O106" t="b">
        <v>0</v>
      </c>
      <c r="P106" t="b">
        <v>1</v>
      </c>
      <c r="Q106">
        <v>7.2</v>
      </c>
      <c r="R106" t="b">
        <v>1</v>
      </c>
      <c r="S106" t="s">
        <v>64</v>
      </c>
      <c r="T106">
        <v>12.2</v>
      </c>
      <c r="U106">
        <v>82.04</v>
      </c>
      <c r="V106" t="b">
        <v>1</v>
      </c>
      <c r="W106" t="s">
        <v>41</v>
      </c>
    </row>
    <row r="107" spans="1:23" x14ac:dyDescent="0.25">
      <c r="A107" t="s">
        <v>74</v>
      </c>
      <c r="B107" t="s">
        <v>42</v>
      </c>
      <c r="C107">
        <v>70.61</v>
      </c>
      <c r="D107">
        <v>220</v>
      </c>
      <c r="E107" t="b">
        <v>1</v>
      </c>
      <c r="F107" t="b">
        <v>1</v>
      </c>
      <c r="G107" t="b">
        <v>0</v>
      </c>
      <c r="H107" t="s">
        <v>43</v>
      </c>
      <c r="I107" t="s">
        <v>26</v>
      </c>
      <c r="J107" t="s">
        <v>54</v>
      </c>
      <c r="K107" t="s">
        <v>37</v>
      </c>
      <c r="L107" t="s">
        <v>29</v>
      </c>
      <c r="M107" t="s">
        <v>28</v>
      </c>
      <c r="N107" t="s">
        <v>39</v>
      </c>
      <c r="O107" t="b">
        <v>0</v>
      </c>
      <c r="P107" t="b">
        <v>0</v>
      </c>
      <c r="Q107">
        <v>6.3</v>
      </c>
      <c r="R107" t="b">
        <v>0</v>
      </c>
      <c r="T107">
        <v>0</v>
      </c>
      <c r="U107">
        <v>69.78</v>
      </c>
      <c r="V107" t="b">
        <v>1</v>
      </c>
      <c r="W107" t="s">
        <v>31</v>
      </c>
    </row>
    <row r="108" spans="1:23" x14ac:dyDescent="0.25">
      <c r="A108" t="s">
        <v>68</v>
      </c>
      <c r="B108" t="s">
        <v>60</v>
      </c>
      <c r="C108">
        <v>45.34</v>
      </c>
      <c r="D108">
        <v>231</v>
      </c>
      <c r="E108" t="b">
        <v>1</v>
      </c>
      <c r="F108" t="b">
        <v>0</v>
      </c>
      <c r="G108" t="b">
        <v>1</v>
      </c>
      <c r="H108" t="s">
        <v>25</v>
      </c>
      <c r="I108" t="s">
        <v>57</v>
      </c>
      <c r="J108" t="s">
        <v>50</v>
      </c>
      <c r="K108" t="s">
        <v>46</v>
      </c>
      <c r="L108" t="s">
        <v>37</v>
      </c>
      <c r="M108" t="s">
        <v>39</v>
      </c>
      <c r="N108" t="s">
        <v>46</v>
      </c>
      <c r="O108" t="b">
        <v>1</v>
      </c>
      <c r="P108" t="b">
        <v>1</v>
      </c>
      <c r="Q108">
        <v>7.1</v>
      </c>
      <c r="R108" t="b">
        <v>1</v>
      </c>
      <c r="S108" t="s">
        <v>52</v>
      </c>
      <c r="T108">
        <v>11.1</v>
      </c>
      <c r="U108">
        <v>44.75</v>
      </c>
      <c r="V108" t="b">
        <v>0</v>
      </c>
      <c r="W108" t="s">
        <v>41</v>
      </c>
    </row>
    <row r="109" spans="1:23" x14ac:dyDescent="0.25">
      <c r="A109" t="s">
        <v>23</v>
      </c>
      <c r="B109" t="s">
        <v>62</v>
      </c>
      <c r="C109">
        <v>50.15</v>
      </c>
      <c r="D109">
        <v>755</v>
      </c>
      <c r="E109" t="b">
        <v>1</v>
      </c>
      <c r="F109" t="b">
        <v>1</v>
      </c>
      <c r="G109" t="b">
        <v>0</v>
      </c>
      <c r="H109" t="s">
        <v>43</v>
      </c>
      <c r="I109" t="s">
        <v>63</v>
      </c>
      <c r="J109" t="s">
        <v>54</v>
      </c>
      <c r="K109" t="s">
        <v>37</v>
      </c>
      <c r="L109" t="s">
        <v>37</v>
      </c>
      <c r="M109" t="s">
        <v>46</v>
      </c>
      <c r="N109" t="s">
        <v>46</v>
      </c>
      <c r="P109" t="b">
        <v>0</v>
      </c>
      <c r="Q109">
        <v>5.5</v>
      </c>
      <c r="R109" t="b">
        <v>1</v>
      </c>
      <c r="S109" t="s">
        <v>52</v>
      </c>
      <c r="T109">
        <v>9</v>
      </c>
      <c r="U109">
        <v>48.53</v>
      </c>
      <c r="V109" t="b">
        <v>1</v>
      </c>
      <c r="W109" t="s">
        <v>41</v>
      </c>
    </row>
    <row r="110" spans="1:23" x14ac:dyDescent="0.25">
      <c r="A110" t="s">
        <v>74</v>
      </c>
      <c r="B110" t="s">
        <v>70</v>
      </c>
      <c r="C110">
        <v>84.98</v>
      </c>
      <c r="D110">
        <v>132</v>
      </c>
      <c r="E110" t="b">
        <v>0</v>
      </c>
      <c r="F110" t="b">
        <v>1</v>
      </c>
      <c r="G110" t="b">
        <v>0</v>
      </c>
      <c r="H110" t="s">
        <v>43</v>
      </c>
      <c r="I110" t="s">
        <v>26</v>
      </c>
      <c r="J110" t="s">
        <v>36</v>
      </c>
      <c r="K110" t="s">
        <v>46</v>
      </c>
      <c r="L110" t="s">
        <v>38</v>
      </c>
      <c r="M110" t="s">
        <v>28</v>
      </c>
      <c r="O110" t="b">
        <v>1</v>
      </c>
      <c r="P110" t="b">
        <v>1</v>
      </c>
      <c r="Q110">
        <v>10</v>
      </c>
      <c r="R110" t="b">
        <v>1</v>
      </c>
      <c r="S110" t="s">
        <v>48</v>
      </c>
      <c r="T110">
        <v>43.1</v>
      </c>
      <c r="U110">
        <v>87.49</v>
      </c>
      <c r="V110" t="b">
        <v>1</v>
      </c>
      <c r="W110" t="s">
        <v>31</v>
      </c>
    </row>
    <row r="111" spans="1:23" x14ac:dyDescent="0.25">
      <c r="A111" t="s">
        <v>74</v>
      </c>
      <c r="B111" t="s">
        <v>62</v>
      </c>
      <c r="C111">
        <v>66.040000000000006</v>
      </c>
      <c r="D111">
        <v>238</v>
      </c>
      <c r="E111" t="b">
        <v>0</v>
      </c>
      <c r="F111" t="b">
        <v>1</v>
      </c>
      <c r="G111" t="b">
        <v>1</v>
      </c>
      <c r="H111" t="s">
        <v>53</v>
      </c>
      <c r="I111" t="s">
        <v>63</v>
      </c>
      <c r="J111" t="s">
        <v>27</v>
      </c>
      <c r="K111" t="s">
        <v>46</v>
      </c>
      <c r="L111" t="s">
        <v>38</v>
      </c>
      <c r="M111" t="s">
        <v>28</v>
      </c>
      <c r="N111" t="s">
        <v>39</v>
      </c>
      <c r="O111" t="b">
        <v>1</v>
      </c>
      <c r="P111" t="b">
        <v>1</v>
      </c>
      <c r="Q111">
        <v>9.4</v>
      </c>
      <c r="R111" t="b">
        <v>0</v>
      </c>
      <c r="T111">
        <v>0</v>
      </c>
      <c r="U111">
        <v>65.23</v>
      </c>
      <c r="V111" t="b">
        <v>0</v>
      </c>
      <c r="W111" t="s">
        <v>58</v>
      </c>
    </row>
    <row r="112" spans="1:23" x14ac:dyDescent="0.25">
      <c r="A112" t="s">
        <v>74</v>
      </c>
      <c r="B112" t="s">
        <v>76</v>
      </c>
      <c r="C112">
        <v>81.349999999999994</v>
      </c>
      <c r="D112">
        <v>674</v>
      </c>
      <c r="E112" t="b">
        <v>1</v>
      </c>
      <c r="F112" t="b">
        <v>0</v>
      </c>
      <c r="G112" t="b">
        <v>1</v>
      </c>
      <c r="H112" t="s">
        <v>43</v>
      </c>
      <c r="I112" t="s">
        <v>26</v>
      </c>
      <c r="J112" t="s">
        <v>36</v>
      </c>
      <c r="K112" t="s">
        <v>46</v>
      </c>
      <c r="L112" t="s">
        <v>38</v>
      </c>
      <c r="M112" t="s">
        <v>46</v>
      </c>
      <c r="N112" t="s">
        <v>39</v>
      </c>
      <c r="O112" t="b">
        <v>1</v>
      </c>
      <c r="P112" t="b">
        <v>0</v>
      </c>
      <c r="Q112">
        <v>10</v>
      </c>
      <c r="R112" t="b">
        <v>0</v>
      </c>
      <c r="T112">
        <v>0</v>
      </c>
      <c r="U112">
        <v>67.709999999999994</v>
      </c>
      <c r="V112" t="b">
        <v>0</v>
      </c>
      <c r="W112" t="s">
        <v>58</v>
      </c>
    </row>
    <row r="113" spans="1:23" x14ac:dyDescent="0.25">
      <c r="A113" t="s">
        <v>56</v>
      </c>
      <c r="B113" t="s">
        <v>59</v>
      </c>
      <c r="C113">
        <v>76.91</v>
      </c>
      <c r="D113">
        <v>730</v>
      </c>
      <c r="E113" t="b">
        <v>0</v>
      </c>
      <c r="F113" t="b">
        <v>1</v>
      </c>
      <c r="G113" t="b">
        <v>0</v>
      </c>
      <c r="H113" t="s">
        <v>43</v>
      </c>
      <c r="I113" t="s">
        <v>57</v>
      </c>
      <c r="J113" t="s">
        <v>45</v>
      </c>
      <c r="K113" t="s">
        <v>37</v>
      </c>
      <c r="L113" t="s">
        <v>38</v>
      </c>
      <c r="M113" t="s">
        <v>46</v>
      </c>
      <c r="N113" t="s">
        <v>39</v>
      </c>
      <c r="O113" t="b">
        <v>1</v>
      </c>
      <c r="P113" t="b">
        <v>1</v>
      </c>
      <c r="Q113">
        <v>8.8000000000000007</v>
      </c>
      <c r="R113" t="b">
        <v>0</v>
      </c>
      <c r="T113">
        <v>0</v>
      </c>
      <c r="U113">
        <v>90.58</v>
      </c>
      <c r="V113" t="b">
        <v>1</v>
      </c>
      <c r="W113" t="s">
        <v>58</v>
      </c>
    </row>
    <row r="114" spans="1:23" x14ac:dyDescent="0.25">
      <c r="A114" t="s">
        <v>23</v>
      </c>
      <c r="B114" t="s">
        <v>49</v>
      </c>
      <c r="C114">
        <v>78.03</v>
      </c>
      <c r="D114">
        <v>589</v>
      </c>
      <c r="E114" t="b">
        <v>1</v>
      </c>
      <c r="F114" t="b">
        <v>0</v>
      </c>
      <c r="G114" t="b">
        <v>1</v>
      </c>
      <c r="H114" t="s">
        <v>34</v>
      </c>
      <c r="I114" t="s">
        <v>44</v>
      </c>
      <c r="J114" t="s">
        <v>50</v>
      </c>
      <c r="K114" t="s">
        <v>37</v>
      </c>
      <c r="L114" t="s">
        <v>51</v>
      </c>
      <c r="M114" t="s">
        <v>39</v>
      </c>
      <c r="N114" t="s">
        <v>28</v>
      </c>
      <c r="O114" t="b">
        <v>1</v>
      </c>
      <c r="P114" t="b">
        <v>1</v>
      </c>
      <c r="Q114">
        <v>10</v>
      </c>
      <c r="R114" t="b">
        <v>1</v>
      </c>
      <c r="S114" t="s">
        <v>64</v>
      </c>
      <c r="T114">
        <v>14.5</v>
      </c>
      <c r="U114">
        <v>89.62</v>
      </c>
      <c r="V114" t="b">
        <v>1</v>
      </c>
      <c r="W114" t="s">
        <v>31</v>
      </c>
    </row>
    <row r="115" spans="1:23" x14ac:dyDescent="0.25">
      <c r="A115" t="s">
        <v>74</v>
      </c>
      <c r="B115" t="s">
        <v>42</v>
      </c>
      <c r="C115">
        <v>71.790000000000006</v>
      </c>
      <c r="D115">
        <v>708</v>
      </c>
      <c r="E115" t="b">
        <v>0</v>
      </c>
      <c r="F115" t="b">
        <v>1</v>
      </c>
      <c r="G115" t="b">
        <v>0</v>
      </c>
      <c r="H115" t="s">
        <v>25</v>
      </c>
      <c r="I115" t="s">
        <v>26</v>
      </c>
      <c r="J115" t="s">
        <v>36</v>
      </c>
      <c r="K115" t="s">
        <v>28</v>
      </c>
      <c r="L115" t="s">
        <v>38</v>
      </c>
      <c r="M115" t="s">
        <v>46</v>
      </c>
      <c r="O115" t="b">
        <v>1</v>
      </c>
      <c r="P115" t="b">
        <v>0</v>
      </c>
      <c r="Q115">
        <v>8.5</v>
      </c>
      <c r="R115" t="b">
        <v>1</v>
      </c>
      <c r="S115" t="s">
        <v>75</v>
      </c>
      <c r="T115">
        <v>36.700000000000003</v>
      </c>
      <c r="U115">
        <v>63.14</v>
      </c>
      <c r="V115" t="b">
        <v>0</v>
      </c>
      <c r="W115" t="s">
        <v>31</v>
      </c>
    </row>
    <row r="116" spans="1:23" x14ac:dyDescent="0.25">
      <c r="A116" t="s">
        <v>74</v>
      </c>
      <c r="B116" t="s">
        <v>42</v>
      </c>
      <c r="C116">
        <v>80.48</v>
      </c>
      <c r="D116">
        <v>317</v>
      </c>
      <c r="E116" t="b">
        <v>0</v>
      </c>
      <c r="F116" t="b">
        <v>1</v>
      </c>
      <c r="G116" t="b">
        <v>1</v>
      </c>
      <c r="H116" t="s">
        <v>53</v>
      </c>
      <c r="I116" t="s">
        <v>57</v>
      </c>
      <c r="J116" t="s">
        <v>36</v>
      </c>
      <c r="K116" t="s">
        <v>39</v>
      </c>
      <c r="L116" t="s">
        <v>29</v>
      </c>
      <c r="M116" t="s">
        <v>39</v>
      </c>
      <c r="N116" t="s">
        <v>39</v>
      </c>
      <c r="P116" t="b">
        <v>0</v>
      </c>
      <c r="Q116">
        <v>6.9</v>
      </c>
      <c r="R116" t="b">
        <v>0</v>
      </c>
      <c r="T116">
        <v>0</v>
      </c>
      <c r="U116">
        <v>73.52</v>
      </c>
      <c r="V116" t="b">
        <v>1</v>
      </c>
      <c r="W116" t="s">
        <v>31</v>
      </c>
    </row>
    <row r="117" spans="1:23" x14ac:dyDescent="0.25">
      <c r="A117" t="s">
        <v>61</v>
      </c>
      <c r="B117" t="s">
        <v>73</v>
      </c>
      <c r="C117">
        <v>55.68</v>
      </c>
      <c r="D117">
        <v>756</v>
      </c>
      <c r="E117" t="b">
        <v>1</v>
      </c>
      <c r="F117" t="b">
        <v>1</v>
      </c>
      <c r="G117" t="b">
        <v>0</v>
      </c>
      <c r="H117" t="s">
        <v>53</v>
      </c>
      <c r="I117" t="s">
        <v>35</v>
      </c>
      <c r="J117" t="s">
        <v>50</v>
      </c>
      <c r="K117" t="s">
        <v>28</v>
      </c>
      <c r="L117" t="s">
        <v>38</v>
      </c>
      <c r="M117" t="s">
        <v>39</v>
      </c>
      <c r="N117" t="s">
        <v>28</v>
      </c>
      <c r="O117" t="b">
        <v>1</v>
      </c>
      <c r="P117" t="b">
        <v>1</v>
      </c>
      <c r="Q117">
        <v>8.1</v>
      </c>
      <c r="R117" t="b">
        <v>1</v>
      </c>
      <c r="S117" t="s">
        <v>48</v>
      </c>
      <c r="T117">
        <v>33</v>
      </c>
      <c r="U117">
        <v>69.88</v>
      </c>
      <c r="V117" t="b">
        <v>1</v>
      </c>
      <c r="W117" t="s">
        <v>31</v>
      </c>
    </row>
    <row r="118" spans="1:23" x14ac:dyDescent="0.25">
      <c r="A118" t="s">
        <v>74</v>
      </c>
      <c r="B118" t="s">
        <v>24</v>
      </c>
      <c r="C118">
        <v>96.49</v>
      </c>
      <c r="D118">
        <v>602</v>
      </c>
      <c r="E118" t="b">
        <v>1</v>
      </c>
      <c r="F118" t="b">
        <v>0</v>
      </c>
      <c r="G118" t="b">
        <v>1</v>
      </c>
      <c r="H118" t="s">
        <v>25</v>
      </c>
      <c r="I118" t="s">
        <v>57</v>
      </c>
      <c r="J118" t="s">
        <v>36</v>
      </c>
      <c r="K118" t="s">
        <v>37</v>
      </c>
      <c r="L118" t="s">
        <v>38</v>
      </c>
      <c r="M118" t="s">
        <v>39</v>
      </c>
      <c r="N118" t="s">
        <v>28</v>
      </c>
      <c r="O118" t="b">
        <v>1</v>
      </c>
      <c r="P118" t="b">
        <v>1</v>
      </c>
      <c r="Q118">
        <v>10</v>
      </c>
      <c r="R118" t="b">
        <v>1</v>
      </c>
      <c r="S118" t="s">
        <v>75</v>
      </c>
      <c r="T118">
        <v>17</v>
      </c>
      <c r="U118">
        <v>100</v>
      </c>
      <c r="V118" t="b">
        <v>1</v>
      </c>
      <c r="W118" t="s">
        <v>31</v>
      </c>
    </row>
    <row r="119" spans="1:23" x14ac:dyDescent="0.25">
      <c r="A119" t="s">
        <v>32</v>
      </c>
      <c r="B119" t="s">
        <v>71</v>
      </c>
      <c r="C119">
        <v>43.96</v>
      </c>
      <c r="D119">
        <v>591</v>
      </c>
      <c r="E119" t="b">
        <v>1</v>
      </c>
      <c r="F119" t="b">
        <v>1</v>
      </c>
      <c r="G119" t="b">
        <v>0</v>
      </c>
      <c r="H119" t="s">
        <v>43</v>
      </c>
      <c r="I119" t="s">
        <v>26</v>
      </c>
      <c r="J119" t="s">
        <v>36</v>
      </c>
      <c r="K119" t="s">
        <v>46</v>
      </c>
      <c r="L119" t="s">
        <v>51</v>
      </c>
      <c r="M119" t="s">
        <v>39</v>
      </c>
      <c r="N119" t="s">
        <v>39</v>
      </c>
      <c r="O119" t="b">
        <v>1</v>
      </c>
      <c r="P119" t="b">
        <v>0</v>
      </c>
      <c r="Q119">
        <v>6.1</v>
      </c>
      <c r="R119" t="b">
        <v>1</v>
      </c>
      <c r="S119" t="s">
        <v>55</v>
      </c>
      <c r="T119">
        <v>35</v>
      </c>
      <c r="U119">
        <v>27.98</v>
      </c>
      <c r="V119" t="b">
        <v>0</v>
      </c>
      <c r="W119" t="s">
        <v>41</v>
      </c>
    </row>
    <row r="120" spans="1:23" x14ac:dyDescent="0.25">
      <c r="A120" t="s">
        <v>68</v>
      </c>
      <c r="B120" t="s">
        <v>60</v>
      </c>
      <c r="C120">
        <v>49.18</v>
      </c>
      <c r="D120">
        <v>689</v>
      </c>
      <c r="E120" t="b">
        <v>0</v>
      </c>
      <c r="F120" t="b">
        <v>1</v>
      </c>
      <c r="G120" t="b">
        <v>0</v>
      </c>
      <c r="H120" t="s">
        <v>34</v>
      </c>
      <c r="I120" t="s">
        <v>26</v>
      </c>
      <c r="J120" t="s">
        <v>36</v>
      </c>
      <c r="K120" t="s">
        <v>39</v>
      </c>
      <c r="L120" t="s">
        <v>69</v>
      </c>
      <c r="M120" t="s">
        <v>39</v>
      </c>
      <c r="N120" t="s">
        <v>28</v>
      </c>
      <c r="O120" t="b">
        <v>1</v>
      </c>
      <c r="P120" t="b">
        <v>1</v>
      </c>
      <c r="Q120">
        <v>6.1</v>
      </c>
      <c r="R120" t="b">
        <v>1</v>
      </c>
      <c r="S120" t="s">
        <v>55</v>
      </c>
      <c r="T120">
        <v>10.4</v>
      </c>
      <c r="U120">
        <v>47.24</v>
      </c>
      <c r="V120" t="b">
        <v>1</v>
      </c>
      <c r="W120" t="s">
        <v>41</v>
      </c>
    </row>
    <row r="121" spans="1:23" x14ac:dyDescent="0.25">
      <c r="A121" t="s">
        <v>74</v>
      </c>
      <c r="B121" t="s">
        <v>70</v>
      </c>
      <c r="C121">
        <v>93.81</v>
      </c>
      <c r="D121">
        <v>760</v>
      </c>
      <c r="E121" t="b">
        <v>0</v>
      </c>
      <c r="F121" t="b">
        <v>1</v>
      </c>
      <c r="G121" t="b">
        <v>0</v>
      </c>
      <c r="H121" t="s">
        <v>43</v>
      </c>
      <c r="I121" t="s">
        <v>35</v>
      </c>
      <c r="J121" t="s">
        <v>36</v>
      </c>
      <c r="K121" t="s">
        <v>28</v>
      </c>
      <c r="L121" t="s">
        <v>29</v>
      </c>
      <c r="M121" t="s">
        <v>28</v>
      </c>
      <c r="N121" t="s">
        <v>28</v>
      </c>
      <c r="O121" t="b">
        <v>1</v>
      </c>
      <c r="P121" t="b">
        <v>1</v>
      </c>
      <c r="Q121">
        <v>10</v>
      </c>
      <c r="R121" t="b">
        <v>0</v>
      </c>
      <c r="T121">
        <v>0</v>
      </c>
      <c r="U121">
        <v>100</v>
      </c>
      <c r="V121" t="b">
        <v>1</v>
      </c>
      <c r="W121" t="s">
        <v>58</v>
      </c>
    </row>
    <row r="122" spans="1:23" x14ac:dyDescent="0.25">
      <c r="A122" t="s">
        <v>32</v>
      </c>
      <c r="B122" t="s">
        <v>62</v>
      </c>
      <c r="C122">
        <v>70.67</v>
      </c>
      <c r="D122">
        <v>566</v>
      </c>
      <c r="E122" t="b">
        <v>1</v>
      </c>
      <c r="F122" t="b">
        <v>1</v>
      </c>
      <c r="G122" t="b">
        <v>1</v>
      </c>
      <c r="H122" t="s">
        <v>53</v>
      </c>
      <c r="I122" t="s">
        <v>44</v>
      </c>
      <c r="J122" t="s">
        <v>36</v>
      </c>
      <c r="K122" t="s">
        <v>28</v>
      </c>
      <c r="L122" t="s">
        <v>51</v>
      </c>
      <c r="M122" t="s">
        <v>39</v>
      </c>
      <c r="N122" t="s">
        <v>46</v>
      </c>
      <c r="O122" t="b">
        <v>1</v>
      </c>
      <c r="P122" t="b">
        <v>0</v>
      </c>
      <c r="Q122">
        <v>8.4</v>
      </c>
      <c r="R122" t="b">
        <v>1</v>
      </c>
      <c r="S122" t="s">
        <v>48</v>
      </c>
      <c r="T122">
        <v>23.1</v>
      </c>
      <c r="U122">
        <v>83.72</v>
      </c>
      <c r="V122" t="b">
        <v>1</v>
      </c>
      <c r="W122" t="s">
        <v>31</v>
      </c>
    </row>
    <row r="123" spans="1:23" x14ac:dyDescent="0.25">
      <c r="A123" t="s">
        <v>56</v>
      </c>
      <c r="B123" t="s">
        <v>33</v>
      </c>
      <c r="C123">
        <v>82.39</v>
      </c>
      <c r="D123">
        <v>62</v>
      </c>
      <c r="E123" t="b">
        <v>1</v>
      </c>
      <c r="F123" t="b">
        <v>0</v>
      </c>
      <c r="G123" t="b">
        <v>0</v>
      </c>
      <c r="H123" t="s">
        <v>34</v>
      </c>
      <c r="I123" t="s">
        <v>63</v>
      </c>
      <c r="J123" t="s">
        <v>45</v>
      </c>
      <c r="K123" t="s">
        <v>28</v>
      </c>
      <c r="L123" t="s">
        <v>29</v>
      </c>
      <c r="M123" t="s">
        <v>47</v>
      </c>
      <c r="O123" t="b">
        <v>0</v>
      </c>
      <c r="P123" t="b">
        <v>0</v>
      </c>
      <c r="Q123">
        <v>7.7</v>
      </c>
      <c r="R123" t="b">
        <v>1</v>
      </c>
      <c r="S123" t="s">
        <v>48</v>
      </c>
      <c r="T123">
        <v>34.1</v>
      </c>
      <c r="U123">
        <v>95.29</v>
      </c>
      <c r="V123" t="b">
        <v>1</v>
      </c>
      <c r="W123" t="s">
        <v>41</v>
      </c>
    </row>
    <row r="124" spans="1:23" x14ac:dyDescent="0.25">
      <c r="A124" t="s">
        <v>32</v>
      </c>
      <c r="B124" t="s">
        <v>33</v>
      </c>
      <c r="C124">
        <v>75.22</v>
      </c>
      <c r="D124">
        <v>132</v>
      </c>
      <c r="E124" t="b">
        <v>1</v>
      </c>
      <c r="F124" t="b">
        <v>1</v>
      </c>
      <c r="G124" t="b">
        <v>1</v>
      </c>
      <c r="H124" t="s">
        <v>53</v>
      </c>
      <c r="I124" t="s">
        <v>35</v>
      </c>
      <c r="J124" t="s">
        <v>36</v>
      </c>
      <c r="K124" t="s">
        <v>46</v>
      </c>
      <c r="L124" t="s">
        <v>37</v>
      </c>
      <c r="M124" t="s">
        <v>47</v>
      </c>
      <c r="O124" t="b">
        <v>0</v>
      </c>
      <c r="P124" t="b">
        <v>1</v>
      </c>
      <c r="Q124">
        <v>6.1</v>
      </c>
      <c r="R124" t="b">
        <v>1</v>
      </c>
      <c r="S124" t="s">
        <v>55</v>
      </c>
      <c r="T124">
        <v>34.299999999999997</v>
      </c>
      <c r="U124">
        <v>87.09</v>
      </c>
      <c r="V124" t="b">
        <v>0</v>
      </c>
      <c r="W124" t="s">
        <v>41</v>
      </c>
    </row>
    <row r="125" spans="1:23" x14ac:dyDescent="0.25">
      <c r="A125" t="s">
        <v>68</v>
      </c>
      <c r="B125" t="s">
        <v>42</v>
      </c>
      <c r="C125">
        <v>76.5</v>
      </c>
      <c r="D125">
        <v>755</v>
      </c>
      <c r="E125" t="b">
        <v>1</v>
      </c>
      <c r="F125" t="b">
        <v>0</v>
      </c>
      <c r="G125" t="b">
        <v>1</v>
      </c>
      <c r="H125" t="s">
        <v>34</v>
      </c>
      <c r="I125" t="s">
        <v>44</v>
      </c>
      <c r="J125" t="s">
        <v>50</v>
      </c>
      <c r="K125" t="s">
        <v>46</v>
      </c>
      <c r="L125" t="s">
        <v>51</v>
      </c>
      <c r="M125" t="s">
        <v>47</v>
      </c>
      <c r="N125" t="s">
        <v>39</v>
      </c>
      <c r="P125" t="b">
        <v>0</v>
      </c>
      <c r="Q125">
        <v>7.8</v>
      </c>
      <c r="R125" t="b">
        <v>0</v>
      </c>
      <c r="T125">
        <v>0</v>
      </c>
      <c r="U125">
        <v>69.89</v>
      </c>
      <c r="V125" t="b">
        <v>1</v>
      </c>
      <c r="W125" t="s">
        <v>31</v>
      </c>
    </row>
    <row r="126" spans="1:23" x14ac:dyDescent="0.25">
      <c r="A126" t="s">
        <v>56</v>
      </c>
      <c r="B126" t="s">
        <v>71</v>
      </c>
      <c r="C126">
        <v>58.06</v>
      </c>
      <c r="D126">
        <v>532</v>
      </c>
      <c r="E126" t="b">
        <v>1</v>
      </c>
      <c r="F126" t="b">
        <v>0</v>
      </c>
      <c r="G126" t="b">
        <v>0</v>
      </c>
      <c r="H126" t="s">
        <v>43</v>
      </c>
      <c r="I126" t="s">
        <v>63</v>
      </c>
      <c r="J126" t="s">
        <v>50</v>
      </c>
      <c r="K126" t="s">
        <v>37</v>
      </c>
      <c r="L126" t="s">
        <v>37</v>
      </c>
      <c r="M126" t="s">
        <v>46</v>
      </c>
      <c r="O126" t="b">
        <v>0</v>
      </c>
      <c r="P126" t="b">
        <v>1</v>
      </c>
      <c r="Q126">
        <v>5.4</v>
      </c>
      <c r="R126" t="b">
        <v>1</v>
      </c>
      <c r="S126" t="s">
        <v>65</v>
      </c>
      <c r="T126">
        <v>2.2999999999999998</v>
      </c>
      <c r="U126">
        <v>62.24</v>
      </c>
      <c r="V126" t="b">
        <v>1</v>
      </c>
      <c r="W126" t="s">
        <v>41</v>
      </c>
    </row>
    <row r="127" spans="1:23" x14ac:dyDescent="0.25">
      <c r="A127" t="s">
        <v>61</v>
      </c>
      <c r="B127" t="s">
        <v>76</v>
      </c>
      <c r="C127">
        <v>85.31</v>
      </c>
      <c r="D127">
        <v>481</v>
      </c>
      <c r="E127" t="b">
        <v>1</v>
      </c>
      <c r="F127" t="b">
        <v>0</v>
      </c>
      <c r="G127" t="b">
        <v>1</v>
      </c>
      <c r="H127" t="s">
        <v>34</v>
      </c>
      <c r="I127" t="s">
        <v>63</v>
      </c>
      <c r="J127" t="s">
        <v>45</v>
      </c>
      <c r="K127" t="s">
        <v>39</v>
      </c>
      <c r="L127" t="s">
        <v>37</v>
      </c>
      <c r="M127" t="s">
        <v>39</v>
      </c>
      <c r="N127" t="s">
        <v>28</v>
      </c>
      <c r="P127" t="b">
        <v>0</v>
      </c>
      <c r="Q127">
        <v>8.8000000000000007</v>
      </c>
      <c r="R127" t="b">
        <v>1</v>
      </c>
      <c r="S127" t="s">
        <v>75</v>
      </c>
      <c r="T127">
        <v>39.200000000000003</v>
      </c>
      <c r="U127">
        <v>92.09</v>
      </c>
      <c r="V127" t="b">
        <v>1</v>
      </c>
      <c r="W127" t="s">
        <v>31</v>
      </c>
    </row>
    <row r="128" spans="1:23" x14ac:dyDescent="0.25">
      <c r="A128" t="s">
        <v>74</v>
      </c>
      <c r="B128" t="s">
        <v>49</v>
      </c>
      <c r="C128">
        <v>72.650000000000006</v>
      </c>
      <c r="D128">
        <v>92</v>
      </c>
      <c r="E128" t="b">
        <v>0</v>
      </c>
      <c r="F128" t="b">
        <v>0</v>
      </c>
      <c r="G128" t="b">
        <v>0</v>
      </c>
      <c r="H128" t="s">
        <v>53</v>
      </c>
      <c r="I128" t="s">
        <v>26</v>
      </c>
      <c r="J128" t="s">
        <v>50</v>
      </c>
      <c r="K128" t="s">
        <v>28</v>
      </c>
      <c r="L128" t="s">
        <v>37</v>
      </c>
      <c r="M128" t="s">
        <v>39</v>
      </c>
      <c r="N128" t="s">
        <v>46</v>
      </c>
      <c r="O128" t="b">
        <v>1</v>
      </c>
      <c r="P128" t="b">
        <v>0</v>
      </c>
      <c r="Q128">
        <v>8.6</v>
      </c>
      <c r="R128" t="b">
        <v>1</v>
      </c>
      <c r="S128" t="s">
        <v>65</v>
      </c>
      <c r="T128">
        <v>44.4</v>
      </c>
      <c r="U128">
        <v>81.650000000000006</v>
      </c>
      <c r="V128" t="b">
        <v>1</v>
      </c>
      <c r="W128" t="s">
        <v>31</v>
      </c>
    </row>
    <row r="129" spans="1:23" x14ac:dyDescent="0.25">
      <c r="A129" t="s">
        <v>74</v>
      </c>
      <c r="B129" t="s">
        <v>66</v>
      </c>
      <c r="C129">
        <v>77.8</v>
      </c>
      <c r="D129">
        <v>762</v>
      </c>
      <c r="E129" t="b">
        <v>1</v>
      </c>
      <c r="F129" t="b">
        <v>1</v>
      </c>
      <c r="G129" t="b">
        <v>0</v>
      </c>
      <c r="H129" t="s">
        <v>43</v>
      </c>
      <c r="I129" t="s">
        <v>57</v>
      </c>
      <c r="J129" t="s">
        <v>27</v>
      </c>
      <c r="K129" t="s">
        <v>37</v>
      </c>
      <c r="L129" t="s">
        <v>37</v>
      </c>
      <c r="M129" t="s">
        <v>28</v>
      </c>
      <c r="N129" t="s">
        <v>39</v>
      </c>
      <c r="P129" t="b">
        <v>1</v>
      </c>
      <c r="Q129">
        <v>8.8000000000000007</v>
      </c>
      <c r="R129" t="b">
        <v>1</v>
      </c>
      <c r="S129" t="s">
        <v>52</v>
      </c>
      <c r="T129">
        <v>43.1</v>
      </c>
      <c r="U129">
        <v>80.59</v>
      </c>
      <c r="V129" t="b">
        <v>1</v>
      </c>
      <c r="W129" t="s">
        <v>31</v>
      </c>
    </row>
    <row r="130" spans="1:23" x14ac:dyDescent="0.25">
      <c r="A130" t="s">
        <v>32</v>
      </c>
      <c r="B130" t="s">
        <v>66</v>
      </c>
      <c r="C130">
        <v>61.88</v>
      </c>
      <c r="D130">
        <v>673</v>
      </c>
      <c r="E130" t="b">
        <v>0</v>
      </c>
      <c r="F130" t="b">
        <v>1</v>
      </c>
      <c r="G130" t="b">
        <v>1</v>
      </c>
      <c r="H130" t="s">
        <v>34</v>
      </c>
      <c r="I130" t="s">
        <v>44</v>
      </c>
      <c r="J130" t="s">
        <v>36</v>
      </c>
      <c r="K130" t="s">
        <v>46</v>
      </c>
      <c r="L130" t="s">
        <v>51</v>
      </c>
      <c r="M130" t="s">
        <v>46</v>
      </c>
      <c r="N130" t="s">
        <v>46</v>
      </c>
      <c r="O130" t="b">
        <v>1</v>
      </c>
      <c r="P130" t="b">
        <v>1</v>
      </c>
      <c r="Q130">
        <v>8.5</v>
      </c>
      <c r="R130" t="b">
        <v>1</v>
      </c>
      <c r="S130" t="s">
        <v>55</v>
      </c>
      <c r="T130">
        <v>35.200000000000003</v>
      </c>
      <c r="U130">
        <v>41.11</v>
      </c>
      <c r="V130" t="b">
        <v>0</v>
      </c>
      <c r="W130" t="s">
        <v>31</v>
      </c>
    </row>
    <row r="131" spans="1:23" x14ac:dyDescent="0.25">
      <c r="A131" t="s">
        <v>74</v>
      </c>
      <c r="B131" t="s">
        <v>70</v>
      </c>
      <c r="C131">
        <v>74.22</v>
      </c>
      <c r="D131">
        <v>259</v>
      </c>
      <c r="E131" t="b">
        <v>1</v>
      </c>
      <c r="F131" t="b">
        <v>0</v>
      </c>
      <c r="G131" t="b">
        <v>1</v>
      </c>
      <c r="H131" t="s">
        <v>43</v>
      </c>
      <c r="I131" t="s">
        <v>26</v>
      </c>
      <c r="J131" t="s">
        <v>54</v>
      </c>
      <c r="K131" t="s">
        <v>28</v>
      </c>
      <c r="L131" t="s">
        <v>38</v>
      </c>
      <c r="M131" t="s">
        <v>39</v>
      </c>
      <c r="N131" t="s">
        <v>28</v>
      </c>
      <c r="O131" t="b">
        <v>1</v>
      </c>
      <c r="P131" t="b">
        <v>1</v>
      </c>
      <c r="Q131">
        <v>9.9</v>
      </c>
      <c r="R131" t="b">
        <v>1</v>
      </c>
      <c r="S131" t="s">
        <v>65</v>
      </c>
      <c r="T131">
        <v>16.7</v>
      </c>
      <c r="U131">
        <v>77.62</v>
      </c>
      <c r="V131" t="b">
        <v>0</v>
      </c>
      <c r="W131" t="s">
        <v>31</v>
      </c>
    </row>
    <row r="132" spans="1:23" x14ac:dyDescent="0.25">
      <c r="A132" t="s">
        <v>68</v>
      </c>
      <c r="B132" t="s">
        <v>24</v>
      </c>
      <c r="C132">
        <v>87.35</v>
      </c>
      <c r="D132">
        <v>429</v>
      </c>
      <c r="E132" t="b">
        <v>1</v>
      </c>
      <c r="F132" t="b">
        <v>0</v>
      </c>
      <c r="G132" t="b">
        <v>0</v>
      </c>
      <c r="H132" t="s">
        <v>34</v>
      </c>
      <c r="I132" t="s">
        <v>67</v>
      </c>
      <c r="J132" t="s">
        <v>36</v>
      </c>
      <c r="K132" t="s">
        <v>37</v>
      </c>
      <c r="L132" t="s">
        <v>38</v>
      </c>
      <c r="M132" t="s">
        <v>28</v>
      </c>
      <c r="N132" t="s">
        <v>46</v>
      </c>
      <c r="P132" t="b">
        <v>0</v>
      </c>
      <c r="Q132">
        <v>10</v>
      </c>
      <c r="R132" t="b">
        <v>1</v>
      </c>
      <c r="S132" t="s">
        <v>64</v>
      </c>
      <c r="T132">
        <v>2.6</v>
      </c>
      <c r="U132">
        <v>79.13</v>
      </c>
      <c r="V132" t="b">
        <v>0</v>
      </c>
      <c r="W132" t="s">
        <v>31</v>
      </c>
    </row>
    <row r="133" spans="1:23" x14ac:dyDescent="0.25">
      <c r="A133" t="s">
        <v>32</v>
      </c>
      <c r="B133" t="s">
        <v>70</v>
      </c>
      <c r="C133">
        <v>76.959999999999994</v>
      </c>
      <c r="D133">
        <v>321</v>
      </c>
      <c r="E133" t="b">
        <v>1</v>
      </c>
      <c r="F133" t="b">
        <v>0</v>
      </c>
      <c r="G133" t="b">
        <v>0</v>
      </c>
      <c r="H133" t="s">
        <v>43</v>
      </c>
      <c r="I133" t="s">
        <v>57</v>
      </c>
      <c r="J133" t="s">
        <v>45</v>
      </c>
      <c r="K133" t="s">
        <v>39</v>
      </c>
      <c r="L133" t="s">
        <v>29</v>
      </c>
      <c r="M133" t="s">
        <v>39</v>
      </c>
      <c r="P133" t="b">
        <v>0</v>
      </c>
      <c r="Q133">
        <v>8.3000000000000007</v>
      </c>
      <c r="R133" t="b">
        <v>1</v>
      </c>
      <c r="S133" t="s">
        <v>40</v>
      </c>
      <c r="T133">
        <v>45</v>
      </c>
      <c r="U133">
        <v>91.3</v>
      </c>
      <c r="V133" t="b">
        <v>1</v>
      </c>
      <c r="W133" t="s">
        <v>31</v>
      </c>
    </row>
    <row r="134" spans="1:23" x14ac:dyDescent="0.25">
      <c r="A134" t="s">
        <v>32</v>
      </c>
      <c r="B134" t="s">
        <v>71</v>
      </c>
      <c r="C134">
        <v>54.88</v>
      </c>
      <c r="D134">
        <v>209</v>
      </c>
      <c r="E134" t="b">
        <v>0</v>
      </c>
      <c r="F134" t="b">
        <v>1</v>
      </c>
      <c r="G134" t="b">
        <v>1</v>
      </c>
      <c r="H134" t="s">
        <v>43</v>
      </c>
      <c r="I134" t="s">
        <v>57</v>
      </c>
      <c r="J134" t="s">
        <v>36</v>
      </c>
      <c r="K134" t="s">
        <v>39</v>
      </c>
      <c r="L134" t="s">
        <v>69</v>
      </c>
      <c r="M134" t="s">
        <v>46</v>
      </c>
      <c r="N134" t="s">
        <v>28</v>
      </c>
      <c r="P134" t="b">
        <v>0</v>
      </c>
      <c r="Q134">
        <v>5.7</v>
      </c>
      <c r="R134" t="b">
        <v>1</v>
      </c>
      <c r="S134" t="s">
        <v>65</v>
      </c>
      <c r="T134">
        <v>44.8</v>
      </c>
      <c r="U134">
        <v>59.57</v>
      </c>
      <c r="V134" t="b">
        <v>1</v>
      </c>
      <c r="W134" t="s">
        <v>41</v>
      </c>
    </row>
    <row r="135" spans="1:23" x14ac:dyDescent="0.25">
      <c r="A135" t="s">
        <v>61</v>
      </c>
      <c r="B135" t="s">
        <v>24</v>
      </c>
      <c r="C135">
        <v>91.13</v>
      </c>
      <c r="D135">
        <v>574</v>
      </c>
      <c r="E135" t="b">
        <v>0</v>
      </c>
      <c r="F135" t="b">
        <v>0</v>
      </c>
      <c r="G135" t="b">
        <v>1</v>
      </c>
      <c r="H135" t="s">
        <v>25</v>
      </c>
      <c r="I135" t="s">
        <v>57</v>
      </c>
      <c r="J135" t="s">
        <v>45</v>
      </c>
      <c r="K135" t="s">
        <v>28</v>
      </c>
      <c r="L135" t="s">
        <v>38</v>
      </c>
      <c r="M135" t="s">
        <v>39</v>
      </c>
      <c r="N135" t="s">
        <v>46</v>
      </c>
      <c r="P135" t="b">
        <v>0</v>
      </c>
      <c r="Q135">
        <v>10</v>
      </c>
      <c r="R135" t="b">
        <v>1</v>
      </c>
      <c r="S135" t="s">
        <v>52</v>
      </c>
      <c r="T135">
        <v>40.4</v>
      </c>
      <c r="U135">
        <v>88.94</v>
      </c>
      <c r="V135" t="b">
        <v>1</v>
      </c>
      <c r="W135" t="s">
        <v>31</v>
      </c>
    </row>
    <row r="136" spans="1:23" x14ac:dyDescent="0.25">
      <c r="A136" t="s">
        <v>56</v>
      </c>
      <c r="B136" t="s">
        <v>49</v>
      </c>
      <c r="C136">
        <v>70.260000000000005</v>
      </c>
      <c r="D136">
        <v>385</v>
      </c>
      <c r="E136" t="b">
        <v>1</v>
      </c>
      <c r="F136" t="b">
        <v>1</v>
      </c>
      <c r="G136" t="b">
        <v>1</v>
      </c>
      <c r="H136" t="s">
        <v>53</v>
      </c>
      <c r="I136" t="s">
        <v>44</v>
      </c>
      <c r="J136" t="s">
        <v>36</v>
      </c>
      <c r="K136" t="s">
        <v>39</v>
      </c>
      <c r="L136" t="s">
        <v>51</v>
      </c>
      <c r="M136" t="s">
        <v>39</v>
      </c>
      <c r="N136" t="s">
        <v>28</v>
      </c>
      <c r="O136" t="b">
        <v>0</v>
      </c>
      <c r="P136" t="b">
        <v>0</v>
      </c>
      <c r="Q136">
        <v>6.8</v>
      </c>
      <c r="R136" t="b">
        <v>1</v>
      </c>
      <c r="S136" t="s">
        <v>48</v>
      </c>
      <c r="T136">
        <v>7.9</v>
      </c>
      <c r="U136">
        <v>80.02</v>
      </c>
      <c r="V136" t="b">
        <v>1</v>
      </c>
      <c r="W136" t="s">
        <v>41</v>
      </c>
    </row>
    <row r="137" spans="1:23" x14ac:dyDescent="0.25">
      <c r="A137" t="s">
        <v>68</v>
      </c>
      <c r="B137" t="s">
        <v>73</v>
      </c>
      <c r="C137">
        <v>52.04</v>
      </c>
      <c r="D137">
        <v>337</v>
      </c>
      <c r="E137" t="b">
        <v>1</v>
      </c>
      <c r="F137" t="b">
        <v>0</v>
      </c>
      <c r="G137" t="b">
        <v>0</v>
      </c>
      <c r="H137" t="s">
        <v>25</v>
      </c>
      <c r="I137" t="s">
        <v>67</v>
      </c>
      <c r="J137" t="s">
        <v>54</v>
      </c>
      <c r="K137" t="s">
        <v>39</v>
      </c>
      <c r="L137" t="s">
        <v>69</v>
      </c>
      <c r="M137" t="s">
        <v>47</v>
      </c>
      <c r="N137" t="s">
        <v>39</v>
      </c>
      <c r="P137" t="b">
        <v>0</v>
      </c>
      <c r="Q137">
        <v>6</v>
      </c>
      <c r="R137" t="b">
        <v>1</v>
      </c>
      <c r="S137" t="s">
        <v>52</v>
      </c>
      <c r="T137">
        <v>13.6</v>
      </c>
      <c r="U137">
        <v>45.32</v>
      </c>
      <c r="V137" t="b">
        <v>1</v>
      </c>
      <c r="W137" t="s">
        <v>41</v>
      </c>
    </row>
    <row r="138" spans="1:23" x14ac:dyDescent="0.25">
      <c r="A138" t="s">
        <v>74</v>
      </c>
      <c r="B138" t="s">
        <v>62</v>
      </c>
      <c r="C138">
        <v>73.61</v>
      </c>
      <c r="D138">
        <v>580</v>
      </c>
      <c r="E138" t="b">
        <v>1</v>
      </c>
      <c r="F138" t="b">
        <v>1</v>
      </c>
      <c r="G138" t="b">
        <v>1</v>
      </c>
      <c r="H138" t="s">
        <v>53</v>
      </c>
      <c r="I138" t="s">
        <v>63</v>
      </c>
      <c r="J138" t="s">
        <v>45</v>
      </c>
      <c r="K138" t="s">
        <v>39</v>
      </c>
      <c r="L138" t="s">
        <v>29</v>
      </c>
      <c r="M138" t="s">
        <v>39</v>
      </c>
      <c r="N138" t="s">
        <v>28</v>
      </c>
      <c r="P138" t="b">
        <v>1</v>
      </c>
      <c r="Q138">
        <v>7</v>
      </c>
      <c r="R138" t="b">
        <v>1</v>
      </c>
      <c r="S138" t="s">
        <v>55</v>
      </c>
      <c r="T138">
        <v>38.1</v>
      </c>
      <c r="U138">
        <v>87.82</v>
      </c>
      <c r="V138" t="b">
        <v>1</v>
      </c>
      <c r="W138" t="s">
        <v>41</v>
      </c>
    </row>
    <row r="139" spans="1:23" x14ac:dyDescent="0.25">
      <c r="A139" t="s">
        <v>32</v>
      </c>
      <c r="B139" t="s">
        <v>76</v>
      </c>
      <c r="C139">
        <v>85.7</v>
      </c>
      <c r="D139">
        <v>383</v>
      </c>
      <c r="E139" t="b">
        <v>1</v>
      </c>
      <c r="F139" t="b">
        <v>1</v>
      </c>
      <c r="G139" t="b">
        <v>0</v>
      </c>
      <c r="H139" t="s">
        <v>43</v>
      </c>
      <c r="I139" t="s">
        <v>57</v>
      </c>
      <c r="J139" t="s">
        <v>54</v>
      </c>
      <c r="K139" t="s">
        <v>46</v>
      </c>
      <c r="L139" t="s">
        <v>37</v>
      </c>
      <c r="M139" t="s">
        <v>39</v>
      </c>
      <c r="N139" t="s">
        <v>46</v>
      </c>
      <c r="O139" t="b">
        <v>0</v>
      </c>
      <c r="P139" t="b">
        <v>0</v>
      </c>
      <c r="Q139">
        <v>8</v>
      </c>
      <c r="R139" t="b">
        <v>0</v>
      </c>
      <c r="T139">
        <v>0</v>
      </c>
      <c r="U139">
        <v>90.57</v>
      </c>
      <c r="V139" t="b">
        <v>1</v>
      </c>
      <c r="W139" t="s">
        <v>58</v>
      </c>
    </row>
    <row r="140" spans="1:23" x14ac:dyDescent="0.25">
      <c r="A140" t="s">
        <v>68</v>
      </c>
      <c r="B140" t="s">
        <v>60</v>
      </c>
      <c r="C140">
        <v>53.61</v>
      </c>
      <c r="D140">
        <v>761</v>
      </c>
      <c r="E140" t="b">
        <v>0</v>
      </c>
      <c r="F140" t="b">
        <v>0</v>
      </c>
      <c r="G140" t="b">
        <v>0</v>
      </c>
      <c r="H140" t="s">
        <v>43</v>
      </c>
      <c r="I140" t="s">
        <v>44</v>
      </c>
      <c r="J140" t="s">
        <v>54</v>
      </c>
      <c r="K140" t="s">
        <v>39</v>
      </c>
      <c r="L140" t="s">
        <v>29</v>
      </c>
      <c r="M140" t="s">
        <v>28</v>
      </c>
      <c r="N140" t="s">
        <v>39</v>
      </c>
      <c r="P140" t="b">
        <v>1</v>
      </c>
      <c r="Q140">
        <v>5.9</v>
      </c>
      <c r="R140" t="b">
        <v>0</v>
      </c>
      <c r="T140">
        <v>0</v>
      </c>
      <c r="U140">
        <v>64.58</v>
      </c>
      <c r="V140" t="b">
        <v>1</v>
      </c>
      <c r="W140" t="s">
        <v>41</v>
      </c>
    </row>
    <row r="141" spans="1:23" x14ac:dyDescent="0.25">
      <c r="A141" t="s">
        <v>68</v>
      </c>
      <c r="B141" t="s">
        <v>66</v>
      </c>
      <c r="C141">
        <v>74.739999999999995</v>
      </c>
      <c r="D141">
        <v>365</v>
      </c>
      <c r="E141" t="b">
        <v>0</v>
      </c>
      <c r="F141" t="b">
        <v>0</v>
      </c>
      <c r="G141" t="b">
        <v>1</v>
      </c>
      <c r="H141" t="s">
        <v>53</v>
      </c>
      <c r="I141" t="s">
        <v>63</v>
      </c>
      <c r="J141" t="s">
        <v>54</v>
      </c>
      <c r="K141" t="s">
        <v>37</v>
      </c>
      <c r="L141" t="s">
        <v>38</v>
      </c>
      <c r="M141" t="s">
        <v>47</v>
      </c>
      <c r="N141" t="s">
        <v>46</v>
      </c>
      <c r="O141" t="b">
        <v>1</v>
      </c>
      <c r="P141" t="b">
        <v>1</v>
      </c>
      <c r="Q141">
        <v>9.4</v>
      </c>
      <c r="R141" t="b">
        <v>1</v>
      </c>
      <c r="S141" t="s">
        <v>40</v>
      </c>
      <c r="T141">
        <v>28</v>
      </c>
      <c r="U141">
        <v>65.099999999999994</v>
      </c>
      <c r="V141" t="b">
        <v>0</v>
      </c>
      <c r="W141" t="s">
        <v>31</v>
      </c>
    </row>
    <row r="142" spans="1:23" x14ac:dyDescent="0.25">
      <c r="A142" t="s">
        <v>74</v>
      </c>
      <c r="B142" t="s">
        <v>33</v>
      </c>
      <c r="C142">
        <v>84.23</v>
      </c>
      <c r="D142">
        <v>512</v>
      </c>
      <c r="E142" t="b">
        <v>1</v>
      </c>
      <c r="F142" t="b">
        <v>1</v>
      </c>
      <c r="G142" t="b">
        <v>0</v>
      </c>
      <c r="H142" t="s">
        <v>43</v>
      </c>
      <c r="I142" t="s">
        <v>26</v>
      </c>
      <c r="J142" t="s">
        <v>50</v>
      </c>
      <c r="K142" t="s">
        <v>46</v>
      </c>
      <c r="L142" t="s">
        <v>51</v>
      </c>
      <c r="M142" t="s">
        <v>28</v>
      </c>
      <c r="N142" t="s">
        <v>46</v>
      </c>
      <c r="O142" t="b">
        <v>1</v>
      </c>
      <c r="P142" t="b">
        <v>0</v>
      </c>
      <c r="Q142">
        <v>10</v>
      </c>
      <c r="R142" t="b">
        <v>1</v>
      </c>
      <c r="S142" t="s">
        <v>48</v>
      </c>
      <c r="T142">
        <v>16.899999999999999</v>
      </c>
      <c r="U142">
        <v>80.709999999999994</v>
      </c>
      <c r="V142" t="b">
        <v>1</v>
      </c>
      <c r="W142" t="s">
        <v>31</v>
      </c>
    </row>
    <row r="143" spans="1:23" x14ac:dyDescent="0.25">
      <c r="A143" t="s">
        <v>74</v>
      </c>
      <c r="B143" t="s">
        <v>66</v>
      </c>
      <c r="C143">
        <v>58.22</v>
      </c>
      <c r="D143">
        <v>544</v>
      </c>
      <c r="E143" t="b">
        <v>1</v>
      </c>
      <c r="F143" t="b">
        <v>0</v>
      </c>
      <c r="G143" t="b">
        <v>1</v>
      </c>
      <c r="H143" t="s">
        <v>34</v>
      </c>
      <c r="I143" t="s">
        <v>57</v>
      </c>
      <c r="J143" t="s">
        <v>50</v>
      </c>
      <c r="K143" t="s">
        <v>46</v>
      </c>
      <c r="L143" t="s">
        <v>37</v>
      </c>
      <c r="M143" t="s">
        <v>39</v>
      </c>
      <c r="O143" t="b">
        <v>0</v>
      </c>
      <c r="P143" t="b">
        <v>0</v>
      </c>
      <c r="Q143">
        <v>5.3</v>
      </c>
      <c r="R143" t="b">
        <v>1</v>
      </c>
      <c r="S143" t="s">
        <v>75</v>
      </c>
      <c r="T143">
        <v>40.799999999999997</v>
      </c>
      <c r="U143">
        <v>41.87</v>
      </c>
      <c r="V143" t="b">
        <v>1</v>
      </c>
      <c r="W143" t="s">
        <v>41</v>
      </c>
    </row>
    <row r="144" spans="1:23" x14ac:dyDescent="0.25">
      <c r="A144" t="s">
        <v>32</v>
      </c>
      <c r="B144" t="s">
        <v>33</v>
      </c>
      <c r="C144">
        <v>84.3</v>
      </c>
      <c r="D144">
        <v>207</v>
      </c>
      <c r="E144" t="b">
        <v>0</v>
      </c>
      <c r="F144" t="b">
        <v>1</v>
      </c>
      <c r="G144" t="b">
        <v>1</v>
      </c>
      <c r="H144" t="s">
        <v>53</v>
      </c>
      <c r="I144" t="s">
        <v>57</v>
      </c>
      <c r="J144" t="s">
        <v>54</v>
      </c>
      <c r="K144" t="s">
        <v>37</v>
      </c>
      <c r="L144" t="s">
        <v>37</v>
      </c>
      <c r="M144" t="s">
        <v>47</v>
      </c>
      <c r="N144" t="s">
        <v>28</v>
      </c>
      <c r="O144" t="b">
        <v>1</v>
      </c>
      <c r="P144" t="b">
        <v>0</v>
      </c>
      <c r="Q144">
        <v>7.8</v>
      </c>
      <c r="R144" t="b">
        <v>1</v>
      </c>
      <c r="S144" t="s">
        <v>30</v>
      </c>
      <c r="T144">
        <v>3.1</v>
      </c>
      <c r="U144">
        <v>96.97</v>
      </c>
      <c r="V144" t="b">
        <v>1</v>
      </c>
      <c r="W144" t="s">
        <v>41</v>
      </c>
    </row>
    <row r="145" spans="1:23" x14ac:dyDescent="0.25">
      <c r="A145" t="s">
        <v>68</v>
      </c>
      <c r="B145" t="s">
        <v>76</v>
      </c>
      <c r="C145">
        <v>73.61</v>
      </c>
      <c r="D145">
        <v>739</v>
      </c>
      <c r="E145" t="b">
        <v>1</v>
      </c>
      <c r="F145" t="b">
        <v>1</v>
      </c>
      <c r="G145" t="b">
        <v>0</v>
      </c>
      <c r="H145" t="s">
        <v>34</v>
      </c>
      <c r="I145" t="s">
        <v>63</v>
      </c>
      <c r="J145" t="s">
        <v>36</v>
      </c>
      <c r="K145" t="s">
        <v>37</v>
      </c>
      <c r="L145" t="s">
        <v>38</v>
      </c>
      <c r="M145" t="s">
        <v>47</v>
      </c>
      <c r="O145" t="b">
        <v>0</v>
      </c>
      <c r="P145" t="b">
        <v>1</v>
      </c>
      <c r="Q145">
        <v>7.1</v>
      </c>
      <c r="R145" t="b">
        <v>1</v>
      </c>
      <c r="S145" t="s">
        <v>40</v>
      </c>
      <c r="T145">
        <v>6.1</v>
      </c>
      <c r="U145">
        <v>73.239999999999995</v>
      </c>
      <c r="V145" t="b">
        <v>1</v>
      </c>
      <c r="W145" t="s">
        <v>41</v>
      </c>
    </row>
    <row r="146" spans="1:23" x14ac:dyDescent="0.25">
      <c r="A146" t="s">
        <v>61</v>
      </c>
      <c r="B146" t="s">
        <v>24</v>
      </c>
      <c r="C146">
        <v>97.58</v>
      </c>
      <c r="D146">
        <v>420</v>
      </c>
      <c r="E146" t="b">
        <v>1</v>
      </c>
      <c r="F146" t="b">
        <v>1</v>
      </c>
      <c r="G146" t="b">
        <v>0</v>
      </c>
      <c r="H146" t="s">
        <v>43</v>
      </c>
      <c r="I146" t="s">
        <v>26</v>
      </c>
      <c r="J146" t="s">
        <v>36</v>
      </c>
      <c r="K146" t="s">
        <v>46</v>
      </c>
      <c r="L146" t="s">
        <v>29</v>
      </c>
      <c r="M146" t="s">
        <v>47</v>
      </c>
      <c r="N146" t="s">
        <v>28</v>
      </c>
      <c r="O146" t="b">
        <v>1</v>
      </c>
      <c r="P146" t="b">
        <v>1</v>
      </c>
      <c r="Q146">
        <v>10</v>
      </c>
      <c r="R146" t="b">
        <v>0</v>
      </c>
      <c r="T146">
        <v>0</v>
      </c>
      <c r="U146">
        <v>94.03</v>
      </c>
      <c r="V146" t="b">
        <v>1</v>
      </c>
      <c r="W146" t="s">
        <v>58</v>
      </c>
    </row>
    <row r="147" spans="1:23" x14ac:dyDescent="0.25">
      <c r="A147" t="s">
        <v>68</v>
      </c>
      <c r="B147" t="s">
        <v>42</v>
      </c>
      <c r="C147">
        <v>81.36</v>
      </c>
      <c r="D147">
        <v>64</v>
      </c>
      <c r="E147" t="b">
        <v>1</v>
      </c>
      <c r="F147" t="b">
        <v>0</v>
      </c>
      <c r="G147" t="b">
        <v>1</v>
      </c>
      <c r="H147" t="s">
        <v>25</v>
      </c>
      <c r="I147" t="s">
        <v>57</v>
      </c>
      <c r="J147" t="s">
        <v>45</v>
      </c>
      <c r="K147" t="s">
        <v>46</v>
      </c>
      <c r="L147" t="s">
        <v>51</v>
      </c>
      <c r="M147" t="s">
        <v>46</v>
      </c>
      <c r="O147" t="b">
        <v>0</v>
      </c>
      <c r="P147" t="b">
        <v>1</v>
      </c>
      <c r="Q147">
        <v>8.6999999999999993</v>
      </c>
      <c r="R147" t="b">
        <v>0</v>
      </c>
      <c r="T147">
        <v>0</v>
      </c>
      <c r="U147">
        <v>78.41</v>
      </c>
      <c r="V147" t="b">
        <v>1</v>
      </c>
      <c r="W147" t="s">
        <v>58</v>
      </c>
    </row>
    <row r="148" spans="1:23" x14ac:dyDescent="0.25">
      <c r="A148" t="s">
        <v>56</v>
      </c>
      <c r="B148" t="s">
        <v>24</v>
      </c>
      <c r="C148">
        <v>92.45</v>
      </c>
      <c r="D148">
        <v>519</v>
      </c>
      <c r="E148" t="b">
        <v>1</v>
      </c>
      <c r="F148" t="b">
        <v>0</v>
      </c>
      <c r="G148" t="b">
        <v>0</v>
      </c>
      <c r="H148" t="s">
        <v>53</v>
      </c>
      <c r="I148" t="s">
        <v>57</v>
      </c>
      <c r="J148" t="s">
        <v>54</v>
      </c>
      <c r="K148" t="s">
        <v>39</v>
      </c>
      <c r="L148" t="s">
        <v>51</v>
      </c>
      <c r="M148" t="s">
        <v>28</v>
      </c>
      <c r="N148" t="s">
        <v>39</v>
      </c>
      <c r="P148" t="b">
        <v>1</v>
      </c>
      <c r="Q148">
        <v>10</v>
      </c>
      <c r="R148" t="b">
        <v>0</v>
      </c>
      <c r="T148">
        <v>0</v>
      </c>
      <c r="U148">
        <v>79.89</v>
      </c>
      <c r="V148" t="b">
        <v>0</v>
      </c>
      <c r="W148" t="s">
        <v>58</v>
      </c>
    </row>
    <row r="149" spans="1:23" x14ac:dyDescent="0.25">
      <c r="A149" t="s">
        <v>56</v>
      </c>
      <c r="B149" t="s">
        <v>73</v>
      </c>
      <c r="C149">
        <v>57.5</v>
      </c>
      <c r="D149">
        <v>662</v>
      </c>
      <c r="E149" t="b">
        <v>0</v>
      </c>
      <c r="F149" t="b">
        <v>0</v>
      </c>
      <c r="G149" t="b">
        <v>0</v>
      </c>
      <c r="H149" t="s">
        <v>25</v>
      </c>
      <c r="I149" t="s">
        <v>44</v>
      </c>
      <c r="J149" t="s">
        <v>50</v>
      </c>
      <c r="K149" t="s">
        <v>37</v>
      </c>
      <c r="L149" t="s">
        <v>38</v>
      </c>
      <c r="M149" t="s">
        <v>28</v>
      </c>
      <c r="N149" t="s">
        <v>39</v>
      </c>
      <c r="O149" t="b">
        <v>1</v>
      </c>
      <c r="P149" t="b">
        <v>0</v>
      </c>
      <c r="Q149">
        <v>8</v>
      </c>
      <c r="R149" t="b">
        <v>1</v>
      </c>
      <c r="S149" t="s">
        <v>65</v>
      </c>
      <c r="T149">
        <v>31.3</v>
      </c>
      <c r="U149">
        <v>66.09</v>
      </c>
      <c r="V149" t="b">
        <v>1</v>
      </c>
      <c r="W149" t="s">
        <v>31</v>
      </c>
    </row>
    <row r="150" spans="1:23" x14ac:dyDescent="0.25">
      <c r="A150" t="s">
        <v>56</v>
      </c>
      <c r="B150" t="s">
        <v>76</v>
      </c>
      <c r="C150">
        <v>70.45</v>
      </c>
      <c r="D150">
        <v>797</v>
      </c>
      <c r="E150" t="b">
        <v>1</v>
      </c>
      <c r="F150" t="b">
        <v>0</v>
      </c>
      <c r="G150" t="b">
        <v>1</v>
      </c>
      <c r="H150" t="s">
        <v>25</v>
      </c>
      <c r="I150" t="s">
        <v>35</v>
      </c>
      <c r="J150" t="s">
        <v>45</v>
      </c>
      <c r="K150" t="s">
        <v>28</v>
      </c>
      <c r="L150" t="s">
        <v>69</v>
      </c>
      <c r="M150" t="s">
        <v>39</v>
      </c>
      <c r="O150" t="b">
        <v>1</v>
      </c>
      <c r="P150" t="b">
        <v>1</v>
      </c>
      <c r="Q150">
        <v>10</v>
      </c>
      <c r="R150" t="b">
        <v>1</v>
      </c>
      <c r="S150" t="s">
        <v>64</v>
      </c>
      <c r="T150">
        <v>16.600000000000001</v>
      </c>
      <c r="U150">
        <v>83.19</v>
      </c>
      <c r="V150" t="b">
        <v>1</v>
      </c>
      <c r="W150" t="s">
        <v>31</v>
      </c>
    </row>
    <row r="151" spans="1:23" x14ac:dyDescent="0.25">
      <c r="A151" t="s">
        <v>68</v>
      </c>
      <c r="B151" t="s">
        <v>24</v>
      </c>
      <c r="C151">
        <v>86.5</v>
      </c>
      <c r="D151">
        <v>263</v>
      </c>
      <c r="E151" t="b">
        <v>1</v>
      </c>
      <c r="F151" t="b">
        <v>1</v>
      </c>
      <c r="G151" t="b">
        <v>0</v>
      </c>
      <c r="H151" t="s">
        <v>53</v>
      </c>
      <c r="I151" t="s">
        <v>35</v>
      </c>
      <c r="J151" t="s">
        <v>45</v>
      </c>
      <c r="K151" t="s">
        <v>37</v>
      </c>
      <c r="L151" t="s">
        <v>38</v>
      </c>
      <c r="M151" t="s">
        <v>39</v>
      </c>
      <c r="N151" t="s">
        <v>39</v>
      </c>
      <c r="O151" t="b">
        <v>1</v>
      </c>
      <c r="P151" t="b">
        <v>1</v>
      </c>
      <c r="Q151">
        <v>10</v>
      </c>
      <c r="R151" t="b">
        <v>1</v>
      </c>
      <c r="S151" t="s">
        <v>75</v>
      </c>
      <c r="T151">
        <v>21.8</v>
      </c>
      <c r="U151">
        <v>77.239999999999995</v>
      </c>
      <c r="V151" t="b">
        <v>0</v>
      </c>
      <c r="W151" t="s">
        <v>31</v>
      </c>
    </row>
    <row r="152" spans="1:23" x14ac:dyDescent="0.25">
      <c r="A152" t="s">
        <v>68</v>
      </c>
      <c r="B152" t="s">
        <v>60</v>
      </c>
      <c r="C152">
        <v>44.51</v>
      </c>
      <c r="D152">
        <v>536</v>
      </c>
      <c r="E152" t="b">
        <v>1</v>
      </c>
      <c r="F152" t="b">
        <v>1</v>
      </c>
      <c r="G152" t="b">
        <v>0</v>
      </c>
      <c r="H152" t="s">
        <v>34</v>
      </c>
      <c r="I152" t="s">
        <v>44</v>
      </c>
      <c r="J152" t="s">
        <v>54</v>
      </c>
      <c r="K152" t="s">
        <v>39</v>
      </c>
      <c r="L152" t="s">
        <v>38</v>
      </c>
      <c r="M152" t="s">
        <v>46</v>
      </c>
      <c r="N152" t="s">
        <v>46</v>
      </c>
      <c r="O152" t="b">
        <v>1</v>
      </c>
      <c r="P152" t="b">
        <v>0</v>
      </c>
      <c r="Q152">
        <v>7.2</v>
      </c>
      <c r="R152" t="b">
        <v>1</v>
      </c>
      <c r="S152" t="s">
        <v>40</v>
      </c>
      <c r="T152">
        <v>9.8000000000000007</v>
      </c>
      <c r="U152">
        <v>45.19</v>
      </c>
      <c r="V152" t="b">
        <v>0</v>
      </c>
      <c r="W152" t="s">
        <v>41</v>
      </c>
    </row>
    <row r="153" spans="1:23" x14ac:dyDescent="0.25">
      <c r="A153" t="s">
        <v>61</v>
      </c>
      <c r="B153" t="s">
        <v>33</v>
      </c>
      <c r="C153">
        <v>79.67</v>
      </c>
      <c r="D153">
        <v>326</v>
      </c>
      <c r="E153" t="b">
        <v>0</v>
      </c>
      <c r="F153" t="b">
        <v>0</v>
      </c>
      <c r="G153" t="b">
        <v>0</v>
      </c>
      <c r="H153" t="s">
        <v>43</v>
      </c>
      <c r="I153" t="s">
        <v>26</v>
      </c>
      <c r="J153" t="s">
        <v>27</v>
      </c>
      <c r="K153" t="s">
        <v>46</v>
      </c>
      <c r="L153" t="s">
        <v>51</v>
      </c>
      <c r="M153" t="s">
        <v>28</v>
      </c>
      <c r="N153" t="s">
        <v>39</v>
      </c>
      <c r="O153" t="b">
        <v>0</v>
      </c>
      <c r="P153" t="b">
        <v>0</v>
      </c>
      <c r="Q153">
        <v>8.4</v>
      </c>
      <c r="R153" t="b">
        <v>1</v>
      </c>
      <c r="S153" t="s">
        <v>30</v>
      </c>
      <c r="T153">
        <v>16.100000000000001</v>
      </c>
      <c r="U153">
        <v>64.959999999999994</v>
      </c>
      <c r="V153" t="b">
        <v>1</v>
      </c>
      <c r="W153" t="s">
        <v>31</v>
      </c>
    </row>
    <row r="154" spans="1:23" x14ac:dyDescent="0.25">
      <c r="A154" t="s">
        <v>32</v>
      </c>
      <c r="B154" t="s">
        <v>73</v>
      </c>
      <c r="C154">
        <v>47.3</v>
      </c>
      <c r="D154">
        <v>797</v>
      </c>
      <c r="E154" t="b">
        <v>1</v>
      </c>
      <c r="F154" t="b">
        <v>1</v>
      </c>
      <c r="G154" t="b">
        <v>1</v>
      </c>
      <c r="H154" t="s">
        <v>34</v>
      </c>
      <c r="I154" t="s">
        <v>63</v>
      </c>
      <c r="J154" t="s">
        <v>54</v>
      </c>
      <c r="K154" t="s">
        <v>46</v>
      </c>
      <c r="L154" t="s">
        <v>37</v>
      </c>
      <c r="M154" t="s">
        <v>47</v>
      </c>
      <c r="O154" t="b">
        <v>0</v>
      </c>
      <c r="P154" t="b">
        <v>1</v>
      </c>
      <c r="Q154">
        <v>2.8</v>
      </c>
      <c r="R154" t="b">
        <v>1</v>
      </c>
      <c r="S154" t="s">
        <v>52</v>
      </c>
      <c r="T154">
        <v>23</v>
      </c>
      <c r="U154">
        <v>41.65</v>
      </c>
      <c r="V154" t="b">
        <v>1</v>
      </c>
      <c r="W154" t="s">
        <v>72</v>
      </c>
    </row>
    <row r="155" spans="1:23" x14ac:dyDescent="0.25">
      <c r="A155" t="s">
        <v>23</v>
      </c>
      <c r="B155" t="s">
        <v>73</v>
      </c>
      <c r="C155">
        <v>50.96</v>
      </c>
      <c r="D155">
        <v>366</v>
      </c>
      <c r="E155" t="b">
        <v>1</v>
      </c>
      <c r="F155" t="b">
        <v>1</v>
      </c>
      <c r="G155" t="b">
        <v>1</v>
      </c>
      <c r="H155" t="s">
        <v>34</v>
      </c>
      <c r="I155" t="s">
        <v>44</v>
      </c>
      <c r="J155" t="s">
        <v>54</v>
      </c>
      <c r="K155" t="s">
        <v>28</v>
      </c>
      <c r="L155" t="s">
        <v>69</v>
      </c>
      <c r="M155" t="s">
        <v>47</v>
      </c>
      <c r="N155" t="s">
        <v>28</v>
      </c>
      <c r="O155" t="b">
        <v>1</v>
      </c>
      <c r="P155" t="b">
        <v>1</v>
      </c>
      <c r="Q155">
        <v>7.9</v>
      </c>
      <c r="R155" t="b">
        <v>1</v>
      </c>
      <c r="S155" t="s">
        <v>48</v>
      </c>
      <c r="T155">
        <v>27.7</v>
      </c>
      <c r="U155">
        <v>59.56</v>
      </c>
      <c r="V155" t="b">
        <v>1</v>
      </c>
      <c r="W155" t="s">
        <v>41</v>
      </c>
    </row>
    <row r="156" spans="1:23" x14ac:dyDescent="0.25">
      <c r="A156" t="s">
        <v>23</v>
      </c>
      <c r="B156" t="s">
        <v>49</v>
      </c>
      <c r="C156">
        <v>61.4</v>
      </c>
      <c r="D156">
        <v>799</v>
      </c>
      <c r="E156" t="b">
        <v>0</v>
      </c>
      <c r="F156" t="b">
        <v>0</v>
      </c>
      <c r="G156" t="b">
        <v>0</v>
      </c>
      <c r="H156" t="s">
        <v>34</v>
      </c>
      <c r="I156" t="s">
        <v>57</v>
      </c>
      <c r="J156" t="s">
        <v>36</v>
      </c>
      <c r="K156" t="s">
        <v>28</v>
      </c>
      <c r="L156" t="s">
        <v>37</v>
      </c>
      <c r="M156" t="s">
        <v>46</v>
      </c>
      <c r="P156" t="b">
        <v>1</v>
      </c>
      <c r="Q156">
        <v>6.5</v>
      </c>
      <c r="R156" t="b">
        <v>1</v>
      </c>
      <c r="S156" t="s">
        <v>65</v>
      </c>
      <c r="T156">
        <v>39.299999999999997</v>
      </c>
      <c r="U156">
        <v>67.11</v>
      </c>
      <c r="V156" t="b">
        <v>1</v>
      </c>
      <c r="W156" t="s">
        <v>41</v>
      </c>
    </row>
    <row r="157" spans="1:23" x14ac:dyDescent="0.25">
      <c r="A157" t="s">
        <v>74</v>
      </c>
      <c r="B157" t="s">
        <v>66</v>
      </c>
      <c r="C157">
        <v>72.95</v>
      </c>
      <c r="D157">
        <v>183</v>
      </c>
      <c r="E157" t="b">
        <v>0</v>
      </c>
      <c r="F157" t="b">
        <v>0</v>
      </c>
      <c r="G157" t="b">
        <v>0</v>
      </c>
      <c r="H157" t="s">
        <v>34</v>
      </c>
      <c r="I157" t="s">
        <v>26</v>
      </c>
      <c r="J157" t="s">
        <v>27</v>
      </c>
      <c r="K157" t="s">
        <v>39</v>
      </c>
      <c r="L157" t="s">
        <v>69</v>
      </c>
      <c r="M157" t="s">
        <v>39</v>
      </c>
      <c r="N157" t="s">
        <v>28</v>
      </c>
      <c r="O157" t="b">
        <v>1</v>
      </c>
      <c r="P157" t="b">
        <v>1</v>
      </c>
      <c r="Q157">
        <v>8.9</v>
      </c>
      <c r="R157" t="b">
        <v>1</v>
      </c>
      <c r="S157" t="s">
        <v>30</v>
      </c>
      <c r="T157">
        <v>42.7</v>
      </c>
      <c r="U157">
        <v>48.76</v>
      </c>
      <c r="V157" t="b">
        <v>0</v>
      </c>
      <c r="W157" t="s">
        <v>31</v>
      </c>
    </row>
    <row r="158" spans="1:23" x14ac:dyDescent="0.25">
      <c r="A158" t="s">
        <v>23</v>
      </c>
      <c r="B158" t="s">
        <v>71</v>
      </c>
      <c r="C158">
        <v>48.1</v>
      </c>
      <c r="D158">
        <v>368</v>
      </c>
      <c r="E158" t="b">
        <v>1</v>
      </c>
      <c r="F158" t="b">
        <v>1</v>
      </c>
      <c r="G158" t="b">
        <v>1</v>
      </c>
      <c r="H158" t="s">
        <v>34</v>
      </c>
      <c r="I158" t="s">
        <v>44</v>
      </c>
      <c r="J158" t="s">
        <v>54</v>
      </c>
      <c r="K158" t="s">
        <v>39</v>
      </c>
      <c r="L158" t="s">
        <v>37</v>
      </c>
      <c r="M158" t="s">
        <v>28</v>
      </c>
      <c r="N158" t="s">
        <v>39</v>
      </c>
      <c r="O158" t="b">
        <v>0</v>
      </c>
      <c r="P158" t="b">
        <v>0</v>
      </c>
      <c r="Q158">
        <v>5.2</v>
      </c>
      <c r="R158" t="b">
        <v>0</v>
      </c>
      <c r="T158">
        <v>0</v>
      </c>
      <c r="U158">
        <v>39.85</v>
      </c>
      <c r="V158" t="b">
        <v>1</v>
      </c>
      <c r="W158" t="s">
        <v>41</v>
      </c>
    </row>
    <row r="159" spans="1:23" x14ac:dyDescent="0.25">
      <c r="A159" t="s">
        <v>74</v>
      </c>
      <c r="B159" t="s">
        <v>73</v>
      </c>
      <c r="C159">
        <v>63.12</v>
      </c>
      <c r="D159">
        <v>668</v>
      </c>
      <c r="E159" t="b">
        <v>1</v>
      </c>
      <c r="F159" t="b">
        <v>0</v>
      </c>
      <c r="G159" t="b">
        <v>0</v>
      </c>
      <c r="H159" t="s">
        <v>34</v>
      </c>
      <c r="I159" t="s">
        <v>26</v>
      </c>
      <c r="J159" t="s">
        <v>27</v>
      </c>
      <c r="K159" t="s">
        <v>28</v>
      </c>
      <c r="L159" t="s">
        <v>29</v>
      </c>
      <c r="M159" t="s">
        <v>47</v>
      </c>
      <c r="O159" t="b">
        <v>1</v>
      </c>
      <c r="P159" t="b">
        <v>0</v>
      </c>
      <c r="Q159">
        <v>8.1999999999999993</v>
      </c>
      <c r="R159" t="b">
        <v>1</v>
      </c>
      <c r="S159" t="s">
        <v>75</v>
      </c>
      <c r="T159">
        <v>38.5</v>
      </c>
      <c r="U159">
        <v>57.93</v>
      </c>
      <c r="V159" t="b">
        <v>0</v>
      </c>
      <c r="W159" t="s">
        <v>31</v>
      </c>
    </row>
    <row r="160" spans="1:23" x14ac:dyDescent="0.25">
      <c r="A160" t="s">
        <v>32</v>
      </c>
      <c r="B160" t="s">
        <v>24</v>
      </c>
      <c r="C160">
        <v>86.22</v>
      </c>
      <c r="D160">
        <v>428</v>
      </c>
      <c r="E160" t="b">
        <v>1</v>
      </c>
      <c r="F160" t="b">
        <v>0</v>
      </c>
      <c r="G160" t="b">
        <v>0</v>
      </c>
      <c r="H160" t="s">
        <v>34</v>
      </c>
      <c r="I160" t="s">
        <v>63</v>
      </c>
      <c r="J160" t="s">
        <v>54</v>
      </c>
      <c r="K160" t="s">
        <v>39</v>
      </c>
      <c r="L160" t="s">
        <v>37</v>
      </c>
      <c r="M160" t="s">
        <v>39</v>
      </c>
      <c r="N160" t="s">
        <v>46</v>
      </c>
      <c r="P160" t="b">
        <v>0</v>
      </c>
      <c r="Q160">
        <v>9.4</v>
      </c>
      <c r="R160" t="b">
        <v>0</v>
      </c>
      <c r="T160">
        <v>0</v>
      </c>
      <c r="U160">
        <v>78.88</v>
      </c>
      <c r="V160" t="b">
        <v>1</v>
      </c>
      <c r="W160" t="s">
        <v>58</v>
      </c>
    </row>
    <row r="161" spans="1:23" x14ac:dyDescent="0.25">
      <c r="A161" t="s">
        <v>56</v>
      </c>
      <c r="B161" t="s">
        <v>71</v>
      </c>
      <c r="C161">
        <v>42.98</v>
      </c>
      <c r="D161">
        <v>508</v>
      </c>
      <c r="E161" t="b">
        <v>1</v>
      </c>
      <c r="F161" t="b">
        <v>0</v>
      </c>
      <c r="G161" t="b">
        <v>1</v>
      </c>
      <c r="H161" t="s">
        <v>34</v>
      </c>
      <c r="I161" t="s">
        <v>67</v>
      </c>
      <c r="J161" t="s">
        <v>27</v>
      </c>
      <c r="K161" t="s">
        <v>28</v>
      </c>
      <c r="L161" t="s">
        <v>38</v>
      </c>
      <c r="M161" t="s">
        <v>46</v>
      </c>
      <c r="P161" t="b">
        <v>1</v>
      </c>
      <c r="Q161">
        <v>7.4</v>
      </c>
      <c r="R161" t="b">
        <v>1</v>
      </c>
      <c r="S161" t="s">
        <v>65</v>
      </c>
      <c r="T161">
        <v>20.3</v>
      </c>
      <c r="U161">
        <v>30.59</v>
      </c>
      <c r="V161" t="b">
        <v>0</v>
      </c>
      <c r="W161" t="s">
        <v>41</v>
      </c>
    </row>
    <row r="162" spans="1:23" x14ac:dyDescent="0.25">
      <c r="A162" t="s">
        <v>68</v>
      </c>
      <c r="B162" t="s">
        <v>71</v>
      </c>
      <c r="C162">
        <v>56.67</v>
      </c>
      <c r="D162">
        <v>650</v>
      </c>
      <c r="E162" t="b">
        <v>1</v>
      </c>
      <c r="F162" t="b">
        <v>1</v>
      </c>
      <c r="G162" t="b">
        <v>0</v>
      </c>
      <c r="H162" t="s">
        <v>43</v>
      </c>
      <c r="I162" t="s">
        <v>57</v>
      </c>
      <c r="J162" t="s">
        <v>50</v>
      </c>
      <c r="K162" t="s">
        <v>39</v>
      </c>
      <c r="L162" t="s">
        <v>29</v>
      </c>
      <c r="M162" t="s">
        <v>47</v>
      </c>
      <c r="N162" t="s">
        <v>28</v>
      </c>
      <c r="O162" t="b">
        <v>0</v>
      </c>
      <c r="P162" t="b">
        <v>1</v>
      </c>
      <c r="Q162">
        <v>4.5999999999999996</v>
      </c>
      <c r="R162" t="b">
        <v>1</v>
      </c>
      <c r="S162" t="s">
        <v>65</v>
      </c>
      <c r="T162">
        <v>10.199999999999999</v>
      </c>
      <c r="U162">
        <v>33.65</v>
      </c>
      <c r="V162" t="b">
        <v>1</v>
      </c>
      <c r="W162" t="s">
        <v>72</v>
      </c>
    </row>
    <row r="163" spans="1:23" x14ac:dyDescent="0.25">
      <c r="A163" t="s">
        <v>74</v>
      </c>
      <c r="B163" t="s">
        <v>24</v>
      </c>
      <c r="C163">
        <v>91.07</v>
      </c>
      <c r="D163">
        <v>193</v>
      </c>
      <c r="E163" t="b">
        <v>1</v>
      </c>
      <c r="F163" t="b">
        <v>0</v>
      </c>
      <c r="G163" t="b">
        <v>0</v>
      </c>
      <c r="H163" t="s">
        <v>43</v>
      </c>
      <c r="I163" t="s">
        <v>63</v>
      </c>
      <c r="J163" t="s">
        <v>36</v>
      </c>
      <c r="K163" t="s">
        <v>37</v>
      </c>
      <c r="L163" t="s">
        <v>51</v>
      </c>
      <c r="M163" t="s">
        <v>46</v>
      </c>
      <c r="N163" t="s">
        <v>28</v>
      </c>
      <c r="O163" t="b">
        <v>0</v>
      </c>
      <c r="P163" t="b">
        <v>0</v>
      </c>
      <c r="Q163">
        <v>9.6999999999999993</v>
      </c>
      <c r="R163" t="b">
        <v>0</v>
      </c>
      <c r="T163">
        <v>0</v>
      </c>
      <c r="U163">
        <v>100</v>
      </c>
      <c r="V163" t="b">
        <v>1</v>
      </c>
      <c r="W163" t="s">
        <v>58</v>
      </c>
    </row>
    <row r="164" spans="1:23" x14ac:dyDescent="0.25">
      <c r="A164" t="s">
        <v>32</v>
      </c>
      <c r="B164" t="s">
        <v>33</v>
      </c>
      <c r="C164">
        <v>89.41</v>
      </c>
      <c r="D164">
        <v>418</v>
      </c>
      <c r="E164" t="b">
        <v>1</v>
      </c>
      <c r="F164" t="b">
        <v>1</v>
      </c>
      <c r="G164" t="b">
        <v>1</v>
      </c>
      <c r="H164" t="s">
        <v>43</v>
      </c>
      <c r="I164" t="s">
        <v>26</v>
      </c>
      <c r="J164" t="s">
        <v>50</v>
      </c>
      <c r="K164" t="s">
        <v>39</v>
      </c>
      <c r="L164" t="s">
        <v>69</v>
      </c>
      <c r="M164" t="s">
        <v>39</v>
      </c>
      <c r="N164" t="s">
        <v>39</v>
      </c>
      <c r="O164" t="b">
        <v>0</v>
      </c>
      <c r="P164" t="b">
        <v>0</v>
      </c>
      <c r="Q164">
        <v>9</v>
      </c>
      <c r="R164" t="b">
        <v>0</v>
      </c>
      <c r="T164">
        <v>0</v>
      </c>
      <c r="U164">
        <v>79.94</v>
      </c>
      <c r="V164" t="b">
        <v>1</v>
      </c>
      <c r="W164" t="s">
        <v>58</v>
      </c>
    </row>
    <row r="165" spans="1:23" x14ac:dyDescent="0.25">
      <c r="A165" t="s">
        <v>32</v>
      </c>
      <c r="B165" t="s">
        <v>62</v>
      </c>
      <c r="C165">
        <v>65.77</v>
      </c>
      <c r="D165">
        <v>351</v>
      </c>
      <c r="E165" t="b">
        <v>1</v>
      </c>
      <c r="F165" t="b">
        <v>0</v>
      </c>
      <c r="G165" t="b">
        <v>1</v>
      </c>
      <c r="H165" t="s">
        <v>34</v>
      </c>
      <c r="I165" t="s">
        <v>57</v>
      </c>
      <c r="J165" t="s">
        <v>50</v>
      </c>
      <c r="K165" t="s">
        <v>46</v>
      </c>
      <c r="L165" t="s">
        <v>37</v>
      </c>
      <c r="M165" t="s">
        <v>46</v>
      </c>
      <c r="N165" t="s">
        <v>46</v>
      </c>
      <c r="O165" t="b">
        <v>1</v>
      </c>
      <c r="P165" t="b">
        <v>0</v>
      </c>
      <c r="Q165">
        <v>9.3000000000000007</v>
      </c>
      <c r="R165" t="b">
        <v>0</v>
      </c>
      <c r="T165">
        <v>0</v>
      </c>
      <c r="U165">
        <v>65.06</v>
      </c>
      <c r="V165" t="b">
        <v>0</v>
      </c>
      <c r="W165" t="s">
        <v>58</v>
      </c>
    </row>
    <row r="166" spans="1:23" x14ac:dyDescent="0.25">
      <c r="A166" t="s">
        <v>23</v>
      </c>
      <c r="B166" t="s">
        <v>60</v>
      </c>
      <c r="C166">
        <v>62.99</v>
      </c>
      <c r="D166">
        <v>431</v>
      </c>
      <c r="E166" t="b">
        <v>0</v>
      </c>
      <c r="F166" t="b">
        <v>0</v>
      </c>
      <c r="G166" t="b">
        <v>1</v>
      </c>
      <c r="H166" t="s">
        <v>53</v>
      </c>
      <c r="I166" t="s">
        <v>26</v>
      </c>
      <c r="J166" t="s">
        <v>50</v>
      </c>
      <c r="K166" t="s">
        <v>28</v>
      </c>
      <c r="L166" t="s">
        <v>51</v>
      </c>
      <c r="M166" t="s">
        <v>46</v>
      </c>
      <c r="P166" t="b">
        <v>1</v>
      </c>
      <c r="Q166">
        <v>7.3</v>
      </c>
      <c r="R166" t="b">
        <v>1</v>
      </c>
      <c r="S166" t="s">
        <v>40</v>
      </c>
      <c r="T166">
        <v>38.4</v>
      </c>
      <c r="U166">
        <v>63.77</v>
      </c>
      <c r="V166" t="b">
        <v>1</v>
      </c>
      <c r="W166" t="s">
        <v>41</v>
      </c>
    </row>
    <row r="167" spans="1:23" x14ac:dyDescent="0.25">
      <c r="A167" t="s">
        <v>68</v>
      </c>
      <c r="B167" t="s">
        <v>73</v>
      </c>
      <c r="C167">
        <v>48.25</v>
      </c>
      <c r="D167">
        <v>416</v>
      </c>
      <c r="E167" t="b">
        <v>0</v>
      </c>
      <c r="F167" t="b">
        <v>1</v>
      </c>
      <c r="G167" t="b">
        <v>0</v>
      </c>
      <c r="H167" t="s">
        <v>43</v>
      </c>
      <c r="I167" t="s">
        <v>57</v>
      </c>
      <c r="J167" t="s">
        <v>45</v>
      </c>
      <c r="K167" t="s">
        <v>37</v>
      </c>
      <c r="L167" t="s">
        <v>37</v>
      </c>
      <c r="M167" t="s">
        <v>28</v>
      </c>
      <c r="N167" t="s">
        <v>39</v>
      </c>
      <c r="O167" t="b">
        <v>0</v>
      </c>
      <c r="P167" t="b">
        <v>0</v>
      </c>
      <c r="Q167">
        <v>3.6</v>
      </c>
      <c r="R167" t="b">
        <v>1</v>
      </c>
      <c r="S167" t="s">
        <v>30</v>
      </c>
      <c r="T167">
        <v>9.5</v>
      </c>
      <c r="U167">
        <v>52.65</v>
      </c>
      <c r="V167" t="b">
        <v>1</v>
      </c>
      <c r="W167" t="s">
        <v>72</v>
      </c>
    </row>
    <row r="168" spans="1:23" x14ac:dyDescent="0.25">
      <c r="A168" t="s">
        <v>68</v>
      </c>
      <c r="B168" t="s">
        <v>59</v>
      </c>
      <c r="C168">
        <v>82.85</v>
      </c>
      <c r="D168">
        <v>153</v>
      </c>
      <c r="E168" t="b">
        <v>0</v>
      </c>
      <c r="F168" t="b">
        <v>0</v>
      </c>
      <c r="G168" t="b">
        <v>0</v>
      </c>
      <c r="H168" t="s">
        <v>53</v>
      </c>
      <c r="I168" t="s">
        <v>57</v>
      </c>
      <c r="J168" t="s">
        <v>54</v>
      </c>
      <c r="K168" t="s">
        <v>28</v>
      </c>
      <c r="L168" t="s">
        <v>29</v>
      </c>
      <c r="M168" t="s">
        <v>39</v>
      </c>
      <c r="N168" t="s">
        <v>39</v>
      </c>
      <c r="O168" t="b">
        <v>0</v>
      </c>
      <c r="P168" t="b">
        <v>0</v>
      </c>
      <c r="Q168">
        <v>7.5</v>
      </c>
      <c r="R168" t="b">
        <v>1</v>
      </c>
      <c r="S168" t="s">
        <v>40</v>
      </c>
      <c r="T168">
        <v>6.1</v>
      </c>
      <c r="U168">
        <v>85.39</v>
      </c>
      <c r="V168" t="b">
        <v>1</v>
      </c>
      <c r="W168" t="s">
        <v>41</v>
      </c>
    </row>
    <row r="169" spans="1:23" x14ac:dyDescent="0.25">
      <c r="A169" t="s">
        <v>23</v>
      </c>
      <c r="B169" t="s">
        <v>73</v>
      </c>
      <c r="C169">
        <v>46.3</v>
      </c>
      <c r="D169">
        <v>396</v>
      </c>
      <c r="E169" t="b">
        <v>0</v>
      </c>
      <c r="F169" t="b">
        <v>1</v>
      </c>
      <c r="G169" t="b">
        <v>1</v>
      </c>
      <c r="H169" t="s">
        <v>43</v>
      </c>
      <c r="I169" t="s">
        <v>26</v>
      </c>
      <c r="J169" t="s">
        <v>50</v>
      </c>
      <c r="K169" t="s">
        <v>46</v>
      </c>
      <c r="L169" t="s">
        <v>38</v>
      </c>
      <c r="M169" t="s">
        <v>46</v>
      </c>
      <c r="P169" t="b">
        <v>1</v>
      </c>
      <c r="Q169">
        <v>5.9</v>
      </c>
      <c r="R169" t="b">
        <v>1</v>
      </c>
      <c r="S169" t="s">
        <v>30</v>
      </c>
      <c r="T169">
        <v>38</v>
      </c>
      <c r="U169">
        <v>53.91</v>
      </c>
      <c r="V169" t="b">
        <v>1</v>
      </c>
      <c r="W169" t="s">
        <v>41</v>
      </c>
    </row>
    <row r="170" spans="1:23" x14ac:dyDescent="0.25">
      <c r="A170" t="s">
        <v>56</v>
      </c>
      <c r="B170" t="s">
        <v>66</v>
      </c>
      <c r="C170">
        <v>70.12</v>
      </c>
      <c r="D170">
        <v>562</v>
      </c>
      <c r="E170" t="b">
        <v>0</v>
      </c>
      <c r="F170" t="b">
        <v>1</v>
      </c>
      <c r="G170" t="b">
        <v>0</v>
      </c>
      <c r="H170" t="s">
        <v>43</v>
      </c>
      <c r="I170" t="s">
        <v>67</v>
      </c>
      <c r="J170" t="s">
        <v>54</v>
      </c>
      <c r="K170" t="s">
        <v>46</v>
      </c>
      <c r="L170" t="s">
        <v>69</v>
      </c>
      <c r="M170" t="s">
        <v>47</v>
      </c>
      <c r="N170" t="s">
        <v>28</v>
      </c>
      <c r="O170" t="b">
        <v>1</v>
      </c>
      <c r="P170" t="b">
        <v>1</v>
      </c>
      <c r="Q170">
        <v>8</v>
      </c>
      <c r="R170" t="b">
        <v>0</v>
      </c>
      <c r="T170">
        <v>0</v>
      </c>
      <c r="U170">
        <v>52.75</v>
      </c>
      <c r="V170" t="b">
        <v>0</v>
      </c>
      <c r="W170" t="s">
        <v>58</v>
      </c>
    </row>
    <row r="171" spans="1:23" x14ac:dyDescent="0.25">
      <c r="A171" t="s">
        <v>23</v>
      </c>
      <c r="B171" t="s">
        <v>42</v>
      </c>
      <c r="C171">
        <v>71.290000000000006</v>
      </c>
      <c r="D171">
        <v>229</v>
      </c>
      <c r="E171" t="b">
        <v>1</v>
      </c>
      <c r="F171" t="b">
        <v>1</v>
      </c>
      <c r="G171" t="b">
        <v>1</v>
      </c>
      <c r="H171" t="s">
        <v>43</v>
      </c>
      <c r="I171" t="s">
        <v>44</v>
      </c>
      <c r="J171" t="s">
        <v>50</v>
      </c>
      <c r="K171" t="s">
        <v>46</v>
      </c>
      <c r="L171" t="s">
        <v>37</v>
      </c>
      <c r="M171" t="s">
        <v>46</v>
      </c>
      <c r="N171" t="s">
        <v>28</v>
      </c>
      <c r="P171" t="b">
        <v>0</v>
      </c>
      <c r="Q171">
        <v>8.5</v>
      </c>
      <c r="R171" t="b">
        <v>1</v>
      </c>
      <c r="S171" t="s">
        <v>40</v>
      </c>
      <c r="T171">
        <v>44.5</v>
      </c>
      <c r="U171">
        <v>64.87</v>
      </c>
      <c r="V171" t="b">
        <v>0</v>
      </c>
      <c r="W171" t="s">
        <v>31</v>
      </c>
    </row>
    <row r="172" spans="1:23" x14ac:dyDescent="0.25">
      <c r="A172" t="s">
        <v>23</v>
      </c>
      <c r="B172" t="s">
        <v>42</v>
      </c>
      <c r="C172">
        <v>67.83</v>
      </c>
      <c r="D172">
        <v>712</v>
      </c>
      <c r="E172" t="b">
        <v>1</v>
      </c>
      <c r="F172" t="b">
        <v>1</v>
      </c>
      <c r="G172" t="b">
        <v>0</v>
      </c>
      <c r="H172" t="s">
        <v>53</v>
      </c>
      <c r="I172" t="s">
        <v>67</v>
      </c>
      <c r="J172" t="s">
        <v>45</v>
      </c>
      <c r="K172" t="s">
        <v>39</v>
      </c>
      <c r="L172" t="s">
        <v>38</v>
      </c>
      <c r="M172" t="s">
        <v>39</v>
      </c>
      <c r="N172" t="s">
        <v>39</v>
      </c>
      <c r="P172" t="b">
        <v>1</v>
      </c>
      <c r="Q172">
        <v>7.8</v>
      </c>
      <c r="R172" t="b">
        <v>0</v>
      </c>
      <c r="T172">
        <v>0</v>
      </c>
      <c r="U172">
        <v>53.64</v>
      </c>
      <c r="V172" t="b">
        <v>0</v>
      </c>
      <c r="W172" t="s">
        <v>31</v>
      </c>
    </row>
    <row r="173" spans="1:23" x14ac:dyDescent="0.25">
      <c r="A173" t="s">
        <v>74</v>
      </c>
      <c r="B173" t="s">
        <v>62</v>
      </c>
      <c r="C173">
        <v>66.81</v>
      </c>
      <c r="D173">
        <v>311</v>
      </c>
      <c r="E173" t="b">
        <v>0</v>
      </c>
      <c r="F173" t="b">
        <v>1</v>
      </c>
      <c r="G173" t="b">
        <v>0</v>
      </c>
      <c r="H173" t="s">
        <v>34</v>
      </c>
      <c r="I173" t="s">
        <v>26</v>
      </c>
      <c r="J173" t="s">
        <v>54</v>
      </c>
      <c r="K173" t="s">
        <v>28</v>
      </c>
      <c r="L173" t="s">
        <v>37</v>
      </c>
      <c r="M173" t="s">
        <v>46</v>
      </c>
      <c r="O173" t="b">
        <v>1</v>
      </c>
      <c r="P173" t="b">
        <v>0</v>
      </c>
      <c r="Q173">
        <v>7.9</v>
      </c>
      <c r="R173" t="b">
        <v>1</v>
      </c>
      <c r="S173" t="s">
        <v>48</v>
      </c>
      <c r="T173">
        <v>22.7</v>
      </c>
      <c r="U173">
        <v>81.52</v>
      </c>
      <c r="V173" t="b">
        <v>1</v>
      </c>
      <c r="W173" t="s">
        <v>41</v>
      </c>
    </row>
    <row r="174" spans="1:23" x14ac:dyDescent="0.25">
      <c r="A174" t="s">
        <v>56</v>
      </c>
      <c r="B174" t="s">
        <v>59</v>
      </c>
      <c r="C174">
        <v>83.08</v>
      </c>
      <c r="D174">
        <v>629</v>
      </c>
      <c r="E174" t="b">
        <v>0</v>
      </c>
      <c r="F174" t="b">
        <v>0</v>
      </c>
      <c r="G174" t="b">
        <v>1</v>
      </c>
      <c r="H174" t="s">
        <v>25</v>
      </c>
      <c r="I174" t="s">
        <v>44</v>
      </c>
      <c r="J174" t="s">
        <v>50</v>
      </c>
      <c r="K174" t="s">
        <v>37</v>
      </c>
      <c r="L174" t="s">
        <v>38</v>
      </c>
      <c r="M174" t="s">
        <v>28</v>
      </c>
      <c r="N174" t="s">
        <v>28</v>
      </c>
      <c r="P174" t="b">
        <v>0</v>
      </c>
      <c r="Q174">
        <v>9.6999999999999993</v>
      </c>
      <c r="R174" t="b">
        <v>0</v>
      </c>
      <c r="T174">
        <v>0</v>
      </c>
      <c r="U174">
        <v>87.75</v>
      </c>
      <c r="V174" t="b">
        <v>1</v>
      </c>
      <c r="W174" t="s">
        <v>58</v>
      </c>
    </row>
    <row r="175" spans="1:23" x14ac:dyDescent="0.25">
      <c r="A175" t="s">
        <v>74</v>
      </c>
      <c r="B175" t="s">
        <v>62</v>
      </c>
      <c r="C175">
        <v>51.58</v>
      </c>
      <c r="D175">
        <v>619</v>
      </c>
      <c r="E175" t="b">
        <v>1</v>
      </c>
      <c r="F175" t="b">
        <v>0</v>
      </c>
      <c r="G175" t="b">
        <v>0</v>
      </c>
      <c r="H175" t="s">
        <v>34</v>
      </c>
      <c r="I175" t="s">
        <v>26</v>
      </c>
      <c r="J175" t="s">
        <v>45</v>
      </c>
      <c r="K175" t="s">
        <v>46</v>
      </c>
      <c r="L175" t="s">
        <v>37</v>
      </c>
      <c r="M175" t="s">
        <v>46</v>
      </c>
      <c r="N175" t="s">
        <v>39</v>
      </c>
      <c r="P175" t="b">
        <v>0</v>
      </c>
      <c r="Q175">
        <v>6.5</v>
      </c>
      <c r="R175" t="b">
        <v>1</v>
      </c>
      <c r="S175" t="s">
        <v>55</v>
      </c>
      <c r="T175">
        <v>25</v>
      </c>
      <c r="U175">
        <v>60.41</v>
      </c>
      <c r="V175" t="b">
        <v>1</v>
      </c>
      <c r="W175" t="s">
        <v>41</v>
      </c>
    </row>
    <row r="176" spans="1:23" x14ac:dyDescent="0.25">
      <c r="A176" t="s">
        <v>56</v>
      </c>
      <c r="B176" t="s">
        <v>66</v>
      </c>
      <c r="C176">
        <v>77.58</v>
      </c>
      <c r="D176">
        <v>254</v>
      </c>
      <c r="E176" t="b">
        <v>1</v>
      </c>
      <c r="F176" t="b">
        <v>0</v>
      </c>
      <c r="G176" t="b">
        <v>1</v>
      </c>
      <c r="H176" t="s">
        <v>25</v>
      </c>
      <c r="I176" t="s">
        <v>35</v>
      </c>
      <c r="J176" t="s">
        <v>54</v>
      </c>
      <c r="K176" t="s">
        <v>28</v>
      </c>
      <c r="L176" t="s">
        <v>69</v>
      </c>
      <c r="M176" t="s">
        <v>46</v>
      </c>
      <c r="N176" t="s">
        <v>39</v>
      </c>
      <c r="O176" t="b">
        <v>0</v>
      </c>
      <c r="P176" t="b">
        <v>0</v>
      </c>
      <c r="Q176">
        <v>9.8000000000000007</v>
      </c>
      <c r="R176" t="b">
        <v>0</v>
      </c>
      <c r="T176">
        <v>0</v>
      </c>
      <c r="U176">
        <v>81.22</v>
      </c>
      <c r="V176" t="b">
        <v>1</v>
      </c>
      <c r="W176" t="s">
        <v>58</v>
      </c>
    </row>
    <row r="177" spans="1:23" x14ac:dyDescent="0.25">
      <c r="A177" t="s">
        <v>56</v>
      </c>
      <c r="B177" t="s">
        <v>71</v>
      </c>
      <c r="C177">
        <v>52.36</v>
      </c>
      <c r="D177">
        <v>679</v>
      </c>
      <c r="E177" t="b">
        <v>0</v>
      </c>
      <c r="F177" t="b">
        <v>1</v>
      </c>
      <c r="G177" t="b">
        <v>1</v>
      </c>
      <c r="H177" t="s">
        <v>25</v>
      </c>
      <c r="I177" t="s">
        <v>35</v>
      </c>
      <c r="J177" t="s">
        <v>36</v>
      </c>
      <c r="K177" t="s">
        <v>37</v>
      </c>
      <c r="L177" t="s">
        <v>37</v>
      </c>
      <c r="M177" t="s">
        <v>39</v>
      </c>
      <c r="N177" t="s">
        <v>39</v>
      </c>
      <c r="O177" t="b">
        <v>1</v>
      </c>
      <c r="P177" t="b">
        <v>0</v>
      </c>
      <c r="Q177">
        <v>5.5</v>
      </c>
      <c r="R177" t="b">
        <v>1</v>
      </c>
      <c r="S177" t="s">
        <v>75</v>
      </c>
      <c r="T177">
        <v>6.7</v>
      </c>
      <c r="U177">
        <v>44.02</v>
      </c>
      <c r="V177" t="b">
        <v>1</v>
      </c>
      <c r="W177" t="s">
        <v>41</v>
      </c>
    </row>
    <row r="178" spans="1:23" x14ac:dyDescent="0.25">
      <c r="A178" t="s">
        <v>56</v>
      </c>
      <c r="B178" t="s">
        <v>24</v>
      </c>
      <c r="C178">
        <v>86.7</v>
      </c>
      <c r="D178">
        <v>696</v>
      </c>
      <c r="E178" t="b">
        <v>0</v>
      </c>
      <c r="F178" t="b">
        <v>1</v>
      </c>
      <c r="G178" t="b">
        <v>0</v>
      </c>
      <c r="H178" t="s">
        <v>25</v>
      </c>
      <c r="I178" t="s">
        <v>44</v>
      </c>
      <c r="J178" t="s">
        <v>36</v>
      </c>
      <c r="K178" t="s">
        <v>37</v>
      </c>
      <c r="L178" t="s">
        <v>38</v>
      </c>
      <c r="M178" t="s">
        <v>46</v>
      </c>
      <c r="P178" t="b">
        <v>1</v>
      </c>
      <c r="Q178">
        <v>9.1</v>
      </c>
      <c r="R178" t="b">
        <v>1</v>
      </c>
      <c r="S178" t="s">
        <v>52</v>
      </c>
      <c r="T178">
        <v>7.8</v>
      </c>
      <c r="U178">
        <v>81.41</v>
      </c>
      <c r="V178" t="b">
        <v>1</v>
      </c>
      <c r="W178" t="s">
        <v>31</v>
      </c>
    </row>
    <row r="179" spans="1:23" x14ac:dyDescent="0.25">
      <c r="A179" t="s">
        <v>74</v>
      </c>
      <c r="B179" t="s">
        <v>76</v>
      </c>
      <c r="C179">
        <v>82.44</v>
      </c>
      <c r="D179">
        <v>232</v>
      </c>
      <c r="E179" t="b">
        <v>1</v>
      </c>
      <c r="F179" t="b">
        <v>0</v>
      </c>
      <c r="G179" t="b">
        <v>1</v>
      </c>
      <c r="H179" t="s">
        <v>25</v>
      </c>
      <c r="I179" t="s">
        <v>63</v>
      </c>
      <c r="J179" t="s">
        <v>50</v>
      </c>
      <c r="K179" t="s">
        <v>39</v>
      </c>
      <c r="L179" t="s">
        <v>29</v>
      </c>
      <c r="M179" t="s">
        <v>39</v>
      </c>
      <c r="N179" t="s">
        <v>46</v>
      </c>
      <c r="P179" t="b">
        <v>1</v>
      </c>
      <c r="Q179">
        <v>9</v>
      </c>
      <c r="R179" t="b">
        <v>1</v>
      </c>
      <c r="S179" t="s">
        <v>55</v>
      </c>
      <c r="T179">
        <v>30.3</v>
      </c>
      <c r="U179">
        <v>67.569999999999993</v>
      </c>
      <c r="V179" t="b">
        <v>0</v>
      </c>
      <c r="W179" t="s">
        <v>31</v>
      </c>
    </row>
    <row r="180" spans="1:23" x14ac:dyDescent="0.25">
      <c r="A180" t="s">
        <v>74</v>
      </c>
      <c r="B180" t="s">
        <v>76</v>
      </c>
      <c r="C180">
        <v>83.48</v>
      </c>
      <c r="D180">
        <v>131</v>
      </c>
      <c r="E180" t="b">
        <v>1</v>
      </c>
      <c r="F180" t="b">
        <v>0</v>
      </c>
      <c r="G180" t="b">
        <v>1</v>
      </c>
      <c r="H180" t="s">
        <v>25</v>
      </c>
      <c r="I180" t="s">
        <v>67</v>
      </c>
      <c r="J180" t="s">
        <v>50</v>
      </c>
      <c r="K180" t="s">
        <v>37</v>
      </c>
      <c r="L180" t="s">
        <v>69</v>
      </c>
      <c r="M180" t="s">
        <v>47</v>
      </c>
      <c r="N180" t="s">
        <v>39</v>
      </c>
      <c r="O180" t="b">
        <v>0</v>
      </c>
      <c r="P180" t="b">
        <v>1</v>
      </c>
      <c r="Q180">
        <v>8.4</v>
      </c>
      <c r="R180" t="b">
        <v>1</v>
      </c>
      <c r="S180" t="s">
        <v>75</v>
      </c>
      <c r="T180">
        <v>35.9</v>
      </c>
      <c r="U180">
        <v>72.27</v>
      </c>
      <c r="V180" t="b">
        <v>1</v>
      </c>
      <c r="W180" t="s">
        <v>31</v>
      </c>
    </row>
    <row r="181" spans="1:23" x14ac:dyDescent="0.25">
      <c r="A181" t="s">
        <v>23</v>
      </c>
      <c r="B181" t="s">
        <v>73</v>
      </c>
      <c r="C181">
        <v>69.2</v>
      </c>
      <c r="D181">
        <v>763</v>
      </c>
      <c r="E181" t="b">
        <v>0</v>
      </c>
      <c r="F181" t="b">
        <v>1</v>
      </c>
      <c r="G181" t="b">
        <v>1</v>
      </c>
      <c r="H181" t="s">
        <v>43</v>
      </c>
      <c r="I181" t="s">
        <v>26</v>
      </c>
      <c r="J181" t="s">
        <v>50</v>
      </c>
      <c r="K181" t="s">
        <v>46</v>
      </c>
      <c r="L181" t="s">
        <v>29</v>
      </c>
      <c r="M181" t="s">
        <v>39</v>
      </c>
      <c r="N181" t="s">
        <v>39</v>
      </c>
      <c r="P181" t="b">
        <v>0</v>
      </c>
      <c r="Q181">
        <v>6.9</v>
      </c>
      <c r="R181" t="b">
        <v>1</v>
      </c>
      <c r="S181" t="s">
        <v>30</v>
      </c>
      <c r="T181">
        <v>26.9</v>
      </c>
      <c r="U181">
        <v>68.25</v>
      </c>
      <c r="V181" t="b">
        <v>1</v>
      </c>
      <c r="W181" t="s">
        <v>41</v>
      </c>
    </row>
    <row r="182" spans="1:23" x14ac:dyDescent="0.25">
      <c r="A182" t="s">
        <v>56</v>
      </c>
      <c r="B182" t="s">
        <v>76</v>
      </c>
      <c r="C182">
        <v>88.39</v>
      </c>
      <c r="D182">
        <v>714</v>
      </c>
      <c r="E182" t="b">
        <v>0</v>
      </c>
      <c r="F182" t="b">
        <v>0</v>
      </c>
      <c r="G182" t="b">
        <v>0</v>
      </c>
      <c r="H182" t="s">
        <v>25</v>
      </c>
      <c r="I182" t="s">
        <v>63</v>
      </c>
      <c r="J182" t="s">
        <v>36</v>
      </c>
      <c r="K182" t="s">
        <v>46</v>
      </c>
      <c r="L182" t="s">
        <v>29</v>
      </c>
      <c r="M182" t="s">
        <v>46</v>
      </c>
      <c r="N182" t="s">
        <v>39</v>
      </c>
      <c r="P182" t="b">
        <v>0</v>
      </c>
      <c r="Q182">
        <v>9.6999999999999993</v>
      </c>
      <c r="R182" t="b">
        <v>1</v>
      </c>
      <c r="S182" t="s">
        <v>30</v>
      </c>
      <c r="T182">
        <v>27.3</v>
      </c>
      <c r="U182">
        <v>85.52</v>
      </c>
      <c r="V182" t="b">
        <v>1</v>
      </c>
      <c r="W182" t="s">
        <v>31</v>
      </c>
    </row>
    <row r="183" spans="1:23" x14ac:dyDescent="0.25">
      <c r="A183" t="s">
        <v>68</v>
      </c>
      <c r="B183" t="s">
        <v>33</v>
      </c>
      <c r="C183">
        <v>83.96</v>
      </c>
      <c r="D183">
        <v>469</v>
      </c>
      <c r="E183" t="b">
        <v>1</v>
      </c>
      <c r="F183" t="b">
        <v>1</v>
      </c>
      <c r="G183" t="b">
        <v>0</v>
      </c>
      <c r="H183" t="s">
        <v>34</v>
      </c>
      <c r="I183" t="s">
        <v>26</v>
      </c>
      <c r="J183" t="s">
        <v>45</v>
      </c>
      <c r="K183" t="s">
        <v>28</v>
      </c>
      <c r="L183" t="s">
        <v>38</v>
      </c>
      <c r="M183" t="s">
        <v>46</v>
      </c>
      <c r="N183" t="s">
        <v>28</v>
      </c>
      <c r="O183" t="b">
        <v>0</v>
      </c>
      <c r="P183" t="b">
        <v>0</v>
      </c>
      <c r="Q183">
        <v>9.6</v>
      </c>
      <c r="R183" t="b">
        <v>1</v>
      </c>
      <c r="S183" t="s">
        <v>30</v>
      </c>
      <c r="T183">
        <v>4.3</v>
      </c>
      <c r="U183">
        <v>95.05</v>
      </c>
      <c r="V183" t="b">
        <v>1</v>
      </c>
      <c r="W183" t="s">
        <v>31</v>
      </c>
    </row>
    <row r="184" spans="1:23" x14ac:dyDescent="0.25">
      <c r="A184" t="s">
        <v>68</v>
      </c>
      <c r="B184" t="s">
        <v>73</v>
      </c>
      <c r="C184">
        <v>62.89</v>
      </c>
      <c r="D184">
        <v>324</v>
      </c>
      <c r="E184" t="b">
        <v>1</v>
      </c>
      <c r="F184" t="b">
        <v>1</v>
      </c>
      <c r="G184" t="b">
        <v>1</v>
      </c>
      <c r="H184" t="s">
        <v>53</v>
      </c>
      <c r="I184" t="s">
        <v>63</v>
      </c>
      <c r="J184" t="s">
        <v>54</v>
      </c>
      <c r="K184" t="s">
        <v>28</v>
      </c>
      <c r="L184" t="s">
        <v>29</v>
      </c>
      <c r="M184" t="s">
        <v>46</v>
      </c>
      <c r="N184" t="s">
        <v>46</v>
      </c>
      <c r="O184" t="b">
        <v>1</v>
      </c>
      <c r="P184" t="b">
        <v>1</v>
      </c>
      <c r="Q184">
        <v>9</v>
      </c>
      <c r="R184" t="b">
        <v>1</v>
      </c>
      <c r="S184" t="s">
        <v>48</v>
      </c>
      <c r="T184">
        <v>9.8000000000000007</v>
      </c>
      <c r="U184">
        <v>53.07</v>
      </c>
      <c r="V184" t="b">
        <v>0</v>
      </c>
      <c r="W184" t="s">
        <v>31</v>
      </c>
    </row>
    <row r="185" spans="1:23" x14ac:dyDescent="0.25">
      <c r="A185" t="s">
        <v>32</v>
      </c>
      <c r="B185" t="s">
        <v>60</v>
      </c>
      <c r="C185">
        <v>63.53</v>
      </c>
      <c r="D185">
        <v>593</v>
      </c>
      <c r="E185" t="b">
        <v>1</v>
      </c>
      <c r="F185" t="b">
        <v>0</v>
      </c>
      <c r="G185" t="b">
        <v>1</v>
      </c>
      <c r="H185" t="s">
        <v>53</v>
      </c>
      <c r="I185" t="s">
        <v>63</v>
      </c>
      <c r="J185" t="s">
        <v>50</v>
      </c>
      <c r="K185" t="s">
        <v>39</v>
      </c>
      <c r="L185" t="s">
        <v>37</v>
      </c>
      <c r="M185" t="s">
        <v>47</v>
      </c>
      <c r="N185" t="s">
        <v>39</v>
      </c>
      <c r="O185" t="b">
        <v>0</v>
      </c>
      <c r="P185" t="b">
        <v>1</v>
      </c>
      <c r="Q185">
        <v>5.7</v>
      </c>
      <c r="R185" t="b">
        <v>1</v>
      </c>
      <c r="S185" t="s">
        <v>65</v>
      </c>
      <c r="T185">
        <v>34</v>
      </c>
      <c r="U185">
        <v>73.09</v>
      </c>
      <c r="V185" t="b">
        <v>1</v>
      </c>
      <c r="W185" t="s">
        <v>41</v>
      </c>
    </row>
    <row r="186" spans="1:23" x14ac:dyDescent="0.25">
      <c r="A186" t="s">
        <v>74</v>
      </c>
      <c r="B186" t="s">
        <v>73</v>
      </c>
      <c r="C186">
        <v>69.95</v>
      </c>
      <c r="D186">
        <v>493</v>
      </c>
      <c r="E186" t="b">
        <v>0</v>
      </c>
      <c r="F186" t="b">
        <v>0</v>
      </c>
      <c r="G186" t="b">
        <v>1</v>
      </c>
      <c r="H186" t="s">
        <v>43</v>
      </c>
      <c r="I186" t="s">
        <v>63</v>
      </c>
      <c r="J186" t="s">
        <v>50</v>
      </c>
      <c r="K186" t="s">
        <v>28</v>
      </c>
      <c r="L186" t="s">
        <v>38</v>
      </c>
      <c r="M186" t="s">
        <v>28</v>
      </c>
      <c r="N186" t="s">
        <v>39</v>
      </c>
      <c r="P186" t="b">
        <v>0</v>
      </c>
      <c r="Q186">
        <v>9</v>
      </c>
      <c r="R186" t="b">
        <v>0</v>
      </c>
      <c r="T186">
        <v>0</v>
      </c>
      <c r="U186">
        <v>75.48</v>
      </c>
      <c r="V186" t="b">
        <v>1</v>
      </c>
      <c r="W186" t="s">
        <v>58</v>
      </c>
    </row>
    <row r="187" spans="1:23" x14ac:dyDescent="0.25">
      <c r="A187" t="s">
        <v>56</v>
      </c>
      <c r="B187" t="s">
        <v>33</v>
      </c>
      <c r="C187">
        <v>86.33</v>
      </c>
      <c r="D187">
        <v>450</v>
      </c>
      <c r="E187" t="b">
        <v>0</v>
      </c>
      <c r="F187" t="b">
        <v>0</v>
      </c>
      <c r="G187" t="b">
        <v>1</v>
      </c>
      <c r="H187" t="s">
        <v>43</v>
      </c>
      <c r="I187" t="s">
        <v>44</v>
      </c>
      <c r="J187" t="s">
        <v>27</v>
      </c>
      <c r="K187" t="s">
        <v>37</v>
      </c>
      <c r="L187" t="s">
        <v>38</v>
      </c>
      <c r="M187" t="s">
        <v>28</v>
      </c>
      <c r="N187" t="s">
        <v>39</v>
      </c>
      <c r="P187" t="b">
        <v>0</v>
      </c>
      <c r="Q187">
        <v>10</v>
      </c>
      <c r="R187" t="b">
        <v>0</v>
      </c>
      <c r="T187">
        <v>0</v>
      </c>
      <c r="U187">
        <v>80.760000000000005</v>
      </c>
      <c r="V187" t="b">
        <v>1</v>
      </c>
      <c r="W187" t="s">
        <v>58</v>
      </c>
    </row>
    <row r="188" spans="1:23" x14ac:dyDescent="0.25">
      <c r="A188" t="s">
        <v>68</v>
      </c>
      <c r="B188" t="s">
        <v>71</v>
      </c>
      <c r="C188">
        <v>47.94</v>
      </c>
      <c r="D188">
        <v>489</v>
      </c>
      <c r="E188" t="b">
        <v>0</v>
      </c>
      <c r="F188" t="b">
        <v>0</v>
      </c>
      <c r="G188" t="b">
        <v>1</v>
      </c>
      <c r="H188" t="s">
        <v>25</v>
      </c>
      <c r="I188" t="s">
        <v>26</v>
      </c>
      <c r="J188" t="s">
        <v>36</v>
      </c>
      <c r="K188" t="s">
        <v>28</v>
      </c>
      <c r="L188" t="s">
        <v>69</v>
      </c>
      <c r="M188" t="s">
        <v>47</v>
      </c>
      <c r="O188" t="b">
        <v>1</v>
      </c>
      <c r="P188" t="b">
        <v>1</v>
      </c>
      <c r="Q188">
        <v>6.5</v>
      </c>
      <c r="R188" t="b">
        <v>1</v>
      </c>
      <c r="S188" t="s">
        <v>55</v>
      </c>
      <c r="T188">
        <v>3.5</v>
      </c>
      <c r="U188">
        <v>49.56</v>
      </c>
      <c r="V188" t="b">
        <v>1</v>
      </c>
      <c r="W188" t="s">
        <v>41</v>
      </c>
    </row>
    <row r="189" spans="1:23" x14ac:dyDescent="0.25">
      <c r="A189" t="s">
        <v>74</v>
      </c>
      <c r="B189" t="s">
        <v>24</v>
      </c>
      <c r="C189">
        <v>97.09</v>
      </c>
      <c r="D189">
        <v>412</v>
      </c>
      <c r="E189" t="b">
        <v>1</v>
      </c>
      <c r="F189" t="b">
        <v>0</v>
      </c>
      <c r="G189" t="b">
        <v>1</v>
      </c>
      <c r="H189" t="s">
        <v>25</v>
      </c>
      <c r="I189" t="s">
        <v>44</v>
      </c>
      <c r="J189" t="s">
        <v>36</v>
      </c>
      <c r="K189" t="s">
        <v>39</v>
      </c>
      <c r="L189" t="s">
        <v>51</v>
      </c>
      <c r="M189" t="s">
        <v>28</v>
      </c>
      <c r="O189" t="b">
        <v>1</v>
      </c>
      <c r="P189" t="b">
        <v>1</v>
      </c>
      <c r="Q189">
        <v>10</v>
      </c>
      <c r="R189" t="b">
        <v>1</v>
      </c>
      <c r="S189" t="s">
        <v>75</v>
      </c>
      <c r="T189">
        <v>5.5</v>
      </c>
      <c r="U189">
        <v>86.07</v>
      </c>
      <c r="V189" t="b">
        <v>1</v>
      </c>
      <c r="W189" t="s">
        <v>31</v>
      </c>
    </row>
    <row r="190" spans="1:23" x14ac:dyDescent="0.25">
      <c r="A190" t="s">
        <v>32</v>
      </c>
      <c r="B190" t="s">
        <v>33</v>
      </c>
      <c r="C190">
        <v>86.57</v>
      </c>
      <c r="D190">
        <v>468</v>
      </c>
      <c r="E190" t="b">
        <v>0</v>
      </c>
      <c r="F190" t="b">
        <v>1</v>
      </c>
      <c r="G190" t="b">
        <v>0</v>
      </c>
      <c r="H190" t="s">
        <v>34</v>
      </c>
      <c r="I190" t="s">
        <v>44</v>
      </c>
      <c r="J190" t="s">
        <v>45</v>
      </c>
      <c r="K190" t="s">
        <v>37</v>
      </c>
      <c r="L190" t="s">
        <v>29</v>
      </c>
      <c r="M190" t="s">
        <v>47</v>
      </c>
      <c r="N190" t="s">
        <v>28</v>
      </c>
      <c r="O190" t="b">
        <v>1</v>
      </c>
      <c r="P190" t="b">
        <v>1</v>
      </c>
      <c r="Q190">
        <v>8.3000000000000007</v>
      </c>
      <c r="R190" t="b">
        <v>1</v>
      </c>
      <c r="S190" t="s">
        <v>48</v>
      </c>
      <c r="T190">
        <v>14.7</v>
      </c>
      <c r="U190">
        <v>88.68</v>
      </c>
      <c r="V190" t="b">
        <v>1</v>
      </c>
      <c r="W190" t="s">
        <v>31</v>
      </c>
    </row>
    <row r="191" spans="1:23" x14ac:dyDescent="0.25">
      <c r="A191" t="s">
        <v>56</v>
      </c>
      <c r="B191" t="s">
        <v>66</v>
      </c>
      <c r="C191">
        <v>78.19</v>
      </c>
      <c r="D191">
        <v>713</v>
      </c>
      <c r="E191" t="b">
        <v>0</v>
      </c>
      <c r="F191" t="b">
        <v>0</v>
      </c>
      <c r="G191" t="b">
        <v>1</v>
      </c>
      <c r="H191" t="s">
        <v>34</v>
      </c>
      <c r="I191" t="s">
        <v>44</v>
      </c>
      <c r="J191" t="s">
        <v>45</v>
      </c>
      <c r="K191" t="s">
        <v>28</v>
      </c>
      <c r="L191" t="s">
        <v>69</v>
      </c>
      <c r="M191" t="s">
        <v>28</v>
      </c>
      <c r="N191" t="s">
        <v>46</v>
      </c>
      <c r="P191" t="b">
        <v>0</v>
      </c>
      <c r="Q191">
        <v>9.9</v>
      </c>
      <c r="R191" t="b">
        <v>0</v>
      </c>
      <c r="T191">
        <v>0</v>
      </c>
      <c r="U191">
        <v>66.53</v>
      </c>
      <c r="V191" t="b">
        <v>0</v>
      </c>
      <c r="W191" t="s">
        <v>58</v>
      </c>
    </row>
    <row r="192" spans="1:23" x14ac:dyDescent="0.25">
      <c r="A192" t="s">
        <v>23</v>
      </c>
      <c r="B192" t="s">
        <v>60</v>
      </c>
      <c r="C192">
        <v>58.61</v>
      </c>
      <c r="D192">
        <v>283</v>
      </c>
      <c r="E192" t="b">
        <v>0</v>
      </c>
      <c r="F192" t="b">
        <v>0</v>
      </c>
      <c r="G192" t="b">
        <v>0</v>
      </c>
      <c r="H192" t="s">
        <v>34</v>
      </c>
      <c r="I192" t="s">
        <v>57</v>
      </c>
      <c r="J192" t="s">
        <v>45</v>
      </c>
      <c r="K192" t="s">
        <v>28</v>
      </c>
      <c r="L192" t="s">
        <v>38</v>
      </c>
      <c r="M192" t="s">
        <v>46</v>
      </c>
      <c r="N192" t="s">
        <v>28</v>
      </c>
      <c r="P192" t="b">
        <v>1</v>
      </c>
      <c r="Q192">
        <v>7.6</v>
      </c>
      <c r="R192" t="b">
        <v>0</v>
      </c>
      <c r="T192">
        <v>0</v>
      </c>
      <c r="U192">
        <v>47.19</v>
      </c>
      <c r="V192" t="b">
        <v>0</v>
      </c>
      <c r="W192" t="s">
        <v>31</v>
      </c>
    </row>
    <row r="193" spans="1:23" x14ac:dyDescent="0.25">
      <c r="A193" t="s">
        <v>23</v>
      </c>
      <c r="B193" t="s">
        <v>60</v>
      </c>
      <c r="C193">
        <v>60.88</v>
      </c>
      <c r="D193">
        <v>403</v>
      </c>
      <c r="E193" t="b">
        <v>0</v>
      </c>
      <c r="F193" t="b">
        <v>1</v>
      </c>
      <c r="G193" t="b">
        <v>0</v>
      </c>
      <c r="H193" t="s">
        <v>34</v>
      </c>
      <c r="I193" t="s">
        <v>67</v>
      </c>
      <c r="J193" t="s">
        <v>45</v>
      </c>
      <c r="K193" t="s">
        <v>39</v>
      </c>
      <c r="L193" t="s">
        <v>37</v>
      </c>
      <c r="M193" t="s">
        <v>28</v>
      </c>
      <c r="N193" t="s">
        <v>46</v>
      </c>
      <c r="P193" t="b">
        <v>1</v>
      </c>
      <c r="Q193">
        <v>6.3</v>
      </c>
      <c r="R193" t="b">
        <v>0</v>
      </c>
      <c r="T193">
        <v>0</v>
      </c>
      <c r="U193">
        <v>68.34</v>
      </c>
      <c r="V193" t="b">
        <v>1</v>
      </c>
      <c r="W193" t="s">
        <v>31</v>
      </c>
    </row>
    <row r="194" spans="1:23" x14ac:dyDescent="0.25">
      <c r="A194" t="s">
        <v>68</v>
      </c>
      <c r="B194" t="s">
        <v>59</v>
      </c>
      <c r="C194">
        <v>76.290000000000006</v>
      </c>
      <c r="D194">
        <v>549</v>
      </c>
      <c r="E194" t="b">
        <v>1</v>
      </c>
      <c r="F194" t="b">
        <v>1</v>
      </c>
      <c r="G194" t="b">
        <v>1</v>
      </c>
      <c r="H194" t="s">
        <v>43</v>
      </c>
      <c r="I194" t="s">
        <v>67</v>
      </c>
      <c r="J194" t="s">
        <v>27</v>
      </c>
      <c r="K194" t="s">
        <v>39</v>
      </c>
      <c r="L194" t="s">
        <v>51</v>
      </c>
      <c r="M194" t="s">
        <v>47</v>
      </c>
      <c r="N194" t="s">
        <v>28</v>
      </c>
      <c r="O194" t="b">
        <v>1</v>
      </c>
      <c r="P194" t="b">
        <v>1</v>
      </c>
      <c r="Q194">
        <v>8.5</v>
      </c>
      <c r="R194" t="b">
        <v>1</v>
      </c>
      <c r="S194" t="s">
        <v>65</v>
      </c>
      <c r="T194">
        <v>18.399999999999999</v>
      </c>
      <c r="U194">
        <v>71.62</v>
      </c>
      <c r="V194" t="b">
        <v>1</v>
      </c>
      <c r="W194" t="s">
        <v>31</v>
      </c>
    </row>
    <row r="195" spans="1:23" x14ac:dyDescent="0.25">
      <c r="A195" t="s">
        <v>74</v>
      </c>
      <c r="B195" t="s">
        <v>70</v>
      </c>
      <c r="C195">
        <v>80.319999999999993</v>
      </c>
      <c r="D195">
        <v>51</v>
      </c>
      <c r="E195" t="b">
        <v>1</v>
      </c>
      <c r="F195" t="b">
        <v>0</v>
      </c>
      <c r="G195" t="b">
        <v>0</v>
      </c>
      <c r="H195" t="s">
        <v>25</v>
      </c>
      <c r="I195" t="s">
        <v>35</v>
      </c>
      <c r="J195" t="s">
        <v>45</v>
      </c>
      <c r="K195" t="s">
        <v>28</v>
      </c>
      <c r="L195" t="s">
        <v>29</v>
      </c>
      <c r="M195" t="s">
        <v>28</v>
      </c>
      <c r="N195" t="s">
        <v>39</v>
      </c>
      <c r="O195" t="b">
        <v>0</v>
      </c>
      <c r="P195" t="b">
        <v>1</v>
      </c>
      <c r="Q195">
        <v>9.1</v>
      </c>
      <c r="R195" t="b">
        <v>0</v>
      </c>
      <c r="T195">
        <v>0</v>
      </c>
      <c r="U195">
        <v>78.540000000000006</v>
      </c>
      <c r="V195" t="b">
        <v>1</v>
      </c>
      <c r="W195" t="s">
        <v>58</v>
      </c>
    </row>
    <row r="196" spans="1:23" x14ac:dyDescent="0.25">
      <c r="A196" t="s">
        <v>74</v>
      </c>
      <c r="B196" t="s">
        <v>66</v>
      </c>
      <c r="C196">
        <v>60.97</v>
      </c>
      <c r="D196">
        <v>622</v>
      </c>
      <c r="E196" t="b">
        <v>1</v>
      </c>
      <c r="F196" t="b">
        <v>1</v>
      </c>
      <c r="G196" t="b">
        <v>1</v>
      </c>
      <c r="H196" t="s">
        <v>43</v>
      </c>
      <c r="I196" t="s">
        <v>26</v>
      </c>
      <c r="J196" t="s">
        <v>45</v>
      </c>
      <c r="K196" t="s">
        <v>46</v>
      </c>
      <c r="L196" t="s">
        <v>37</v>
      </c>
      <c r="M196" t="s">
        <v>46</v>
      </c>
      <c r="N196" t="s">
        <v>46</v>
      </c>
      <c r="P196" t="b">
        <v>0</v>
      </c>
      <c r="Q196">
        <v>7.6</v>
      </c>
      <c r="R196" t="b">
        <v>0</v>
      </c>
      <c r="T196">
        <v>0</v>
      </c>
      <c r="U196">
        <v>46.25</v>
      </c>
      <c r="V196" t="b">
        <v>0</v>
      </c>
      <c r="W196" t="s">
        <v>31</v>
      </c>
    </row>
    <row r="197" spans="1:23" x14ac:dyDescent="0.25">
      <c r="A197" t="s">
        <v>23</v>
      </c>
      <c r="B197" t="s">
        <v>71</v>
      </c>
      <c r="C197">
        <v>43.83</v>
      </c>
      <c r="D197">
        <v>681</v>
      </c>
      <c r="E197" t="b">
        <v>1</v>
      </c>
      <c r="F197" t="b">
        <v>0</v>
      </c>
      <c r="G197" t="b">
        <v>1</v>
      </c>
      <c r="H197" t="s">
        <v>43</v>
      </c>
      <c r="I197" t="s">
        <v>35</v>
      </c>
      <c r="J197" t="s">
        <v>36</v>
      </c>
      <c r="K197" t="s">
        <v>37</v>
      </c>
      <c r="L197" t="s">
        <v>69</v>
      </c>
      <c r="M197" t="s">
        <v>28</v>
      </c>
      <c r="N197" t="s">
        <v>28</v>
      </c>
      <c r="O197" t="b">
        <v>1</v>
      </c>
      <c r="P197" t="b">
        <v>0</v>
      </c>
      <c r="Q197">
        <v>8.4</v>
      </c>
      <c r="R197" t="b">
        <v>1</v>
      </c>
      <c r="S197" t="s">
        <v>64</v>
      </c>
      <c r="T197">
        <v>11.9</v>
      </c>
      <c r="U197">
        <v>24.79</v>
      </c>
      <c r="V197" t="b">
        <v>0</v>
      </c>
      <c r="W197" t="s">
        <v>31</v>
      </c>
    </row>
    <row r="198" spans="1:23" x14ac:dyDescent="0.25">
      <c r="A198" t="s">
        <v>74</v>
      </c>
      <c r="B198" t="s">
        <v>76</v>
      </c>
      <c r="C198">
        <v>77.89</v>
      </c>
      <c r="D198">
        <v>83</v>
      </c>
      <c r="E198" t="b">
        <v>0</v>
      </c>
      <c r="F198" t="b">
        <v>0</v>
      </c>
      <c r="G198" t="b">
        <v>0</v>
      </c>
      <c r="H198" t="s">
        <v>53</v>
      </c>
      <c r="I198" t="s">
        <v>35</v>
      </c>
      <c r="J198" t="s">
        <v>50</v>
      </c>
      <c r="K198" t="s">
        <v>28</v>
      </c>
      <c r="L198" t="s">
        <v>29</v>
      </c>
      <c r="M198" t="s">
        <v>46</v>
      </c>
      <c r="N198" t="s">
        <v>28</v>
      </c>
      <c r="P198" t="b">
        <v>0</v>
      </c>
      <c r="Q198">
        <v>8.3000000000000007</v>
      </c>
      <c r="R198" t="b">
        <v>1</v>
      </c>
      <c r="S198" t="s">
        <v>55</v>
      </c>
      <c r="T198">
        <v>2.8</v>
      </c>
      <c r="U198">
        <v>70.239999999999995</v>
      </c>
      <c r="V198" t="b">
        <v>1</v>
      </c>
      <c r="W198" t="s">
        <v>31</v>
      </c>
    </row>
    <row r="199" spans="1:23" x14ac:dyDescent="0.25">
      <c r="A199" t="s">
        <v>23</v>
      </c>
      <c r="B199" t="s">
        <v>42</v>
      </c>
      <c r="C199">
        <v>81.69</v>
      </c>
      <c r="D199">
        <v>555</v>
      </c>
      <c r="E199" t="b">
        <v>0</v>
      </c>
      <c r="F199" t="b">
        <v>1</v>
      </c>
      <c r="G199" t="b">
        <v>1</v>
      </c>
      <c r="H199" t="s">
        <v>34</v>
      </c>
      <c r="I199" t="s">
        <v>26</v>
      </c>
      <c r="J199" t="s">
        <v>27</v>
      </c>
      <c r="K199" t="s">
        <v>37</v>
      </c>
      <c r="L199" t="s">
        <v>69</v>
      </c>
      <c r="M199" t="s">
        <v>47</v>
      </c>
      <c r="N199" t="s">
        <v>46</v>
      </c>
      <c r="O199" t="b">
        <v>1</v>
      </c>
      <c r="P199" t="b">
        <v>0</v>
      </c>
      <c r="Q199">
        <v>9.1</v>
      </c>
      <c r="R199" t="b">
        <v>0</v>
      </c>
      <c r="T199">
        <v>0</v>
      </c>
      <c r="U199">
        <v>74.680000000000007</v>
      </c>
      <c r="V199" t="b">
        <v>1</v>
      </c>
      <c r="W199" t="s">
        <v>58</v>
      </c>
    </row>
    <row r="200" spans="1:23" x14ac:dyDescent="0.25">
      <c r="A200" t="s">
        <v>32</v>
      </c>
      <c r="B200" t="s">
        <v>62</v>
      </c>
      <c r="C200">
        <v>57.69</v>
      </c>
      <c r="D200">
        <v>701</v>
      </c>
      <c r="E200" t="b">
        <v>1</v>
      </c>
      <c r="F200" t="b">
        <v>0</v>
      </c>
      <c r="G200" t="b">
        <v>1</v>
      </c>
      <c r="H200" t="s">
        <v>34</v>
      </c>
      <c r="I200" t="s">
        <v>63</v>
      </c>
      <c r="J200" t="s">
        <v>54</v>
      </c>
      <c r="K200" t="s">
        <v>28</v>
      </c>
      <c r="L200" t="s">
        <v>69</v>
      </c>
      <c r="M200" t="s">
        <v>46</v>
      </c>
      <c r="N200" t="s">
        <v>28</v>
      </c>
      <c r="O200" t="b">
        <v>0</v>
      </c>
      <c r="P200" t="b">
        <v>0</v>
      </c>
      <c r="Q200">
        <v>7.2</v>
      </c>
      <c r="R200" t="b">
        <v>1</v>
      </c>
      <c r="S200" t="s">
        <v>52</v>
      </c>
      <c r="T200">
        <v>13.3</v>
      </c>
      <c r="U200">
        <v>60.87</v>
      </c>
      <c r="V200" t="b">
        <v>1</v>
      </c>
      <c r="W200" t="s">
        <v>41</v>
      </c>
    </row>
    <row r="201" spans="1:23" x14ac:dyDescent="0.25">
      <c r="A201" t="s">
        <v>68</v>
      </c>
      <c r="B201" t="s">
        <v>33</v>
      </c>
      <c r="C201">
        <v>86.33</v>
      </c>
      <c r="D201">
        <v>184</v>
      </c>
      <c r="E201" t="b">
        <v>0</v>
      </c>
      <c r="F201" t="b">
        <v>1</v>
      </c>
      <c r="G201" t="b">
        <v>1</v>
      </c>
      <c r="H201" t="s">
        <v>25</v>
      </c>
      <c r="I201" t="s">
        <v>57</v>
      </c>
      <c r="J201" t="s">
        <v>36</v>
      </c>
      <c r="K201" t="s">
        <v>37</v>
      </c>
      <c r="L201" t="s">
        <v>38</v>
      </c>
      <c r="M201" t="s">
        <v>28</v>
      </c>
      <c r="N201" t="s">
        <v>28</v>
      </c>
      <c r="P201" t="b">
        <v>1</v>
      </c>
      <c r="Q201">
        <v>9.6999999999999993</v>
      </c>
      <c r="R201" t="b">
        <v>1</v>
      </c>
      <c r="S201" t="s">
        <v>48</v>
      </c>
      <c r="T201">
        <v>15.4</v>
      </c>
      <c r="U201">
        <v>88.66</v>
      </c>
      <c r="V201" t="b">
        <v>1</v>
      </c>
      <c r="W201" t="s">
        <v>31</v>
      </c>
    </row>
    <row r="202" spans="1:23" x14ac:dyDescent="0.25">
      <c r="A202" t="s">
        <v>32</v>
      </c>
      <c r="B202" t="s">
        <v>73</v>
      </c>
      <c r="C202">
        <v>46.63</v>
      </c>
      <c r="D202">
        <v>342</v>
      </c>
      <c r="E202" t="b">
        <v>1</v>
      </c>
      <c r="F202" t="b">
        <v>0</v>
      </c>
      <c r="G202" t="b">
        <v>1</v>
      </c>
      <c r="H202" t="s">
        <v>53</v>
      </c>
      <c r="I202" t="s">
        <v>63</v>
      </c>
      <c r="J202" t="s">
        <v>45</v>
      </c>
      <c r="K202" t="s">
        <v>46</v>
      </c>
      <c r="L202" t="s">
        <v>38</v>
      </c>
      <c r="M202" t="s">
        <v>46</v>
      </c>
      <c r="O202" t="b">
        <v>0</v>
      </c>
      <c r="P202" t="b">
        <v>1</v>
      </c>
      <c r="Q202">
        <v>6.5</v>
      </c>
      <c r="R202" t="b">
        <v>0</v>
      </c>
      <c r="T202">
        <v>0</v>
      </c>
      <c r="U202">
        <v>59.79</v>
      </c>
      <c r="V202" t="b">
        <v>1</v>
      </c>
      <c r="W202" t="s">
        <v>31</v>
      </c>
    </row>
    <row r="203" spans="1:23" x14ac:dyDescent="0.25">
      <c r="A203" t="s">
        <v>23</v>
      </c>
      <c r="B203" t="s">
        <v>33</v>
      </c>
      <c r="C203">
        <v>86.04</v>
      </c>
      <c r="D203">
        <v>64</v>
      </c>
      <c r="E203" t="b">
        <v>1</v>
      </c>
      <c r="F203" t="b">
        <v>1</v>
      </c>
      <c r="G203" t="b">
        <v>0</v>
      </c>
      <c r="H203" t="s">
        <v>43</v>
      </c>
      <c r="I203" t="s">
        <v>63</v>
      </c>
      <c r="J203" t="s">
        <v>54</v>
      </c>
      <c r="K203" t="s">
        <v>46</v>
      </c>
      <c r="L203" t="s">
        <v>69</v>
      </c>
      <c r="M203" t="s">
        <v>28</v>
      </c>
      <c r="N203" t="s">
        <v>46</v>
      </c>
      <c r="O203" t="b">
        <v>0</v>
      </c>
      <c r="P203" t="b">
        <v>1</v>
      </c>
      <c r="Q203">
        <v>9.8000000000000007</v>
      </c>
      <c r="R203" t="b">
        <v>0</v>
      </c>
      <c r="T203">
        <v>0</v>
      </c>
      <c r="U203">
        <v>82.22</v>
      </c>
      <c r="V203" t="b">
        <v>1</v>
      </c>
      <c r="W203" t="s">
        <v>58</v>
      </c>
    </row>
    <row r="204" spans="1:23" x14ac:dyDescent="0.25">
      <c r="A204" t="s">
        <v>68</v>
      </c>
      <c r="B204" t="s">
        <v>42</v>
      </c>
      <c r="C204">
        <v>77.56</v>
      </c>
      <c r="D204">
        <v>757</v>
      </c>
      <c r="E204" t="b">
        <v>1</v>
      </c>
      <c r="F204" t="b">
        <v>1</v>
      </c>
      <c r="G204" t="b">
        <v>0</v>
      </c>
      <c r="H204" t="s">
        <v>43</v>
      </c>
      <c r="I204" t="s">
        <v>26</v>
      </c>
      <c r="J204" t="s">
        <v>54</v>
      </c>
      <c r="K204" t="s">
        <v>46</v>
      </c>
      <c r="L204" t="s">
        <v>51</v>
      </c>
      <c r="M204" t="s">
        <v>46</v>
      </c>
      <c r="P204" t="b">
        <v>0</v>
      </c>
      <c r="Q204">
        <v>8.6</v>
      </c>
      <c r="R204" t="b">
        <v>0</v>
      </c>
      <c r="T204">
        <v>0</v>
      </c>
      <c r="U204">
        <v>79.69</v>
      </c>
      <c r="V204" t="b">
        <v>1</v>
      </c>
      <c r="W204" t="s">
        <v>58</v>
      </c>
    </row>
    <row r="205" spans="1:23" x14ac:dyDescent="0.25">
      <c r="A205" t="s">
        <v>23</v>
      </c>
      <c r="B205" t="s">
        <v>59</v>
      </c>
      <c r="C205">
        <v>77.08</v>
      </c>
      <c r="D205">
        <v>635</v>
      </c>
      <c r="E205" t="b">
        <v>0</v>
      </c>
      <c r="F205" t="b">
        <v>0</v>
      </c>
      <c r="G205" t="b">
        <v>0</v>
      </c>
      <c r="H205" t="s">
        <v>25</v>
      </c>
      <c r="I205" t="s">
        <v>67</v>
      </c>
      <c r="J205" t="s">
        <v>54</v>
      </c>
      <c r="K205" t="s">
        <v>39</v>
      </c>
      <c r="L205" t="s">
        <v>51</v>
      </c>
      <c r="M205" t="s">
        <v>39</v>
      </c>
      <c r="O205" t="b">
        <v>1</v>
      </c>
      <c r="P205" t="b">
        <v>0</v>
      </c>
      <c r="Q205">
        <v>8.6999999999999993</v>
      </c>
      <c r="R205" t="b">
        <v>1</v>
      </c>
      <c r="S205" t="s">
        <v>30</v>
      </c>
      <c r="T205">
        <v>10.8</v>
      </c>
      <c r="U205">
        <v>79.06</v>
      </c>
      <c r="V205" t="b">
        <v>1</v>
      </c>
      <c r="W205" t="s">
        <v>31</v>
      </c>
    </row>
    <row r="206" spans="1:23" x14ac:dyDescent="0.25">
      <c r="A206" t="s">
        <v>61</v>
      </c>
      <c r="B206" t="s">
        <v>42</v>
      </c>
      <c r="C206">
        <v>72.48</v>
      </c>
      <c r="D206">
        <v>157</v>
      </c>
      <c r="E206" t="b">
        <v>1</v>
      </c>
      <c r="F206" t="b">
        <v>1</v>
      </c>
      <c r="G206" t="b">
        <v>1</v>
      </c>
      <c r="H206" t="s">
        <v>43</v>
      </c>
      <c r="I206" t="s">
        <v>35</v>
      </c>
      <c r="J206" t="s">
        <v>27</v>
      </c>
      <c r="K206" t="s">
        <v>39</v>
      </c>
      <c r="L206" t="s">
        <v>69</v>
      </c>
      <c r="M206" t="s">
        <v>46</v>
      </c>
      <c r="N206" t="s">
        <v>46</v>
      </c>
      <c r="P206" t="b">
        <v>1</v>
      </c>
      <c r="Q206">
        <v>8.3000000000000007</v>
      </c>
      <c r="R206" t="b">
        <v>1</v>
      </c>
      <c r="S206" t="s">
        <v>40</v>
      </c>
      <c r="T206">
        <v>19.2</v>
      </c>
      <c r="U206">
        <v>57.85</v>
      </c>
      <c r="V206" t="b">
        <v>0</v>
      </c>
      <c r="W206" t="s">
        <v>31</v>
      </c>
    </row>
    <row r="207" spans="1:23" x14ac:dyDescent="0.25">
      <c r="A207" t="s">
        <v>74</v>
      </c>
      <c r="B207" t="s">
        <v>71</v>
      </c>
      <c r="C207">
        <v>56.67</v>
      </c>
      <c r="D207">
        <v>60</v>
      </c>
      <c r="E207" t="b">
        <v>1</v>
      </c>
      <c r="F207" t="b">
        <v>0</v>
      </c>
      <c r="G207" t="b">
        <v>1</v>
      </c>
      <c r="H207" t="s">
        <v>25</v>
      </c>
      <c r="I207" t="s">
        <v>26</v>
      </c>
      <c r="J207" t="s">
        <v>36</v>
      </c>
      <c r="K207" t="s">
        <v>28</v>
      </c>
      <c r="L207" t="s">
        <v>69</v>
      </c>
      <c r="M207" t="s">
        <v>47</v>
      </c>
      <c r="N207" t="s">
        <v>46</v>
      </c>
      <c r="O207" t="b">
        <v>1</v>
      </c>
      <c r="P207" t="b">
        <v>1</v>
      </c>
      <c r="Q207">
        <v>8.6</v>
      </c>
      <c r="R207" t="b">
        <v>0</v>
      </c>
      <c r="T207">
        <v>0</v>
      </c>
      <c r="U207">
        <v>48.49</v>
      </c>
      <c r="V207" t="b">
        <v>0</v>
      </c>
      <c r="W207" t="s">
        <v>58</v>
      </c>
    </row>
    <row r="208" spans="1:23" x14ac:dyDescent="0.25">
      <c r="A208" t="s">
        <v>68</v>
      </c>
      <c r="B208" t="s">
        <v>73</v>
      </c>
      <c r="C208">
        <v>51.72</v>
      </c>
      <c r="D208">
        <v>651</v>
      </c>
      <c r="E208" t="b">
        <v>0</v>
      </c>
      <c r="F208" t="b">
        <v>1</v>
      </c>
      <c r="G208" t="b">
        <v>1</v>
      </c>
      <c r="H208" t="s">
        <v>25</v>
      </c>
      <c r="I208" t="s">
        <v>26</v>
      </c>
      <c r="J208" t="s">
        <v>36</v>
      </c>
      <c r="K208" t="s">
        <v>46</v>
      </c>
      <c r="L208" t="s">
        <v>69</v>
      </c>
      <c r="M208" t="s">
        <v>39</v>
      </c>
      <c r="N208" t="s">
        <v>46</v>
      </c>
      <c r="O208" t="b">
        <v>1</v>
      </c>
      <c r="P208" t="b">
        <v>0</v>
      </c>
      <c r="Q208">
        <v>7.8</v>
      </c>
      <c r="R208" t="b">
        <v>1</v>
      </c>
      <c r="S208" t="s">
        <v>55</v>
      </c>
      <c r="T208">
        <v>31.1</v>
      </c>
      <c r="U208">
        <v>52.21</v>
      </c>
      <c r="V208" t="b">
        <v>0</v>
      </c>
      <c r="W208" t="s">
        <v>41</v>
      </c>
    </row>
    <row r="209" spans="1:23" x14ac:dyDescent="0.25">
      <c r="A209" t="s">
        <v>74</v>
      </c>
      <c r="B209" t="s">
        <v>59</v>
      </c>
      <c r="C209">
        <v>83.99</v>
      </c>
      <c r="D209">
        <v>389</v>
      </c>
      <c r="E209" t="b">
        <v>1</v>
      </c>
      <c r="F209" t="b">
        <v>1</v>
      </c>
      <c r="G209" t="b">
        <v>0</v>
      </c>
      <c r="H209" t="s">
        <v>25</v>
      </c>
      <c r="I209" t="s">
        <v>35</v>
      </c>
      <c r="J209" t="s">
        <v>54</v>
      </c>
      <c r="K209" t="s">
        <v>37</v>
      </c>
      <c r="L209" t="s">
        <v>51</v>
      </c>
      <c r="M209" t="s">
        <v>39</v>
      </c>
      <c r="N209" t="s">
        <v>39</v>
      </c>
      <c r="O209" t="b">
        <v>1</v>
      </c>
      <c r="P209" t="b">
        <v>1</v>
      </c>
      <c r="Q209">
        <v>10</v>
      </c>
      <c r="R209" t="b">
        <v>0</v>
      </c>
      <c r="T209">
        <v>0</v>
      </c>
      <c r="U209">
        <v>77.930000000000007</v>
      </c>
      <c r="V209" t="b">
        <v>0</v>
      </c>
      <c r="W209" t="s">
        <v>58</v>
      </c>
    </row>
    <row r="210" spans="1:23" x14ac:dyDescent="0.25">
      <c r="A210" t="s">
        <v>74</v>
      </c>
      <c r="B210" t="s">
        <v>76</v>
      </c>
      <c r="C210">
        <v>73.69</v>
      </c>
      <c r="D210">
        <v>594</v>
      </c>
      <c r="E210" t="b">
        <v>0</v>
      </c>
      <c r="F210" t="b">
        <v>1</v>
      </c>
      <c r="G210" t="b">
        <v>1</v>
      </c>
      <c r="H210" t="s">
        <v>25</v>
      </c>
      <c r="I210" t="s">
        <v>26</v>
      </c>
      <c r="J210" t="s">
        <v>45</v>
      </c>
      <c r="K210" t="s">
        <v>46</v>
      </c>
      <c r="L210" t="s">
        <v>69</v>
      </c>
      <c r="M210" t="s">
        <v>39</v>
      </c>
      <c r="N210" t="s">
        <v>39</v>
      </c>
      <c r="P210" t="b">
        <v>1</v>
      </c>
      <c r="Q210">
        <v>7.6</v>
      </c>
      <c r="R210" t="b">
        <v>1</v>
      </c>
      <c r="S210" t="s">
        <v>30</v>
      </c>
      <c r="T210">
        <v>3.6</v>
      </c>
      <c r="U210">
        <v>66.319999999999993</v>
      </c>
      <c r="V210" t="b">
        <v>1</v>
      </c>
      <c r="W210" t="s">
        <v>41</v>
      </c>
    </row>
    <row r="211" spans="1:23" x14ac:dyDescent="0.25">
      <c r="A211" t="s">
        <v>32</v>
      </c>
      <c r="B211" t="s">
        <v>70</v>
      </c>
      <c r="C211">
        <v>80.92</v>
      </c>
      <c r="D211">
        <v>52</v>
      </c>
      <c r="E211" t="b">
        <v>0</v>
      </c>
      <c r="F211" t="b">
        <v>0</v>
      </c>
      <c r="G211" t="b">
        <v>1</v>
      </c>
      <c r="H211" t="s">
        <v>53</v>
      </c>
      <c r="I211" t="s">
        <v>44</v>
      </c>
      <c r="J211" t="s">
        <v>45</v>
      </c>
      <c r="K211" t="s">
        <v>28</v>
      </c>
      <c r="L211" t="s">
        <v>69</v>
      </c>
      <c r="M211" t="s">
        <v>39</v>
      </c>
      <c r="N211" t="s">
        <v>46</v>
      </c>
      <c r="O211" t="b">
        <v>1</v>
      </c>
      <c r="P211" t="b">
        <v>0</v>
      </c>
      <c r="Q211">
        <v>10</v>
      </c>
      <c r="R211" t="b">
        <v>1</v>
      </c>
      <c r="S211" t="s">
        <v>48</v>
      </c>
      <c r="T211">
        <v>37.1</v>
      </c>
      <c r="U211">
        <v>72.39</v>
      </c>
      <c r="V211" t="b">
        <v>0</v>
      </c>
      <c r="W211" t="s">
        <v>31</v>
      </c>
    </row>
    <row r="212" spans="1:23" x14ac:dyDescent="0.25">
      <c r="A212" t="s">
        <v>32</v>
      </c>
      <c r="B212" t="s">
        <v>71</v>
      </c>
      <c r="C212">
        <v>53.48</v>
      </c>
      <c r="D212">
        <v>146</v>
      </c>
      <c r="E212" t="b">
        <v>0</v>
      </c>
      <c r="F212" t="b">
        <v>1</v>
      </c>
      <c r="G212" t="b">
        <v>1</v>
      </c>
      <c r="H212" t="s">
        <v>53</v>
      </c>
      <c r="I212" t="s">
        <v>35</v>
      </c>
      <c r="J212" t="s">
        <v>27</v>
      </c>
      <c r="K212" t="s">
        <v>37</v>
      </c>
      <c r="L212" t="s">
        <v>69</v>
      </c>
      <c r="M212" t="s">
        <v>46</v>
      </c>
      <c r="N212" t="s">
        <v>46</v>
      </c>
      <c r="P212" t="b">
        <v>0</v>
      </c>
      <c r="Q212">
        <v>5.7</v>
      </c>
      <c r="R212" t="b">
        <v>0</v>
      </c>
      <c r="T212">
        <v>0</v>
      </c>
      <c r="U212">
        <v>41.21</v>
      </c>
      <c r="V212" t="b">
        <v>1</v>
      </c>
      <c r="W212" t="s">
        <v>41</v>
      </c>
    </row>
    <row r="213" spans="1:23" x14ac:dyDescent="0.25">
      <c r="A213" t="s">
        <v>68</v>
      </c>
      <c r="B213" t="s">
        <v>59</v>
      </c>
      <c r="C213">
        <v>87.47</v>
      </c>
      <c r="D213">
        <v>254</v>
      </c>
      <c r="E213" t="b">
        <v>0</v>
      </c>
      <c r="F213" t="b">
        <v>0</v>
      </c>
      <c r="G213" t="b">
        <v>0</v>
      </c>
      <c r="H213" t="s">
        <v>53</v>
      </c>
      <c r="I213" t="s">
        <v>26</v>
      </c>
      <c r="J213" t="s">
        <v>54</v>
      </c>
      <c r="K213" t="s">
        <v>46</v>
      </c>
      <c r="L213" t="s">
        <v>38</v>
      </c>
      <c r="M213" t="s">
        <v>28</v>
      </c>
      <c r="P213" t="b">
        <v>1</v>
      </c>
      <c r="Q213">
        <v>10</v>
      </c>
      <c r="R213" t="b">
        <v>1</v>
      </c>
      <c r="S213" t="s">
        <v>55</v>
      </c>
      <c r="T213">
        <v>19.899999999999999</v>
      </c>
      <c r="U213">
        <v>72.61</v>
      </c>
      <c r="V213" t="b">
        <v>0</v>
      </c>
      <c r="W213" t="s">
        <v>31</v>
      </c>
    </row>
    <row r="214" spans="1:23" x14ac:dyDescent="0.25">
      <c r="A214" t="s">
        <v>56</v>
      </c>
      <c r="B214" t="s">
        <v>62</v>
      </c>
      <c r="C214">
        <v>68.28</v>
      </c>
      <c r="D214">
        <v>643</v>
      </c>
      <c r="E214" t="b">
        <v>1</v>
      </c>
      <c r="F214" t="b">
        <v>0</v>
      </c>
      <c r="G214" t="b">
        <v>0</v>
      </c>
      <c r="H214" t="s">
        <v>43</v>
      </c>
      <c r="I214" t="s">
        <v>57</v>
      </c>
      <c r="J214" t="s">
        <v>27</v>
      </c>
      <c r="K214" t="s">
        <v>37</v>
      </c>
      <c r="L214" t="s">
        <v>37</v>
      </c>
      <c r="M214" t="s">
        <v>46</v>
      </c>
      <c r="P214" t="b">
        <v>1</v>
      </c>
      <c r="Q214">
        <v>7.8</v>
      </c>
      <c r="R214" t="b">
        <v>0</v>
      </c>
      <c r="T214">
        <v>0</v>
      </c>
      <c r="U214">
        <v>60.05</v>
      </c>
      <c r="V214" t="b">
        <v>1</v>
      </c>
      <c r="W214" t="s">
        <v>31</v>
      </c>
    </row>
    <row r="215" spans="1:23" x14ac:dyDescent="0.25">
      <c r="A215" t="s">
        <v>32</v>
      </c>
      <c r="B215" t="s">
        <v>71</v>
      </c>
      <c r="C215">
        <v>53.41</v>
      </c>
      <c r="D215">
        <v>612</v>
      </c>
      <c r="E215" t="b">
        <v>1</v>
      </c>
      <c r="F215" t="b">
        <v>0</v>
      </c>
      <c r="G215" t="b">
        <v>0</v>
      </c>
      <c r="H215" t="s">
        <v>34</v>
      </c>
      <c r="I215" t="s">
        <v>44</v>
      </c>
      <c r="J215" t="s">
        <v>45</v>
      </c>
      <c r="K215" t="s">
        <v>28</v>
      </c>
      <c r="L215" t="s">
        <v>38</v>
      </c>
      <c r="M215" t="s">
        <v>39</v>
      </c>
      <c r="N215" t="s">
        <v>28</v>
      </c>
      <c r="O215" t="b">
        <v>0</v>
      </c>
      <c r="P215" t="b">
        <v>0</v>
      </c>
      <c r="Q215">
        <v>6.7</v>
      </c>
      <c r="R215" t="b">
        <v>1</v>
      </c>
      <c r="S215" t="s">
        <v>55</v>
      </c>
      <c r="T215">
        <v>13</v>
      </c>
      <c r="U215">
        <v>43.26</v>
      </c>
      <c r="V215" t="b">
        <v>0</v>
      </c>
      <c r="W215" t="s">
        <v>41</v>
      </c>
    </row>
    <row r="216" spans="1:23" x14ac:dyDescent="0.25">
      <c r="A216" t="s">
        <v>32</v>
      </c>
      <c r="B216" t="s">
        <v>42</v>
      </c>
      <c r="C216">
        <v>66.010000000000005</v>
      </c>
      <c r="D216">
        <v>463</v>
      </c>
      <c r="E216" t="b">
        <v>0</v>
      </c>
      <c r="F216" t="b">
        <v>1</v>
      </c>
      <c r="G216" t="b">
        <v>0</v>
      </c>
      <c r="H216" t="s">
        <v>34</v>
      </c>
      <c r="I216" t="s">
        <v>57</v>
      </c>
      <c r="J216" t="s">
        <v>45</v>
      </c>
      <c r="K216" t="s">
        <v>28</v>
      </c>
      <c r="L216" t="s">
        <v>38</v>
      </c>
      <c r="M216" t="s">
        <v>47</v>
      </c>
      <c r="N216" t="s">
        <v>46</v>
      </c>
      <c r="O216" t="b">
        <v>1</v>
      </c>
      <c r="P216" t="b">
        <v>0</v>
      </c>
      <c r="Q216">
        <v>7.8</v>
      </c>
      <c r="R216" t="b">
        <v>1</v>
      </c>
      <c r="S216" t="s">
        <v>75</v>
      </c>
      <c r="T216">
        <v>10.6</v>
      </c>
      <c r="U216">
        <v>67.92</v>
      </c>
      <c r="V216" t="b">
        <v>1</v>
      </c>
      <c r="W216" t="s">
        <v>41</v>
      </c>
    </row>
    <row r="217" spans="1:23" x14ac:dyDescent="0.25">
      <c r="A217" t="s">
        <v>68</v>
      </c>
      <c r="B217" t="s">
        <v>59</v>
      </c>
      <c r="C217">
        <v>88.23</v>
      </c>
      <c r="D217">
        <v>226</v>
      </c>
      <c r="E217" t="b">
        <v>1</v>
      </c>
      <c r="F217" t="b">
        <v>1</v>
      </c>
      <c r="G217" t="b">
        <v>1</v>
      </c>
      <c r="H217" t="s">
        <v>34</v>
      </c>
      <c r="I217" t="s">
        <v>26</v>
      </c>
      <c r="J217" t="s">
        <v>27</v>
      </c>
      <c r="K217" t="s">
        <v>39</v>
      </c>
      <c r="L217" t="s">
        <v>29</v>
      </c>
      <c r="M217" t="s">
        <v>46</v>
      </c>
      <c r="N217" t="s">
        <v>28</v>
      </c>
      <c r="O217" t="b">
        <v>1</v>
      </c>
      <c r="P217" t="b">
        <v>1</v>
      </c>
      <c r="Q217">
        <v>10</v>
      </c>
      <c r="R217" t="b">
        <v>1</v>
      </c>
      <c r="S217" t="s">
        <v>75</v>
      </c>
      <c r="T217">
        <v>36.799999999999997</v>
      </c>
      <c r="U217">
        <v>83.15</v>
      </c>
      <c r="V217" t="b">
        <v>1</v>
      </c>
      <c r="W217" t="s">
        <v>31</v>
      </c>
    </row>
    <row r="218" spans="1:23" x14ac:dyDescent="0.25">
      <c r="A218" t="s">
        <v>56</v>
      </c>
      <c r="B218" t="s">
        <v>66</v>
      </c>
      <c r="C218">
        <v>70.31</v>
      </c>
      <c r="D218">
        <v>694</v>
      </c>
      <c r="E218" t="b">
        <v>1</v>
      </c>
      <c r="F218" t="b">
        <v>1</v>
      </c>
      <c r="G218" t="b">
        <v>1</v>
      </c>
      <c r="H218" t="s">
        <v>43</v>
      </c>
      <c r="I218" t="s">
        <v>67</v>
      </c>
      <c r="J218" t="s">
        <v>50</v>
      </c>
      <c r="K218" t="s">
        <v>39</v>
      </c>
      <c r="L218" t="s">
        <v>69</v>
      </c>
      <c r="M218" t="s">
        <v>46</v>
      </c>
      <c r="N218" t="s">
        <v>28</v>
      </c>
      <c r="P218" t="b">
        <v>0</v>
      </c>
      <c r="Q218">
        <v>8.1999999999999993</v>
      </c>
      <c r="R218" t="b">
        <v>1</v>
      </c>
      <c r="S218" t="s">
        <v>52</v>
      </c>
      <c r="T218">
        <v>9.4</v>
      </c>
      <c r="U218">
        <v>52.55</v>
      </c>
      <c r="V218" t="b">
        <v>0</v>
      </c>
      <c r="W218" t="s">
        <v>31</v>
      </c>
    </row>
    <row r="219" spans="1:23" x14ac:dyDescent="0.25">
      <c r="A219" t="s">
        <v>23</v>
      </c>
      <c r="B219" t="s">
        <v>76</v>
      </c>
      <c r="C219">
        <v>89.96</v>
      </c>
      <c r="D219">
        <v>235</v>
      </c>
      <c r="E219" t="b">
        <v>1</v>
      </c>
      <c r="F219" t="b">
        <v>1</v>
      </c>
      <c r="G219" t="b">
        <v>0</v>
      </c>
      <c r="H219" t="s">
        <v>34</v>
      </c>
      <c r="I219" t="s">
        <v>63</v>
      </c>
      <c r="J219" t="s">
        <v>54</v>
      </c>
      <c r="K219" t="s">
        <v>28</v>
      </c>
      <c r="L219" t="s">
        <v>69</v>
      </c>
      <c r="M219" t="s">
        <v>39</v>
      </c>
      <c r="N219" t="s">
        <v>46</v>
      </c>
      <c r="O219" t="b">
        <v>0</v>
      </c>
      <c r="P219" t="b">
        <v>1</v>
      </c>
      <c r="Q219">
        <v>9.8000000000000007</v>
      </c>
      <c r="R219" t="b">
        <v>0</v>
      </c>
      <c r="T219">
        <v>0</v>
      </c>
      <c r="U219">
        <v>99</v>
      </c>
      <c r="V219" t="b">
        <v>1</v>
      </c>
      <c r="W219" t="s">
        <v>58</v>
      </c>
    </row>
    <row r="220" spans="1:23" x14ac:dyDescent="0.25">
      <c r="A220" t="s">
        <v>61</v>
      </c>
      <c r="B220" t="s">
        <v>71</v>
      </c>
      <c r="C220">
        <v>41.66</v>
      </c>
      <c r="D220">
        <v>782</v>
      </c>
      <c r="E220" t="b">
        <v>0</v>
      </c>
      <c r="F220" t="b">
        <v>0</v>
      </c>
      <c r="G220" t="b">
        <v>0</v>
      </c>
      <c r="H220" t="s">
        <v>53</v>
      </c>
      <c r="I220" t="s">
        <v>26</v>
      </c>
      <c r="J220" t="s">
        <v>50</v>
      </c>
      <c r="K220" t="s">
        <v>39</v>
      </c>
      <c r="L220" t="s">
        <v>29</v>
      </c>
      <c r="M220" t="s">
        <v>39</v>
      </c>
      <c r="N220" t="s">
        <v>28</v>
      </c>
      <c r="O220" t="b">
        <v>0</v>
      </c>
      <c r="P220" t="b">
        <v>0</v>
      </c>
      <c r="Q220">
        <v>2.2999999999999998</v>
      </c>
      <c r="R220" t="b">
        <v>1</v>
      </c>
      <c r="S220" t="s">
        <v>55</v>
      </c>
      <c r="T220">
        <v>34.299999999999997</v>
      </c>
      <c r="U220">
        <v>24.18</v>
      </c>
      <c r="V220" t="b">
        <v>1</v>
      </c>
      <c r="W220" t="s">
        <v>72</v>
      </c>
    </row>
    <row r="221" spans="1:23" x14ac:dyDescent="0.25">
      <c r="A221" t="s">
        <v>32</v>
      </c>
      <c r="B221" t="s">
        <v>42</v>
      </c>
      <c r="C221">
        <v>69.98</v>
      </c>
      <c r="D221">
        <v>702</v>
      </c>
      <c r="E221" t="b">
        <v>0</v>
      </c>
      <c r="F221" t="b">
        <v>1</v>
      </c>
      <c r="G221" t="b">
        <v>0</v>
      </c>
      <c r="H221" t="s">
        <v>25</v>
      </c>
      <c r="I221" t="s">
        <v>67</v>
      </c>
      <c r="J221" t="s">
        <v>54</v>
      </c>
      <c r="K221" t="s">
        <v>46</v>
      </c>
      <c r="L221" t="s">
        <v>29</v>
      </c>
      <c r="M221" t="s">
        <v>46</v>
      </c>
      <c r="N221" t="s">
        <v>28</v>
      </c>
      <c r="O221" t="b">
        <v>1</v>
      </c>
      <c r="P221" t="b">
        <v>0</v>
      </c>
      <c r="Q221">
        <v>7.8</v>
      </c>
      <c r="R221" t="b">
        <v>1</v>
      </c>
      <c r="S221" t="s">
        <v>30</v>
      </c>
      <c r="T221">
        <v>42.3</v>
      </c>
      <c r="U221">
        <v>64.459999999999994</v>
      </c>
      <c r="V221" t="b">
        <v>1</v>
      </c>
      <c r="W221" t="s">
        <v>41</v>
      </c>
    </row>
    <row r="222" spans="1:23" x14ac:dyDescent="0.25">
      <c r="A222" t="s">
        <v>61</v>
      </c>
      <c r="B222" t="s">
        <v>70</v>
      </c>
      <c r="C222">
        <v>76.510000000000005</v>
      </c>
      <c r="D222">
        <v>741</v>
      </c>
      <c r="E222" t="b">
        <v>0</v>
      </c>
      <c r="F222" t="b">
        <v>0</v>
      </c>
      <c r="G222" t="b">
        <v>0</v>
      </c>
      <c r="H222" t="s">
        <v>25</v>
      </c>
      <c r="I222" t="s">
        <v>44</v>
      </c>
      <c r="J222" t="s">
        <v>50</v>
      </c>
      <c r="K222" t="s">
        <v>28</v>
      </c>
      <c r="L222" t="s">
        <v>38</v>
      </c>
      <c r="M222" t="s">
        <v>46</v>
      </c>
      <c r="N222" t="s">
        <v>39</v>
      </c>
      <c r="O222" t="b">
        <v>0</v>
      </c>
      <c r="P222" t="b">
        <v>0</v>
      </c>
      <c r="Q222">
        <v>8</v>
      </c>
      <c r="R222" t="b">
        <v>0</v>
      </c>
      <c r="T222">
        <v>0</v>
      </c>
      <c r="U222">
        <v>66.06</v>
      </c>
      <c r="V222" t="b">
        <v>1</v>
      </c>
      <c r="W222" t="s">
        <v>58</v>
      </c>
    </row>
    <row r="223" spans="1:23" x14ac:dyDescent="0.25">
      <c r="A223" t="s">
        <v>68</v>
      </c>
      <c r="B223" t="s">
        <v>71</v>
      </c>
      <c r="C223">
        <v>43.13</v>
      </c>
      <c r="D223">
        <v>531</v>
      </c>
      <c r="E223" t="b">
        <v>0</v>
      </c>
      <c r="F223" t="b">
        <v>0</v>
      </c>
      <c r="G223" t="b">
        <v>0</v>
      </c>
      <c r="H223" t="s">
        <v>34</v>
      </c>
      <c r="I223" t="s">
        <v>26</v>
      </c>
      <c r="J223" t="s">
        <v>27</v>
      </c>
      <c r="K223" t="s">
        <v>28</v>
      </c>
      <c r="L223" t="s">
        <v>69</v>
      </c>
      <c r="M223" t="s">
        <v>28</v>
      </c>
      <c r="N223" t="s">
        <v>39</v>
      </c>
      <c r="O223" t="b">
        <v>1</v>
      </c>
      <c r="P223" t="b">
        <v>0</v>
      </c>
      <c r="Q223">
        <v>7.4</v>
      </c>
      <c r="R223" t="b">
        <v>0</v>
      </c>
      <c r="T223">
        <v>0</v>
      </c>
      <c r="U223">
        <v>37.729999999999997</v>
      </c>
      <c r="V223" t="b">
        <v>0</v>
      </c>
      <c r="W223" t="s">
        <v>31</v>
      </c>
    </row>
    <row r="224" spans="1:23" x14ac:dyDescent="0.25">
      <c r="A224" t="s">
        <v>74</v>
      </c>
      <c r="B224" t="s">
        <v>73</v>
      </c>
      <c r="C224">
        <v>53.74</v>
      </c>
      <c r="D224">
        <v>466</v>
      </c>
      <c r="E224" t="b">
        <v>1</v>
      </c>
      <c r="F224" t="b">
        <v>1</v>
      </c>
      <c r="G224" t="b">
        <v>0</v>
      </c>
      <c r="H224" t="s">
        <v>53</v>
      </c>
      <c r="I224" t="s">
        <v>67</v>
      </c>
      <c r="J224" t="s">
        <v>45</v>
      </c>
      <c r="K224" t="s">
        <v>39</v>
      </c>
      <c r="L224" t="s">
        <v>29</v>
      </c>
      <c r="M224" t="s">
        <v>47</v>
      </c>
      <c r="N224" t="s">
        <v>28</v>
      </c>
      <c r="O224" t="b">
        <v>0</v>
      </c>
      <c r="P224" t="b">
        <v>0</v>
      </c>
      <c r="Q224">
        <v>3.3</v>
      </c>
      <c r="R224" t="b">
        <v>1</v>
      </c>
      <c r="S224" t="s">
        <v>52</v>
      </c>
      <c r="T224">
        <v>20.7</v>
      </c>
      <c r="U224">
        <v>66.94</v>
      </c>
      <c r="V224" t="b">
        <v>0</v>
      </c>
      <c r="W224" t="s">
        <v>72</v>
      </c>
    </row>
    <row r="225" spans="1:23" x14ac:dyDescent="0.25">
      <c r="A225" t="s">
        <v>32</v>
      </c>
      <c r="B225" t="s">
        <v>76</v>
      </c>
      <c r="C225">
        <v>80.58</v>
      </c>
      <c r="D225">
        <v>247</v>
      </c>
      <c r="E225" t="b">
        <v>1</v>
      </c>
      <c r="F225" t="b">
        <v>1</v>
      </c>
      <c r="G225" t="b">
        <v>1</v>
      </c>
      <c r="H225" t="s">
        <v>53</v>
      </c>
      <c r="I225" t="s">
        <v>44</v>
      </c>
      <c r="J225" t="s">
        <v>45</v>
      </c>
      <c r="K225" t="s">
        <v>37</v>
      </c>
      <c r="L225" t="s">
        <v>69</v>
      </c>
      <c r="M225" t="s">
        <v>39</v>
      </c>
      <c r="O225" t="b">
        <v>0</v>
      </c>
      <c r="P225" t="b">
        <v>1</v>
      </c>
      <c r="Q225">
        <v>7.4</v>
      </c>
      <c r="R225" t="b">
        <v>0</v>
      </c>
      <c r="T225">
        <v>0</v>
      </c>
      <c r="U225">
        <v>91.96</v>
      </c>
      <c r="V225" t="b">
        <v>1</v>
      </c>
      <c r="W225" t="s">
        <v>31</v>
      </c>
    </row>
    <row r="226" spans="1:23" x14ac:dyDescent="0.25">
      <c r="A226" t="s">
        <v>32</v>
      </c>
      <c r="B226" t="s">
        <v>24</v>
      </c>
      <c r="C226">
        <v>95.53</v>
      </c>
      <c r="D226">
        <v>675</v>
      </c>
      <c r="E226" t="b">
        <v>0</v>
      </c>
      <c r="F226" t="b">
        <v>0</v>
      </c>
      <c r="G226" t="b">
        <v>0</v>
      </c>
      <c r="H226" t="s">
        <v>53</v>
      </c>
      <c r="I226" t="s">
        <v>44</v>
      </c>
      <c r="J226" t="s">
        <v>27</v>
      </c>
      <c r="K226" t="s">
        <v>46</v>
      </c>
      <c r="L226" t="s">
        <v>69</v>
      </c>
      <c r="M226" t="s">
        <v>39</v>
      </c>
      <c r="O226" t="b">
        <v>1</v>
      </c>
      <c r="P226" t="b">
        <v>0</v>
      </c>
      <c r="Q226">
        <v>10</v>
      </c>
      <c r="R226" t="b">
        <v>1</v>
      </c>
      <c r="S226" t="s">
        <v>64</v>
      </c>
      <c r="T226">
        <v>23.7</v>
      </c>
      <c r="U226">
        <v>100</v>
      </c>
      <c r="V226" t="b">
        <v>1</v>
      </c>
      <c r="W226" t="s">
        <v>31</v>
      </c>
    </row>
    <row r="227" spans="1:23" x14ac:dyDescent="0.25">
      <c r="A227" t="s">
        <v>74</v>
      </c>
      <c r="B227" t="s">
        <v>76</v>
      </c>
      <c r="C227">
        <v>86.05</v>
      </c>
      <c r="D227">
        <v>65</v>
      </c>
      <c r="E227" t="b">
        <v>1</v>
      </c>
      <c r="F227" t="b">
        <v>0</v>
      </c>
      <c r="G227" t="b">
        <v>1</v>
      </c>
      <c r="H227" t="s">
        <v>43</v>
      </c>
      <c r="I227" t="s">
        <v>67</v>
      </c>
      <c r="J227" t="s">
        <v>36</v>
      </c>
      <c r="K227" t="s">
        <v>46</v>
      </c>
      <c r="L227" t="s">
        <v>38</v>
      </c>
      <c r="M227" t="s">
        <v>39</v>
      </c>
      <c r="N227" t="s">
        <v>28</v>
      </c>
      <c r="P227" t="b">
        <v>0</v>
      </c>
      <c r="Q227">
        <v>10</v>
      </c>
      <c r="R227" t="b">
        <v>1</v>
      </c>
      <c r="S227" t="s">
        <v>48</v>
      </c>
      <c r="T227">
        <v>21</v>
      </c>
      <c r="U227">
        <v>79.67</v>
      </c>
      <c r="V227" t="b">
        <v>0</v>
      </c>
      <c r="W227" t="s">
        <v>31</v>
      </c>
    </row>
    <row r="228" spans="1:23" x14ac:dyDescent="0.25">
      <c r="A228" t="s">
        <v>68</v>
      </c>
      <c r="B228" t="s">
        <v>33</v>
      </c>
      <c r="C228">
        <v>76.41</v>
      </c>
      <c r="D228">
        <v>388</v>
      </c>
      <c r="E228" t="b">
        <v>0</v>
      </c>
      <c r="F228" t="b">
        <v>0</v>
      </c>
      <c r="G228" t="b">
        <v>1</v>
      </c>
      <c r="H228" t="s">
        <v>43</v>
      </c>
      <c r="I228" t="s">
        <v>63</v>
      </c>
      <c r="J228" t="s">
        <v>27</v>
      </c>
      <c r="K228" t="s">
        <v>39</v>
      </c>
      <c r="L228" t="s">
        <v>51</v>
      </c>
      <c r="M228" t="s">
        <v>28</v>
      </c>
      <c r="N228" t="s">
        <v>46</v>
      </c>
      <c r="O228" t="b">
        <v>0</v>
      </c>
      <c r="P228" t="b">
        <v>0</v>
      </c>
      <c r="Q228">
        <v>7.5</v>
      </c>
      <c r="R228" t="b">
        <v>0</v>
      </c>
      <c r="T228">
        <v>0</v>
      </c>
      <c r="U228">
        <v>73.72</v>
      </c>
      <c r="V228" t="b">
        <v>1</v>
      </c>
      <c r="W228" t="s">
        <v>31</v>
      </c>
    </row>
    <row r="229" spans="1:23" x14ac:dyDescent="0.25">
      <c r="A229" t="s">
        <v>74</v>
      </c>
      <c r="B229" t="s">
        <v>71</v>
      </c>
      <c r="C229">
        <v>40.880000000000003</v>
      </c>
      <c r="D229">
        <v>152</v>
      </c>
      <c r="E229" t="b">
        <v>1</v>
      </c>
      <c r="F229" t="b">
        <v>0</v>
      </c>
      <c r="G229" t="b">
        <v>1</v>
      </c>
      <c r="H229" t="s">
        <v>25</v>
      </c>
      <c r="I229" t="s">
        <v>26</v>
      </c>
      <c r="J229" t="s">
        <v>45</v>
      </c>
      <c r="K229" t="s">
        <v>28</v>
      </c>
      <c r="L229" t="s">
        <v>69</v>
      </c>
      <c r="M229" t="s">
        <v>47</v>
      </c>
      <c r="O229" t="b">
        <v>0</v>
      </c>
      <c r="P229" t="b">
        <v>1</v>
      </c>
      <c r="Q229">
        <v>4.5999999999999996</v>
      </c>
      <c r="R229" t="b">
        <v>1</v>
      </c>
      <c r="S229" t="s">
        <v>65</v>
      </c>
      <c r="T229">
        <v>20</v>
      </c>
      <c r="U229">
        <v>41.63</v>
      </c>
      <c r="V229" t="b">
        <v>1</v>
      </c>
      <c r="W229" t="s">
        <v>72</v>
      </c>
    </row>
    <row r="230" spans="1:23" x14ac:dyDescent="0.25">
      <c r="A230" t="s">
        <v>56</v>
      </c>
      <c r="B230" t="s">
        <v>62</v>
      </c>
      <c r="C230">
        <v>72.09</v>
      </c>
      <c r="D230">
        <v>134</v>
      </c>
      <c r="E230" t="b">
        <v>0</v>
      </c>
      <c r="F230" t="b">
        <v>1</v>
      </c>
      <c r="G230" t="b">
        <v>1</v>
      </c>
      <c r="H230" t="s">
        <v>25</v>
      </c>
      <c r="I230" t="s">
        <v>63</v>
      </c>
      <c r="J230" t="s">
        <v>54</v>
      </c>
      <c r="K230" t="s">
        <v>28</v>
      </c>
      <c r="L230" t="s">
        <v>38</v>
      </c>
      <c r="M230" t="s">
        <v>47</v>
      </c>
      <c r="N230" t="s">
        <v>28</v>
      </c>
      <c r="P230" t="b">
        <v>0</v>
      </c>
      <c r="Q230">
        <v>7.5</v>
      </c>
      <c r="R230" t="b">
        <v>1</v>
      </c>
      <c r="S230" t="s">
        <v>75</v>
      </c>
      <c r="T230">
        <v>13.1</v>
      </c>
      <c r="U230">
        <v>87.02</v>
      </c>
      <c r="V230" t="b">
        <v>1</v>
      </c>
      <c r="W230" t="s">
        <v>41</v>
      </c>
    </row>
    <row r="231" spans="1:23" x14ac:dyDescent="0.25">
      <c r="A231" t="s">
        <v>32</v>
      </c>
      <c r="B231" t="s">
        <v>33</v>
      </c>
      <c r="C231">
        <v>88.27</v>
      </c>
      <c r="D231">
        <v>657</v>
      </c>
      <c r="E231" t="b">
        <v>0</v>
      </c>
      <c r="F231" t="b">
        <v>0</v>
      </c>
      <c r="G231" t="b">
        <v>0</v>
      </c>
      <c r="H231" t="s">
        <v>34</v>
      </c>
      <c r="I231" t="s">
        <v>44</v>
      </c>
      <c r="J231" t="s">
        <v>50</v>
      </c>
      <c r="K231" t="s">
        <v>28</v>
      </c>
      <c r="L231" t="s">
        <v>51</v>
      </c>
      <c r="M231" t="s">
        <v>28</v>
      </c>
      <c r="O231" t="b">
        <v>1</v>
      </c>
      <c r="P231" t="b">
        <v>0</v>
      </c>
      <c r="Q231">
        <v>10</v>
      </c>
      <c r="R231" t="b">
        <v>0</v>
      </c>
      <c r="T231">
        <v>0</v>
      </c>
      <c r="U231">
        <v>100</v>
      </c>
      <c r="V231" t="b">
        <v>1</v>
      </c>
      <c r="W231" t="s">
        <v>58</v>
      </c>
    </row>
    <row r="232" spans="1:23" x14ac:dyDescent="0.25">
      <c r="A232" t="s">
        <v>32</v>
      </c>
      <c r="B232" t="s">
        <v>66</v>
      </c>
      <c r="C232">
        <v>71.38</v>
      </c>
      <c r="D232">
        <v>124</v>
      </c>
      <c r="E232" t="b">
        <v>1</v>
      </c>
      <c r="F232" t="b">
        <v>1</v>
      </c>
      <c r="G232" t="b">
        <v>1</v>
      </c>
      <c r="H232" t="s">
        <v>53</v>
      </c>
      <c r="I232" t="s">
        <v>44</v>
      </c>
      <c r="J232" t="s">
        <v>54</v>
      </c>
      <c r="K232" t="s">
        <v>37</v>
      </c>
      <c r="L232" t="s">
        <v>69</v>
      </c>
      <c r="M232" t="s">
        <v>46</v>
      </c>
      <c r="N232" t="s">
        <v>28</v>
      </c>
      <c r="P232" t="b">
        <v>0</v>
      </c>
      <c r="Q232">
        <v>8.8000000000000007</v>
      </c>
      <c r="R232" t="b">
        <v>0</v>
      </c>
      <c r="T232">
        <v>0</v>
      </c>
      <c r="U232">
        <v>57.78</v>
      </c>
      <c r="V232" t="b">
        <v>0</v>
      </c>
      <c r="W232" t="s">
        <v>58</v>
      </c>
    </row>
    <row r="233" spans="1:23" x14ac:dyDescent="0.25">
      <c r="A233" t="s">
        <v>74</v>
      </c>
      <c r="B233" t="s">
        <v>70</v>
      </c>
      <c r="C233">
        <v>71</v>
      </c>
      <c r="D233">
        <v>786</v>
      </c>
      <c r="E233" t="b">
        <v>0</v>
      </c>
      <c r="F233" t="b">
        <v>1</v>
      </c>
      <c r="G233" t="b">
        <v>1</v>
      </c>
      <c r="H233" t="s">
        <v>53</v>
      </c>
      <c r="I233" t="s">
        <v>63</v>
      </c>
      <c r="J233" t="s">
        <v>50</v>
      </c>
      <c r="K233" t="s">
        <v>39</v>
      </c>
      <c r="L233" t="s">
        <v>38</v>
      </c>
      <c r="M233" t="s">
        <v>47</v>
      </c>
      <c r="N233" t="s">
        <v>39</v>
      </c>
      <c r="O233" t="b">
        <v>0</v>
      </c>
      <c r="P233" t="b">
        <v>1</v>
      </c>
      <c r="Q233">
        <v>5.3</v>
      </c>
      <c r="R233" t="b">
        <v>1</v>
      </c>
      <c r="S233" t="s">
        <v>52</v>
      </c>
      <c r="T233">
        <v>10.1</v>
      </c>
      <c r="U233">
        <v>57.89</v>
      </c>
      <c r="V233" t="b">
        <v>1</v>
      </c>
      <c r="W233" t="s">
        <v>41</v>
      </c>
    </row>
    <row r="234" spans="1:23" x14ac:dyDescent="0.25">
      <c r="A234" t="s">
        <v>61</v>
      </c>
      <c r="B234" t="s">
        <v>42</v>
      </c>
      <c r="C234">
        <v>81.66</v>
      </c>
      <c r="D234">
        <v>141</v>
      </c>
      <c r="E234" t="b">
        <v>0</v>
      </c>
      <c r="F234" t="b">
        <v>1</v>
      </c>
      <c r="G234" t="b">
        <v>1</v>
      </c>
      <c r="H234" t="s">
        <v>34</v>
      </c>
      <c r="I234" t="s">
        <v>57</v>
      </c>
      <c r="J234" t="s">
        <v>27</v>
      </c>
      <c r="K234" t="s">
        <v>37</v>
      </c>
      <c r="L234" t="s">
        <v>37</v>
      </c>
      <c r="M234" t="s">
        <v>47</v>
      </c>
      <c r="P234" t="b">
        <v>0</v>
      </c>
      <c r="Q234">
        <v>6.4</v>
      </c>
      <c r="R234" t="b">
        <v>1</v>
      </c>
      <c r="S234" t="s">
        <v>65</v>
      </c>
      <c r="T234">
        <v>38.799999999999997</v>
      </c>
      <c r="U234">
        <v>71.92</v>
      </c>
      <c r="V234" t="b">
        <v>1</v>
      </c>
      <c r="W234" t="s">
        <v>41</v>
      </c>
    </row>
    <row r="235" spans="1:23" x14ac:dyDescent="0.25">
      <c r="A235" t="s">
        <v>68</v>
      </c>
      <c r="B235" t="s">
        <v>71</v>
      </c>
      <c r="C235">
        <v>51.47</v>
      </c>
      <c r="D235">
        <v>550</v>
      </c>
      <c r="E235" t="b">
        <v>1</v>
      </c>
      <c r="F235" t="b">
        <v>0</v>
      </c>
      <c r="G235" t="b">
        <v>1</v>
      </c>
      <c r="H235" t="s">
        <v>53</v>
      </c>
      <c r="I235" t="s">
        <v>63</v>
      </c>
      <c r="J235" t="s">
        <v>50</v>
      </c>
      <c r="K235" t="s">
        <v>39</v>
      </c>
      <c r="L235" t="s">
        <v>29</v>
      </c>
      <c r="M235" t="s">
        <v>47</v>
      </c>
      <c r="N235" t="s">
        <v>39</v>
      </c>
      <c r="O235" t="b">
        <v>0</v>
      </c>
      <c r="P235" t="b">
        <v>0</v>
      </c>
      <c r="Q235">
        <v>4.7</v>
      </c>
      <c r="R235" t="b">
        <v>1</v>
      </c>
      <c r="S235" t="s">
        <v>52</v>
      </c>
      <c r="T235">
        <v>44.4</v>
      </c>
      <c r="U235">
        <v>55.61</v>
      </c>
      <c r="V235" t="b">
        <v>1</v>
      </c>
      <c r="W235" t="s">
        <v>72</v>
      </c>
    </row>
    <row r="236" spans="1:23" x14ac:dyDescent="0.25">
      <c r="A236" t="s">
        <v>56</v>
      </c>
      <c r="B236" t="s">
        <v>71</v>
      </c>
      <c r="C236">
        <v>55.98</v>
      </c>
      <c r="D236">
        <v>550</v>
      </c>
      <c r="E236" t="b">
        <v>0</v>
      </c>
      <c r="F236" t="b">
        <v>0</v>
      </c>
      <c r="G236" t="b">
        <v>0</v>
      </c>
      <c r="H236" t="s">
        <v>34</v>
      </c>
      <c r="I236" t="s">
        <v>63</v>
      </c>
      <c r="J236" t="s">
        <v>45</v>
      </c>
      <c r="K236" t="s">
        <v>37</v>
      </c>
      <c r="L236" t="s">
        <v>51</v>
      </c>
      <c r="M236" t="s">
        <v>28</v>
      </c>
      <c r="N236" t="s">
        <v>39</v>
      </c>
      <c r="P236" t="b">
        <v>1</v>
      </c>
      <c r="Q236">
        <v>6.1</v>
      </c>
      <c r="R236" t="b">
        <v>0</v>
      </c>
      <c r="T236">
        <v>0</v>
      </c>
      <c r="U236">
        <v>49.1</v>
      </c>
      <c r="V236" t="b">
        <v>1</v>
      </c>
      <c r="W236" t="s">
        <v>31</v>
      </c>
    </row>
    <row r="237" spans="1:23" x14ac:dyDescent="0.25">
      <c r="A237" t="s">
        <v>56</v>
      </c>
      <c r="B237" t="s">
        <v>24</v>
      </c>
      <c r="C237">
        <v>94.49</v>
      </c>
      <c r="D237">
        <v>734</v>
      </c>
      <c r="E237" t="b">
        <v>1</v>
      </c>
      <c r="F237" t="b">
        <v>1</v>
      </c>
      <c r="G237" t="b">
        <v>1</v>
      </c>
      <c r="H237" t="s">
        <v>34</v>
      </c>
      <c r="I237" t="s">
        <v>63</v>
      </c>
      <c r="J237" t="s">
        <v>50</v>
      </c>
      <c r="K237" t="s">
        <v>39</v>
      </c>
      <c r="L237" t="s">
        <v>69</v>
      </c>
      <c r="M237" t="s">
        <v>39</v>
      </c>
      <c r="N237" t="s">
        <v>28</v>
      </c>
      <c r="O237" t="b">
        <v>1</v>
      </c>
      <c r="P237" t="b">
        <v>0</v>
      </c>
      <c r="Q237">
        <v>10</v>
      </c>
      <c r="R237" t="b">
        <v>1</v>
      </c>
      <c r="S237" t="s">
        <v>48</v>
      </c>
      <c r="T237">
        <v>28.5</v>
      </c>
      <c r="U237">
        <v>95.5</v>
      </c>
      <c r="V237" t="b">
        <v>1</v>
      </c>
      <c r="W237" t="s">
        <v>31</v>
      </c>
    </row>
    <row r="238" spans="1:23" x14ac:dyDescent="0.25">
      <c r="A238" t="s">
        <v>56</v>
      </c>
      <c r="B238" t="s">
        <v>42</v>
      </c>
      <c r="C238">
        <v>83.62</v>
      </c>
      <c r="D238">
        <v>243</v>
      </c>
      <c r="E238" t="b">
        <v>1</v>
      </c>
      <c r="F238" t="b">
        <v>0</v>
      </c>
      <c r="G238" t="b">
        <v>0</v>
      </c>
      <c r="H238" t="s">
        <v>43</v>
      </c>
      <c r="I238" t="s">
        <v>63</v>
      </c>
      <c r="J238" t="s">
        <v>50</v>
      </c>
      <c r="K238" t="s">
        <v>39</v>
      </c>
      <c r="L238" t="s">
        <v>69</v>
      </c>
      <c r="M238" t="s">
        <v>46</v>
      </c>
      <c r="N238" t="s">
        <v>28</v>
      </c>
      <c r="O238" t="b">
        <v>1</v>
      </c>
      <c r="P238" t="b">
        <v>1</v>
      </c>
      <c r="Q238">
        <v>10</v>
      </c>
      <c r="R238" t="b">
        <v>0</v>
      </c>
      <c r="T238">
        <v>0</v>
      </c>
      <c r="U238">
        <v>69.930000000000007</v>
      </c>
      <c r="V238" t="b">
        <v>0</v>
      </c>
      <c r="W238" t="s">
        <v>58</v>
      </c>
    </row>
    <row r="239" spans="1:23" x14ac:dyDescent="0.25">
      <c r="A239" t="s">
        <v>56</v>
      </c>
      <c r="B239" t="s">
        <v>66</v>
      </c>
      <c r="C239">
        <v>68.92</v>
      </c>
      <c r="D239">
        <v>459</v>
      </c>
      <c r="E239" t="b">
        <v>0</v>
      </c>
      <c r="F239" t="b">
        <v>1</v>
      </c>
      <c r="G239" t="b">
        <v>0</v>
      </c>
      <c r="H239" t="s">
        <v>34</v>
      </c>
      <c r="I239" t="s">
        <v>67</v>
      </c>
      <c r="J239" t="s">
        <v>27</v>
      </c>
      <c r="K239" t="s">
        <v>39</v>
      </c>
      <c r="L239" t="s">
        <v>29</v>
      </c>
      <c r="M239" t="s">
        <v>39</v>
      </c>
      <c r="N239" t="s">
        <v>46</v>
      </c>
      <c r="P239" t="b">
        <v>0</v>
      </c>
      <c r="Q239">
        <v>5.7</v>
      </c>
      <c r="R239" t="b">
        <v>0</v>
      </c>
      <c r="T239">
        <v>0</v>
      </c>
      <c r="U239">
        <v>65.510000000000005</v>
      </c>
      <c r="V239" t="b">
        <v>1</v>
      </c>
      <c r="W239" t="s">
        <v>41</v>
      </c>
    </row>
    <row r="240" spans="1:23" x14ac:dyDescent="0.25">
      <c r="A240" t="s">
        <v>61</v>
      </c>
      <c r="B240" t="s">
        <v>60</v>
      </c>
      <c r="C240">
        <v>57.34</v>
      </c>
      <c r="D240">
        <v>64</v>
      </c>
      <c r="E240" t="b">
        <v>1</v>
      </c>
      <c r="F240" t="b">
        <v>0</v>
      </c>
      <c r="G240" t="b">
        <v>0</v>
      </c>
      <c r="H240" t="s">
        <v>53</v>
      </c>
      <c r="I240" t="s">
        <v>67</v>
      </c>
      <c r="J240" t="s">
        <v>36</v>
      </c>
      <c r="K240" t="s">
        <v>46</v>
      </c>
      <c r="L240" t="s">
        <v>51</v>
      </c>
      <c r="M240" t="s">
        <v>46</v>
      </c>
      <c r="N240" t="s">
        <v>39</v>
      </c>
      <c r="P240" t="b">
        <v>1</v>
      </c>
      <c r="Q240">
        <v>7.1</v>
      </c>
      <c r="R240" t="b">
        <v>1</v>
      </c>
      <c r="S240" t="s">
        <v>65</v>
      </c>
      <c r="T240">
        <v>6.9</v>
      </c>
      <c r="U240">
        <v>44.07</v>
      </c>
      <c r="V240" t="b">
        <v>0</v>
      </c>
      <c r="W240" t="s">
        <v>41</v>
      </c>
    </row>
    <row r="241" spans="1:23" x14ac:dyDescent="0.25">
      <c r="A241" t="s">
        <v>61</v>
      </c>
      <c r="B241" t="s">
        <v>60</v>
      </c>
      <c r="C241">
        <v>49.64</v>
      </c>
      <c r="D241">
        <v>604</v>
      </c>
      <c r="E241" t="b">
        <v>1</v>
      </c>
      <c r="F241" t="b">
        <v>0</v>
      </c>
      <c r="G241" t="b">
        <v>1</v>
      </c>
      <c r="H241" t="s">
        <v>34</v>
      </c>
      <c r="I241" t="s">
        <v>26</v>
      </c>
      <c r="J241" t="s">
        <v>54</v>
      </c>
      <c r="K241" t="s">
        <v>37</v>
      </c>
      <c r="L241" t="s">
        <v>38</v>
      </c>
      <c r="M241" t="s">
        <v>46</v>
      </c>
      <c r="O241" t="b">
        <v>0</v>
      </c>
      <c r="P241" t="b">
        <v>1</v>
      </c>
      <c r="Q241">
        <v>6.7</v>
      </c>
      <c r="R241" t="b">
        <v>1</v>
      </c>
      <c r="S241" t="s">
        <v>40</v>
      </c>
      <c r="T241">
        <v>6.7</v>
      </c>
      <c r="U241">
        <v>48.63</v>
      </c>
      <c r="V241" t="b">
        <v>1</v>
      </c>
      <c r="W241" t="s">
        <v>41</v>
      </c>
    </row>
    <row r="242" spans="1:23" x14ac:dyDescent="0.25">
      <c r="A242" t="s">
        <v>61</v>
      </c>
      <c r="B242" t="s">
        <v>49</v>
      </c>
      <c r="C242">
        <v>62.35</v>
      </c>
      <c r="D242">
        <v>761</v>
      </c>
      <c r="E242" t="b">
        <v>1</v>
      </c>
      <c r="F242" t="b">
        <v>0</v>
      </c>
      <c r="G242" t="b">
        <v>0</v>
      </c>
      <c r="H242" t="s">
        <v>53</v>
      </c>
      <c r="I242" t="s">
        <v>35</v>
      </c>
      <c r="J242" t="s">
        <v>27</v>
      </c>
      <c r="K242" t="s">
        <v>46</v>
      </c>
      <c r="L242" t="s">
        <v>38</v>
      </c>
      <c r="M242" t="s">
        <v>47</v>
      </c>
      <c r="N242" t="s">
        <v>39</v>
      </c>
      <c r="O242" t="b">
        <v>1</v>
      </c>
      <c r="P242" t="b">
        <v>1</v>
      </c>
      <c r="Q242">
        <v>10</v>
      </c>
      <c r="R242" t="b">
        <v>1</v>
      </c>
      <c r="S242" t="s">
        <v>48</v>
      </c>
      <c r="T242">
        <v>30.8</v>
      </c>
      <c r="U242">
        <v>57.35</v>
      </c>
      <c r="V242" t="b">
        <v>0</v>
      </c>
      <c r="W242" t="s">
        <v>31</v>
      </c>
    </row>
    <row r="243" spans="1:23" x14ac:dyDescent="0.25">
      <c r="A243" t="s">
        <v>61</v>
      </c>
      <c r="B243" t="s">
        <v>71</v>
      </c>
      <c r="C243">
        <v>58.34</v>
      </c>
      <c r="D243">
        <v>427</v>
      </c>
      <c r="E243" t="b">
        <v>1</v>
      </c>
      <c r="F243" t="b">
        <v>0</v>
      </c>
      <c r="G243" t="b">
        <v>0</v>
      </c>
      <c r="H243" t="s">
        <v>53</v>
      </c>
      <c r="I243" t="s">
        <v>63</v>
      </c>
      <c r="J243" t="s">
        <v>54</v>
      </c>
      <c r="K243" t="s">
        <v>39</v>
      </c>
      <c r="L243" t="s">
        <v>37</v>
      </c>
      <c r="M243" t="s">
        <v>46</v>
      </c>
      <c r="N243" t="s">
        <v>39</v>
      </c>
      <c r="O243" t="b">
        <v>1</v>
      </c>
      <c r="P243" t="b">
        <v>0</v>
      </c>
      <c r="Q243">
        <v>8.4</v>
      </c>
      <c r="R243" t="b">
        <v>0</v>
      </c>
      <c r="T243">
        <v>0</v>
      </c>
      <c r="U243">
        <v>35.700000000000003</v>
      </c>
      <c r="V243" t="b">
        <v>0</v>
      </c>
      <c r="W243" t="s">
        <v>58</v>
      </c>
    </row>
    <row r="244" spans="1:23" x14ac:dyDescent="0.25">
      <c r="A244" t="s">
        <v>56</v>
      </c>
      <c r="B244" t="s">
        <v>24</v>
      </c>
      <c r="C244">
        <v>97.61</v>
      </c>
      <c r="D244">
        <v>102</v>
      </c>
      <c r="E244" t="b">
        <v>0</v>
      </c>
      <c r="F244" t="b">
        <v>0</v>
      </c>
      <c r="G244" t="b">
        <v>0</v>
      </c>
      <c r="H244" t="s">
        <v>53</v>
      </c>
      <c r="I244" t="s">
        <v>26</v>
      </c>
      <c r="J244" t="s">
        <v>27</v>
      </c>
      <c r="K244" t="s">
        <v>39</v>
      </c>
      <c r="L244" t="s">
        <v>69</v>
      </c>
      <c r="M244" t="s">
        <v>28</v>
      </c>
      <c r="N244" t="s">
        <v>46</v>
      </c>
      <c r="O244" t="b">
        <v>0</v>
      </c>
      <c r="P244" t="b">
        <v>0</v>
      </c>
      <c r="Q244">
        <v>9.5</v>
      </c>
      <c r="R244" t="b">
        <v>1</v>
      </c>
      <c r="S244" t="s">
        <v>30</v>
      </c>
      <c r="T244">
        <v>19.8</v>
      </c>
      <c r="U244">
        <v>100</v>
      </c>
      <c r="V244" t="b">
        <v>1</v>
      </c>
      <c r="W244" t="s">
        <v>31</v>
      </c>
    </row>
    <row r="245" spans="1:23" x14ac:dyDescent="0.25">
      <c r="A245" t="s">
        <v>32</v>
      </c>
      <c r="B245" t="s">
        <v>70</v>
      </c>
      <c r="C245">
        <v>81.849999999999994</v>
      </c>
      <c r="D245">
        <v>419</v>
      </c>
      <c r="E245" t="b">
        <v>1</v>
      </c>
      <c r="F245" t="b">
        <v>0</v>
      </c>
      <c r="G245" t="b">
        <v>1</v>
      </c>
      <c r="H245" t="s">
        <v>53</v>
      </c>
      <c r="I245" t="s">
        <v>44</v>
      </c>
      <c r="J245" t="s">
        <v>27</v>
      </c>
      <c r="K245" t="s">
        <v>37</v>
      </c>
      <c r="L245" t="s">
        <v>38</v>
      </c>
      <c r="M245" t="s">
        <v>47</v>
      </c>
      <c r="N245" t="s">
        <v>39</v>
      </c>
      <c r="O245" t="b">
        <v>1</v>
      </c>
      <c r="P245" t="b">
        <v>1</v>
      </c>
      <c r="Q245">
        <v>10</v>
      </c>
      <c r="R245" t="b">
        <v>0</v>
      </c>
      <c r="T245">
        <v>0</v>
      </c>
      <c r="U245">
        <v>70.78</v>
      </c>
      <c r="V245" t="b">
        <v>0</v>
      </c>
      <c r="W245" t="s">
        <v>58</v>
      </c>
    </row>
    <row r="246" spans="1:23" x14ac:dyDescent="0.25">
      <c r="A246" t="s">
        <v>32</v>
      </c>
      <c r="B246" t="s">
        <v>33</v>
      </c>
      <c r="C246">
        <v>76.849999999999994</v>
      </c>
      <c r="D246">
        <v>518</v>
      </c>
      <c r="E246" t="b">
        <v>1</v>
      </c>
      <c r="F246" t="b">
        <v>0</v>
      </c>
      <c r="G246" t="b">
        <v>1</v>
      </c>
      <c r="H246" t="s">
        <v>34</v>
      </c>
      <c r="I246" t="s">
        <v>35</v>
      </c>
      <c r="J246" t="s">
        <v>54</v>
      </c>
      <c r="K246" t="s">
        <v>37</v>
      </c>
      <c r="L246" t="s">
        <v>51</v>
      </c>
      <c r="M246" t="s">
        <v>39</v>
      </c>
      <c r="N246" t="s">
        <v>28</v>
      </c>
      <c r="O246" t="b">
        <v>0</v>
      </c>
      <c r="P246" t="b">
        <v>0</v>
      </c>
      <c r="Q246">
        <v>6.7</v>
      </c>
      <c r="R246" t="b">
        <v>0</v>
      </c>
      <c r="T246">
        <v>0</v>
      </c>
      <c r="U246">
        <v>66.400000000000006</v>
      </c>
      <c r="V246" t="b">
        <v>1</v>
      </c>
      <c r="W246" t="s">
        <v>31</v>
      </c>
    </row>
    <row r="247" spans="1:23" x14ac:dyDescent="0.25">
      <c r="A247" t="s">
        <v>56</v>
      </c>
      <c r="B247" t="s">
        <v>73</v>
      </c>
      <c r="C247">
        <v>62.3</v>
      </c>
      <c r="D247">
        <v>743</v>
      </c>
      <c r="E247" t="b">
        <v>1</v>
      </c>
      <c r="F247" t="b">
        <v>1</v>
      </c>
      <c r="G247" t="b">
        <v>0</v>
      </c>
      <c r="H247" t="s">
        <v>25</v>
      </c>
      <c r="I247" t="s">
        <v>67</v>
      </c>
      <c r="J247" t="s">
        <v>27</v>
      </c>
      <c r="K247" t="s">
        <v>46</v>
      </c>
      <c r="L247" t="s">
        <v>29</v>
      </c>
      <c r="M247" t="s">
        <v>28</v>
      </c>
      <c r="N247" t="s">
        <v>28</v>
      </c>
      <c r="O247" t="b">
        <v>0</v>
      </c>
      <c r="P247" t="b">
        <v>1</v>
      </c>
      <c r="Q247">
        <v>8.1</v>
      </c>
      <c r="R247" t="b">
        <v>0</v>
      </c>
      <c r="T247">
        <v>0</v>
      </c>
      <c r="U247">
        <v>54.64</v>
      </c>
      <c r="V247" t="b">
        <v>0</v>
      </c>
      <c r="W247" t="s">
        <v>58</v>
      </c>
    </row>
    <row r="248" spans="1:23" x14ac:dyDescent="0.25">
      <c r="A248" t="s">
        <v>32</v>
      </c>
      <c r="B248" t="s">
        <v>71</v>
      </c>
      <c r="C248">
        <v>52.89</v>
      </c>
      <c r="D248">
        <v>587</v>
      </c>
      <c r="E248" t="b">
        <v>1</v>
      </c>
      <c r="F248" t="b">
        <v>1</v>
      </c>
      <c r="G248" t="b">
        <v>1</v>
      </c>
      <c r="H248" t="s">
        <v>34</v>
      </c>
      <c r="I248" t="s">
        <v>44</v>
      </c>
      <c r="J248" t="s">
        <v>27</v>
      </c>
      <c r="K248" t="s">
        <v>39</v>
      </c>
      <c r="L248" t="s">
        <v>51</v>
      </c>
      <c r="M248" t="s">
        <v>28</v>
      </c>
      <c r="N248" t="s">
        <v>28</v>
      </c>
      <c r="O248" t="b">
        <v>0</v>
      </c>
      <c r="P248" t="b">
        <v>1</v>
      </c>
      <c r="Q248">
        <v>4.7</v>
      </c>
      <c r="R248" t="b">
        <v>1</v>
      </c>
      <c r="S248" t="s">
        <v>64</v>
      </c>
      <c r="T248">
        <v>24.7</v>
      </c>
      <c r="U248">
        <v>28.14</v>
      </c>
      <c r="V248" t="b">
        <v>1</v>
      </c>
      <c r="W248" t="s">
        <v>72</v>
      </c>
    </row>
    <row r="249" spans="1:23" x14ac:dyDescent="0.25">
      <c r="A249" t="s">
        <v>61</v>
      </c>
      <c r="B249" t="s">
        <v>66</v>
      </c>
      <c r="C249">
        <v>61.15</v>
      </c>
      <c r="D249">
        <v>251</v>
      </c>
      <c r="E249" t="b">
        <v>0</v>
      </c>
      <c r="F249" t="b">
        <v>1</v>
      </c>
      <c r="G249" t="b">
        <v>0</v>
      </c>
      <c r="H249" t="s">
        <v>34</v>
      </c>
      <c r="I249" t="s">
        <v>57</v>
      </c>
      <c r="J249" t="s">
        <v>50</v>
      </c>
      <c r="K249" t="s">
        <v>39</v>
      </c>
      <c r="L249" t="s">
        <v>29</v>
      </c>
      <c r="M249" t="s">
        <v>28</v>
      </c>
      <c r="N249" t="s">
        <v>28</v>
      </c>
      <c r="O249" t="b">
        <v>0</v>
      </c>
      <c r="P249" t="b">
        <v>1</v>
      </c>
      <c r="Q249">
        <v>5.8</v>
      </c>
      <c r="R249" t="b">
        <v>1</v>
      </c>
      <c r="S249" t="s">
        <v>48</v>
      </c>
      <c r="T249">
        <v>23.5</v>
      </c>
      <c r="U249">
        <v>60.87</v>
      </c>
      <c r="V249" t="b">
        <v>1</v>
      </c>
      <c r="W249" t="s">
        <v>41</v>
      </c>
    </row>
    <row r="250" spans="1:23" x14ac:dyDescent="0.25">
      <c r="A250" t="s">
        <v>68</v>
      </c>
      <c r="B250" t="s">
        <v>62</v>
      </c>
      <c r="C250">
        <v>51.53</v>
      </c>
      <c r="D250">
        <v>137</v>
      </c>
      <c r="E250" t="b">
        <v>0</v>
      </c>
      <c r="F250" t="b">
        <v>1</v>
      </c>
      <c r="G250" t="b">
        <v>1</v>
      </c>
      <c r="H250" t="s">
        <v>34</v>
      </c>
      <c r="I250" t="s">
        <v>63</v>
      </c>
      <c r="J250" t="s">
        <v>27</v>
      </c>
      <c r="K250" t="s">
        <v>37</v>
      </c>
      <c r="L250" t="s">
        <v>69</v>
      </c>
      <c r="M250" t="s">
        <v>28</v>
      </c>
      <c r="N250" t="s">
        <v>28</v>
      </c>
      <c r="O250" t="b">
        <v>0</v>
      </c>
      <c r="P250" t="b">
        <v>0</v>
      </c>
      <c r="Q250">
        <v>5.2</v>
      </c>
      <c r="R250" t="b">
        <v>0</v>
      </c>
      <c r="T250">
        <v>0</v>
      </c>
      <c r="U250">
        <v>61.69</v>
      </c>
      <c r="V250" t="b">
        <v>1</v>
      </c>
      <c r="W250" t="s">
        <v>41</v>
      </c>
    </row>
    <row r="251" spans="1:23" x14ac:dyDescent="0.25">
      <c r="A251" t="s">
        <v>32</v>
      </c>
      <c r="B251" t="s">
        <v>42</v>
      </c>
      <c r="C251">
        <v>68.59</v>
      </c>
      <c r="D251">
        <v>770</v>
      </c>
      <c r="E251" t="b">
        <v>1</v>
      </c>
      <c r="F251" t="b">
        <v>1</v>
      </c>
      <c r="G251" t="b">
        <v>0</v>
      </c>
      <c r="H251" t="s">
        <v>25</v>
      </c>
      <c r="I251" t="s">
        <v>67</v>
      </c>
      <c r="J251" t="s">
        <v>45</v>
      </c>
      <c r="K251" t="s">
        <v>46</v>
      </c>
      <c r="L251" t="s">
        <v>69</v>
      </c>
      <c r="M251" t="s">
        <v>46</v>
      </c>
      <c r="O251" t="b">
        <v>1</v>
      </c>
      <c r="P251" t="b">
        <v>1</v>
      </c>
      <c r="Q251">
        <v>10</v>
      </c>
      <c r="R251" t="b">
        <v>1</v>
      </c>
      <c r="S251" t="s">
        <v>40</v>
      </c>
      <c r="T251">
        <v>17.399999999999999</v>
      </c>
      <c r="U251">
        <v>61.25</v>
      </c>
      <c r="V251" t="b">
        <v>0</v>
      </c>
      <c r="W251" t="s">
        <v>31</v>
      </c>
    </row>
    <row r="252" spans="1:23" x14ac:dyDescent="0.25">
      <c r="A252" t="s">
        <v>32</v>
      </c>
      <c r="B252" t="s">
        <v>73</v>
      </c>
      <c r="C252">
        <v>60.64</v>
      </c>
      <c r="D252">
        <v>225</v>
      </c>
      <c r="E252" t="b">
        <v>1</v>
      </c>
      <c r="F252" t="b">
        <v>1</v>
      </c>
      <c r="G252" t="b">
        <v>1</v>
      </c>
      <c r="H252" t="s">
        <v>43</v>
      </c>
      <c r="I252" t="s">
        <v>63</v>
      </c>
      <c r="J252" t="s">
        <v>45</v>
      </c>
      <c r="K252" t="s">
        <v>37</v>
      </c>
      <c r="L252" t="s">
        <v>69</v>
      </c>
      <c r="M252" t="s">
        <v>46</v>
      </c>
      <c r="O252" t="b">
        <v>1</v>
      </c>
      <c r="P252" t="b">
        <v>1</v>
      </c>
      <c r="Q252">
        <v>9.3000000000000007</v>
      </c>
      <c r="R252" t="b">
        <v>1</v>
      </c>
      <c r="S252" t="s">
        <v>40</v>
      </c>
      <c r="T252">
        <v>17.2</v>
      </c>
      <c r="U252">
        <v>56.16</v>
      </c>
      <c r="V252" t="b">
        <v>0</v>
      </c>
      <c r="W252" t="s">
        <v>31</v>
      </c>
    </row>
    <row r="253" spans="1:23" x14ac:dyDescent="0.25">
      <c r="A253" t="s">
        <v>56</v>
      </c>
      <c r="B253" t="s">
        <v>73</v>
      </c>
      <c r="C253">
        <v>52.01</v>
      </c>
      <c r="D253">
        <v>199</v>
      </c>
      <c r="E253" t="b">
        <v>0</v>
      </c>
      <c r="F253" t="b">
        <v>0</v>
      </c>
      <c r="G253" t="b">
        <v>0</v>
      </c>
      <c r="H253" t="s">
        <v>34</v>
      </c>
      <c r="I253" t="s">
        <v>35</v>
      </c>
      <c r="J253" t="s">
        <v>50</v>
      </c>
      <c r="K253" t="s">
        <v>39</v>
      </c>
      <c r="L253" t="s">
        <v>69</v>
      </c>
      <c r="M253" t="s">
        <v>47</v>
      </c>
      <c r="N253" t="s">
        <v>28</v>
      </c>
      <c r="P253" t="b">
        <v>1</v>
      </c>
      <c r="Q253">
        <v>5.0999999999999996</v>
      </c>
      <c r="R253" t="b">
        <v>1</v>
      </c>
      <c r="S253" t="s">
        <v>48</v>
      </c>
      <c r="T253">
        <v>19.2</v>
      </c>
      <c r="U253">
        <v>53.75</v>
      </c>
      <c r="V253" t="b">
        <v>1</v>
      </c>
      <c r="W253" t="s">
        <v>41</v>
      </c>
    </row>
    <row r="254" spans="1:23" x14ac:dyDescent="0.25">
      <c r="A254" t="s">
        <v>61</v>
      </c>
      <c r="B254" t="s">
        <v>24</v>
      </c>
      <c r="C254">
        <v>87.14</v>
      </c>
      <c r="D254">
        <v>361</v>
      </c>
      <c r="E254" t="b">
        <v>0</v>
      </c>
      <c r="F254" t="b">
        <v>0</v>
      </c>
      <c r="G254" t="b">
        <v>1</v>
      </c>
      <c r="H254" t="s">
        <v>34</v>
      </c>
      <c r="I254" t="s">
        <v>26</v>
      </c>
      <c r="J254" t="s">
        <v>36</v>
      </c>
      <c r="K254" t="s">
        <v>39</v>
      </c>
      <c r="L254" t="s">
        <v>69</v>
      </c>
      <c r="M254" t="s">
        <v>39</v>
      </c>
      <c r="N254" t="s">
        <v>46</v>
      </c>
      <c r="O254" t="b">
        <v>1</v>
      </c>
      <c r="P254" t="b">
        <v>1</v>
      </c>
      <c r="Q254">
        <v>10</v>
      </c>
      <c r="R254" t="b">
        <v>1</v>
      </c>
      <c r="S254" t="s">
        <v>65</v>
      </c>
      <c r="T254">
        <v>11</v>
      </c>
      <c r="U254">
        <v>82.56</v>
      </c>
      <c r="V254" t="b">
        <v>1</v>
      </c>
      <c r="W254" t="s">
        <v>31</v>
      </c>
    </row>
    <row r="255" spans="1:23" x14ac:dyDescent="0.25">
      <c r="A255" t="s">
        <v>23</v>
      </c>
      <c r="B255" t="s">
        <v>73</v>
      </c>
      <c r="C255">
        <v>53.81</v>
      </c>
      <c r="D255">
        <v>93</v>
      </c>
      <c r="E255" t="b">
        <v>1</v>
      </c>
      <c r="F255" t="b">
        <v>1</v>
      </c>
      <c r="G255" t="b">
        <v>0</v>
      </c>
      <c r="H255" t="s">
        <v>53</v>
      </c>
      <c r="I255" t="s">
        <v>44</v>
      </c>
      <c r="J255" t="s">
        <v>36</v>
      </c>
      <c r="K255" t="s">
        <v>46</v>
      </c>
      <c r="L255" t="s">
        <v>69</v>
      </c>
      <c r="M255" t="s">
        <v>39</v>
      </c>
      <c r="N255" t="s">
        <v>28</v>
      </c>
      <c r="O255" t="b">
        <v>0</v>
      </c>
      <c r="P255" t="b">
        <v>1</v>
      </c>
      <c r="Q255">
        <v>6.3</v>
      </c>
      <c r="R255" t="b">
        <v>1</v>
      </c>
      <c r="S255" t="s">
        <v>40</v>
      </c>
      <c r="T255">
        <v>26.9</v>
      </c>
      <c r="U255">
        <v>50.1</v>
      </c>
      <c r="V255" t="b">
        <v>1</v>
      </c>
      <c r="W255" t="s">
        <v>41</v>
      </c>
    </row>
    <row r="256" spans="1:23" x14ac:dyDescent="0.25">
      <c r="A256" t="s">
        <v>56</v>
      </c>
      <c r="B256" t="s">
        <v>62</v>
      </c>
      <c r="C256">
        <v>50.93</v>
      </c>
      <c r="D256">
        <v>236</v>
      </c>
      <c r="E256" t="b">
        <v>1</v>
      </c>
      <c r="F256" t="b">
        <v>0</v>
      </c>
      <c r="G256" t="b">
        <v>0</v>
      </c>
      <c r="H256" t="s">
        <v>43</v>
      </c>
      <c r="I256" t="s">
        <v>57</v>
      </c>
      <c r="J256" t="s">
        <v>54</v>
      </c>
      <c r="K256" t="s">
        <v>39</v>
      </c>
      <c r="L256" t="s">
        <v>51</v>
      </c>
      <c r="M256" t="s">
        <v>46</v>
      </c>
      <c r="O256" t="b">
        <v>1</v>
      </c>
      <c r="P256" t="b">
        <v>1</v>
      </c>
      <c r="Q256">
        <v>7.3</v>
      </c>
      <c r="R256" t="b">
        <v>1</v>
      </c>
      <c r="S256" t="s">
        <v>55</v>
      </c>
      <c r="T256">
        <v>36.9</v>
      </c>
      <c r="U256">
        <v>47.97</v>
      </c>
      <c r="V256" t="b">
        <v>0</v>
      </c>
      <c r="W256" t="s">
        <v>41</v>
      </c>
    </row>
    <row r="257" spans="1:23" x14ac:dyDescent="0.25">
      <c r="A257" t="s">
        <v>68</v>
      </c>
      <c r="B257" t="s">
        <v>70</v>
      </c>
      <c r="C257">
        <v>72.27</v>
      </c>
      <c r="D257">
        <v>786</v>
      </c>
      <c r="E257" t="b">
        <v>0</v>
      </c>
      <c r="F257" t="b">
        <v>1</v>
      </c>
      <c r="G257" t="b">
        <v>0</v>
      </c>
      <c r="H257" t="s">
        <v>43</v>
      </c>
      <c r="I257" t="s">
        <v>57</v>
      </c>
      <c r="J257" t="s">
        <v>50</v>
      </c>
      <c r="K257" t="s">
        <v>28</v>
      </c>
      <c r="L257" t="s">
        <v>37</v>
      </c>
      <c r="M257" t="s">
        <v>28</v>
      </c>
      <c r="N257" t="s">
        <v>28</v>
      </c>
      <c r="P257" t="b">
        <v>0</v>
      </c>
      <c r="Q257">
        <v>8</v>
      </c>
      <c r="R257" t="b">
        <v>1</v>
      </c>
      <c r="S257" t="s">
        <v>64</v>
      </c>
      <c r="T257">
        <v>12.9</v>
      </c>
      <c r="U257">
        <v>80.319999999999993</v>
      </c>
      <c r="V257" t="b">
        <v>1</v>
      </c>
      <c r="W257" t="s">
        <v>31</v>
      </c>
    </row>
    <row r="258" spans="1:23" x14ac:dyDescent="0.25">
      <c r="A258" t="s">
        <v>32</v>
      </c>
      <c r="B258" t="s">
        <v>42</v>
      </c>
      <c r="C258">
        <v>66.150000000000006</v>
      </c>
      <c r="D258">
        <v>329</v>
      </c>
      <c r="E258" t="b">
        <v>1</v>
      </c>
      <c r="F258" t="b">
        <v>0</v>
      </c>
      <c r="G258" t="b">
        <v>0</v>
      </c>
      <c r="H258" t="s">
        <v>43</v>
      </c>
      <c r="I258" t="s">
        <v>26</v>
      </c>
      <c r="J258" t="s">
        <v>45</v>
      </c>
      <c r="K258" t="s">
        <v>28</v>
      </c>
      <c r="L258" t="s">
        <v>37</v>
      </c>
      <c r="M258" t="s">
        <v>47</v>
      </c>
      <c r="N258" t="s">
        <v>46</v>
      </c>
      <c r="P258" t="b">
        <v>1</v>
      </c>
      <c r="Q258">
        <v>7.7</v>
      </c>
      <c r="R258" t="b">
        <v>1</v>
      </c>
      <c r="S258" t="s">
        <v>64</v>
      </c>
      <c r="T258">
        <v>43.8</v>
      </c>
      <c r="U258">
        <v>52.29</v>
      </c>
      <c r="V258" t="b">
        <v>0</v>
      </c>
      <c r="W258" t="s">
        <v>41</v>
      </c>
    </row>
    <row r="259" spans="1:23" x14ac:dyDescent="0.25">
      <c r="A259" t="s">
        <v>56</v>
      </c>
      <c r="B259" t="s">
        <v>60</v>
      </c>
      <c r="C259">
        <v>64.88</v>
      </c>
      <c r="D259">
        <v>691</v>
      </c>
      <c r="E259" t="b">
        <v>1</v>
      </c>
      <c r="F259" t="b">
        <v>1</v>
      </c>
      <c r="G259" t="b">
        <v>1</v>
      </c>
      <c r="H259" t="s">
        <v>34</v>
      </c>
      <c r="I259" t="s">
        <v>35</v>
      </c>
      <c r="J259" t="s">
        <v>50</v>
      </c>
      <c r="K259" t="s">
        <v>37</v>
      </c>
      <c r="L259" t="s">
        <v>37</v>
      </c>
      <c r="M259" t="s">
        <v>47</v>
      </c>
      <c r="N259" t="s">
        <v>46</v>
      </c>
      <c r="O259" t="b">
        <v>0</v>
      </c>
      <c r="P259" t="b">
        <v>1</v>
      </c>
      <c r="Q259">
        <v>5.2</v>
      </c>
      <c r="R259" t="b">
        <v>1</v>
      </c>
      <c r="S259" t="s">
        <v>40</v>
      </c>
      <c r="T259">
        <v>8.6999999999999993</v>
      </c>
      <c r="U259">
        <v>58.25</v>
      </c>
      <c r="V259" t="b">
        <v>1</v>
      </c>
      <c r="W259" t="s">
        <v>41</v>
      </c>
    </row>
    <row r="260" spans="1:23" x14ac:dyDescent="0.25">
      <c r="A260" t="s">
        <v>74</v>
      </c>
      <c r="B260" t="s">
        <v>66</v>
      </c>
      <c r="C260">
        <v>68.86</v>
      </c>
      <c r="D260">
        <v>197</v>
      </c>
      <c r="E260" t="b">
        <v>0</v>
      </c>
      <c r="F260" t="b">
        <v>0</v>
      </c>
      <c r="G260" t="b">
        <v>1</v>
      </c>
      <c r="H260" t="s">
        <v>43</v>
      </c>
      <c r="I260" t="s">
        <v>35</v>
      </c>
      <c r="J260" t="s">
        <v>54</v>
      </c>
      <c r="K260" t="s">
        <v>39</v>
      </c>
      <c r="L260" t="s">
        <v>29</v>
      </c>
      <c r="M260" t="s">
        <v>28</v>
      </c>
      <c r="N260" t="s">
        <v>39</v>
      </c>
      <c r="O260" t="b">
        <v>0</v>
      </c>
      <c r="P260" t="b">
        <v>0</v>
      </c>
      <c r="Q260">
        <v>6.5</v>
      </c>
      <c r="R260" t="b">
        <v>0</v>
      </c>
      <c r="T260">
        <v>0</v>
      </c>
      <c r="U260">
        <v>70.97</v>
      </c>
      <c r="V260" t="b">
        <v>1</v>
      </c>
      <c r="W260" t="s">
        <v>31</v>
      </c>
    </row>
    <row r="261" spans="1:23" x14ac:dyDescent="0.25">
      <c r="A261" t="s">
        <v>23</v>
      </c>
      <c r="B261" t="s">
        <v>33</v>
      </c>
      <c r="C261">
        <v>84.52</v>
      </c>
      <c r="D261">
        <v>583</v>
      </c>
      <c r="E261" t="b">
        <v>0</v>
      </c>
      <c r="F261" t="b">
        <v>1</v>
      </c>
      <c r="G261" t="b">
        <v>1</v>
      </c>
      <c r="H261" t="s">
        <v>34</v>
      </c>
      <c r="I261" t="s">
        <v>35</v>
      </c>
      <c r="J261" t="s">
        <v>50</v>
      </c>
      <c r="K261" t="s">
        <v>46</v>
      </c>
      <c r="L261" t="s">
        <v>69</v>
      </c>
      <c r="M261" t="s">
        <v>28</v>
      </c>
      <c r="O261" t="b">
        <v>1</v>
      </c>
      <c r="P261" t="b">
        <v>0</v>
      </c>
      <c r="Q261">
        <v>10</v>
      </c>
      <c r="R261" t="b">
        <v>0</v>
      </c>
      <c r="T261">
        <v>0</v>
      </c>
      <c r="U261">
        <v>96.1</v>
      </c>
      <c r="V261" t="b">
        <v>1</v>
      </c>
      <c r="W261" t="s">
        <v>58</v>
      </c>
    </row>
    <row r="262" spans="1:23" x14ac:dyDescent="0.25">
      <c r="A262" t="s">
        <v>61</v>
      </c>
      <c r="B262" t="s">
        <v>59</v>
      </c>
      <c r="C262">
        <v>76.75</v>
      </c>
      <c r="D262">
        <v>398</v>
      </c>
      <c r="E262" t="b">
        <v>0</v>
      </c>
      <c r="F262" t="b">
        <v>0</v>
      </c>
      <c r="G262" t="b">
        <v>0</v>
      </c>
      <c r="H262" t="s">
        <v>25</v>
      </c>
      <c r="I262" t="s">
        <v>35</v>
      </c>
      <c r="J262" t="s">
        <v>36</v>
      </c>
      <c r="K262" t="s">
        <v>28</v>
      </c>
      <c r="L262" t="s">
        <v>69</v>
      </c>
      <c r="M262" t="s">
        <v>47</v>
      </c>
      <c r="N262" t="s">
        <v>28</v>
      </c>
      <c r="P262" t="b">
        <v>1</v>
      </c>
      <c r="Q262">
        <v>8.5</v>
      </c>
      <c r="R262" t="b">
        <v>1</v>
      </c>
      <c r="S262" t="s">
        <v>40</v>
      </c>
      <c r="T262">
        <v>25.7</v>
      </c>
      <c r="U262">
        <v>87.68</v>
      </c>
      <c r="V262" t="b">
        <v>1</v>
      </c>
      <c r="W262" t="s">
        <v>31</v>
      </c>
    </row>
    <row r="263" spans="1:23" x14ac:dyDescent="0.25">
      <c r="A263" t="s">
        <v>74</v>
      </c>
      <c r="B263" t="s">
        <v>73</v>
      </c>
      <c r="C263">
        <v>60.64</v>
      </c>
      <c r="D263">
        <v>406</v>
      </c>
      <c r="E263" t="b">
        <v>0</v>
      </c>
      <c r="F263" t="b">
        <v>1</v>
      </c>
      <c r="G263" t="b">
        <v>0</v>
      </c>
      <c r="H263" t="s">
        <v>25</v>
      </c>
      <c r="I263" t="s">
        <v>26</v>
      </c>
      <c r="J263" t="s">
        <v>54</v>
      </c>
      <c r="K263" t="s">
        <v>39</v>
      </c>
      <c r="L263" t="s">
        <v>69</v>
      </c>
      <c r="M263" t="s">
        <v>28</v>
      </c>
      <c r="N263" t="s">
        <v>39</v>
      </c>
      <c r="O263" t="b">
        <v>0</v>
      </c>
      <c r="P263" t="b">
        <v>0</v>
      </c>
      <c r="Q263">
        <v>6</v>
      </c>
      <c r="R263" t="b">
        <v>0</v>
      </c>
      <c r="T263">
        <v>0</v>
      </c>
      <c r="U263">
        <v>59.28</v>
      </c>
      <c r="V263" t="b">
        <v>1</v>
      </c>
      <c r="W263" t="s">
        <v>31</v>
      </c>
    </row>
    <row r="264" spans="1:23" x14ac:dyDescent="0.25">
      <c r="A264" t="s">
        <v>32</v>
      </c>
      <c r="B264" t="s">
        <v>33</v>
      </c>
      <c r="C264">
        <v>87.38</v>
      </c>
      <c r="D264">
        <v>746</v>
      </c>
      <c r="E264" t="b">
        <v>1</v>
      </c>
      <c r="F264" t="b">
        <v>0</v>
      </c>
      <c r="G264" t="b">
        <v>1</v>
      </c>
      <c r="H264" t="s">
        <v>25</v>
      </c>
      <c r="I264" t="s">
        <v>35</v>
      </c>
      <c r="J264" t="s">
        <v>50</v>
      </c>
      <c r="K264" t="s">
        <v>46</v>
      </c>
      <c r="L264" t="s">
        <v>51</v>
      </c>
      <c r="M264" t="s">
        <v>39</v>
      </c>
      <c r="N264" t="s">
        <v>28</v>
      </c>
      <c r="O264" t="b">
        <v>0</v>
      </c>
      <c r="P264" t="b">
        <v>1</v>
      </c>
      <c r="Q264">
        <v>8.5</v>
      </c>
      <c r="R264" t="b">
        <v>0</v>
      </c>
      <c r="T264">
        <v>0</v>
      </c>
      <c r="U264">
        <v>93.22</v>
      </c>
      <c r="V264" t="b">
        <v>1</v>
      </c>
      <c r="W264" t="s">
        <v>58</v>
      </c>
    </row>
    <row r="265" spans="1:23" x14ac:dyDescent="0.25">
      <c r="A265" t="s">
        <v>32</v>
      </c>
      <c r="B265" t="s">
        <v>42</v>
      </c>
      <c r="C265">
        <v>83.34</v>
      </c>
      <c r="D265">
        <v>62</v>
      </c>
      <c r="E265" t="b">
        <v>0</v>
      </c>
      <c r="F265" t="b">
        <v>0</v>
      </c>
      <c r="G265" t="b">
        <v>1</v>
      </c>
      <c r="H265" t="s">
        <v>25</v>
      </c>
      <c r="I265" t="s">
        <v>57</v>
      </c>
      <c r="J265" t="s">
        <v>36</v>
      </c>
      <c r="K265" t="s">
        <v>46</v>
      </c>
      <c r="L265" t="s">
        <v>69</v>
      </c>
      <c r="M265" t="s">
        <v>47</v>
      </c>
      <c r="N265" t="s">
        <v>46</v>
      </c>
      <c r="O265" t="b">
        <v>1</v>
      </c>
      <c r="P265" t="b">
        <v>1</v>
      </c>
      <c r="Q265">
        <v>10</v>
      </c>
      <c r="R265" t="b">
        <v>0</v>
      </c>
      <c r="T265">
        <v>0</v>
      </c>
      <c r="U265">
        <v>73.23</v>
      </c>
      <c r="V265" t="b">
        <v>0</v>
      </c>
      <c r="W265" t="s">
        <v>58</v>
      </c>
    </row>
    <row r="266" spans="1:23" x14ac:dyDescent="0.25">
      <c r="A266" t="s">
        <v>23</v>
      </c>
      <c r="B266" t="s">
        <v>62</v>
      </c>
      <c r="C266">
        <v>55.52</v>
      </c>
      <c r="D266">
        <v>518</v>
      </c>
      <c r="E266" t="b">
        <v>0</v>
      </c>
      <c r="F266" t="b">
        <v>0</v>
      </c>
      <c r="G266" t="b">
        <v>0</v>
      </c>
      <c r="H266" t="s">
        <v>43</v>
      </c>
      <c r="I266" t="s">
        <v>63</v>
      </c>
      <c r="J266" t="s">
        <v>36</v>
      </c>
      <c r="K266" t="s">
        <v>46</v>
      </c>
      <c r="L266" t="s">
        <v>69</v>
      </c>
      <c r="M266" t="s">
        <v>47</v>
      </c>
      <c r="P266" t="b">
        <v>1</v>
      </c>
      <c r="Q266">
        <v>5.8</v>
      </c>
      <c r="R266" t="b">
        <v>1</v>
      </c>
      <c r="S266" t="s">
        <v>30</v>
      </c>
      <c r="T266">
        <v>30.1</v>
      </c>
      <c r="U266">
        <v>42.64</v>
      </c>
      <c r="V266" t="b">
        <v>1</v>
      </c>
      <c r="W266" t="s">
        <v>41</v>
      </c>
    </row>
    <row r="267" spans="1:23" x14ac:dyDescent="0.25">
      <c r="A267" t="s">
        <v>61</v>
      </c>
      <c r="B267" t="s">
        <v>59</v>
      </c>
      <c r="C267">
        <v>92.5</v>
      </c>
      <c r="D267">
        <v>586</v>
      </c>
      <c r="E267" t="b">
        <v>0</v>
      </c>
      <c r="F267" t="b">
        <v>1</v>
      </c>
      <c r="G267" t="b">
        <v>1</v>
      </c>
      <c r="H267" t="s">
        <v>43</v>
      </c>
      <c r="I267" t="s">
        <v>57</v>
      </c>
      <c r="J267" t="s">
        <v>45</v>
      </c>
      <c r="K267" t="s">
        <v>28</v>
      </c>
      <c r="L267" t="s">
        <v>38</v>
      </c>
      <c r="M267" t="s">
        <v>39</v>
      </c>
      <c r="O267" t="b">
        <v>1</v>
      </c>
      <c r="P267" t="b">
        <v>0</v>
      </c>
      <c r="Q267">
        <v>10</v>
      </c>
      <c r="R267" t="b">
        <v>1</v>
      </c>
      <c r="S267" t="s">
        <v>64</v>
      </c>
      <c r="T267">
        <v>18.2</v>
      </c>
      <c r="U267">
        <v>97.46</v>
      </c>
      <c r="V267" t="b">
        <v>1</v>
      </c>
      <c r="W267" t="s">
        <v>31</v>
      </c>
    </row>
    <row r="268" spans="1:23" x14ac:dyDescent="0.25">
      <c r="A268" t="s">
        <v>74</v>
      </c>
      <c r="B268" t="s">
        <v>73</v>
      </c>
      <c r="C268">
        <v>59.16</v>
      </c>
      <c r="D268">
        <v>697</v>
      </c>
      <c r="E268" t="b">
        <v>0</v>
      </c>
      <c r="F268" t="b">
        <v>0</v>
      </c>
      <c r="G268" t="b">
        <v>1</v>
      </c>
      <c r="H268" t="s">
        <v>43</v>
      </c>
      <c r="I268" t="s">
        <v>63</v>
      </c>
      <c r="J268" t="s">
        <v>50</v>
      </c>
      <c r="K268" t="s">
        <v>46</v>
      </c>
      <c r="L268" t="s">
        <v>37</v>
      </c>
      <c r="M268" t="s">
        <v>46</v>
      </c>
      <c r="N268" t="s">
        <v>28</v>
      </c>
      <c r="O268" t="b">
        <v>1</v>
      </c>
      <c r="P268" t="b">
        <v>0</v>
      </c>
      <c r="Q268">
        <v>7.4</v>
      </c>
      <c r="R268" t="b">
        <v>1</v>
      </c>
      <c r="S268" t="s">
        <v>52</v>
      </c>
      <c r="T268">
        <v>24.1</v>
      </c>
      <c r="U268">
        <v>51.53</v>
      </c>
      <c r="V268" t="b">
        <v>0</v>
      </c>
      <c r="W268" t="s">
        <v>41</v>
      </c>
    </row>
    <row r="269" spans="1:23" x14ac:dyDescent="0.25">
      <c r="A269" t="s">
        <v>74</v>
      </c>
      <c r="B269" t="s">
        <v>24</v>
      </c>
      <c r="C269">
        <v>85.28</v>
      </c>
      <c r="D269">
        <v>756</v>
      </c>
      <c r="E269" t="b">
        <v>1</v>
      </c>
      <c r="F269" t="b">
        <v>0</v>
      </c>
      <c r="G269" t="b">
        <v>1</v>
      </c>
      <c r="H269" t="s">
        <v>34</v>
      </c>
      <c r="I269" t="s">
        <v>63</v>
      </c>
      <c r="J269" t="s">
        <v>50</v>
      </c>
      <c r="K269" t="s">
        <v>28</v>
      </c>
      <c r="L269" t="s">
        <v>29</v>
      </c>
      <c r="M269" t="s">
        <v>39</v>
      </c>
      <c r="P269" t="b">
        <v>0</v>
      </c>
      <c r="Q269">
        <v>10</v>
      </c>
      <c r="R269" t="b">
        <v>1</v>
      </c>
      <c r="S269" t="s">
        <v>48</v>
      </c>
      <c r="T269">
        <v>39.200000000000003</v>
      </c>
      <c r="U269">
        <v>92.47</v>
      </c>
      <c r="V269" t="b">
        <v>1</v>
      </c>
      <c r="W269" t="s">
        <v>31</v>
      </c>
    </row>
    <row r="270" spans="1:23" x14ac:dyDescent="0.25">
      <c r="A270" t="s">
        <v>74</v>
      </c>
      <c r="B270" t="s">
        <v>70</v>
      </c>
      <c r="C270">
        <v>71.319999999999993</v>
      </c>
      <c r="D270">
        <v>245</v>
      </c>
      <c r="E270" t="b">
        <v>1</v>
      </c>
      <c r="F270" t="b">
        <v>0</v>
      </c>
      <c r="G270" t="b">
        <v>0</v>
      </c>
      <c r="H270" t="s">
        <v>34</v>
      </c>
      <c r="I270" t="s">
        <v>67</v>
      </c>
      <c r="J270" t="s">
        <v>50</v>
      </c>
      <c r="K270" t="s">
        <v>37</v>
      </c>
      <c r="L270" t="s">
        <v>69</v>
      </c>
      <c r="M270" t="s">
        <v>46</v>
      </c>
      <c r="N270" t="s">
        <v>46</v>
      </c>
      <c r="O270" t="b">
        <v>0</v>
      </c>
      <c r="P270" t="b">
        <v>0</v>
      </c>
      <c r="Q270">
        <v>8.6</v>
      </c>
      <c r="R270" t="b">
        <v>0</v>
      </c>
      <c r="T270">
        <v>0</v>
      </c>
      <c r="U270">
        <v>75.89</v>
      </c>
      <c r="V270" t="b">
        <v>1</v>
      </c>
      <c r="W270" t="s">
        <v>58</v>
      </c>
    </row>
    <row r="271" spans="1:23" x14ac:dyDescent="0.25">
      <c r="A271" t="s">
        <v>56</v>
      </c>
      <c r="B271" t="s">
        <v>60</v>
      </c>
      <c r="C271">
        <v>61.78</v>
      </c>
      <c r="D271">
        <v>589</v>
      </c>
      <c r="E271" t="b">
        <v>0</v>
      </c>
      <c r="F271" t="b">
        <v>1</v>
      </c>
      <c r="G271" t="b">
        <v>0</v>
      </c>
      <c r="H271" t="s">
        <v>43</v>
      </c>
      <c r="I271" t="s">
        <v>35</v>
      </c>
      <c r="J271" t="s">
        <v>54</v>
      </c>
      <c r="K271" t="s">
        <v>37</v>
      </c>
      <c r="L271" t="s">
        <v>38</v>
      </c>
      <c r="M271" t="s">
        <v>46</v>
      </c>
      <c r="N271" t="s">
        <v>39</v>
      </c>
      <c r="O271" t="b">
        <v>0</v>
      </c>
      <c r="P271" t="b">
        <v>0</v>
      </c>
      <c r="Q271">
        <v>5.6</v>
      </c>
      <c r="R271" t="b">
        <v>1</v>
      </c>
      <c r="S271" t="s">
        <v>65</v>
      </c>
      <c r="T271">
        <v>3.9</v>
      </c>
      <c r="U271">
        <v>65.150000000000006</v>
      </c>
      <c r="V271" t="b">
        <v>1</v>
      </c>
      <c r="W271" t="s">
        <v>41</v>
      </c>
    </row>
    <row r="272" spans="1:23" x14ac:dyDescent="0.25">
      <c r="A272" t="s">
        <v>61</v>
      </c>
      <c r="B272" t="s">
        <v>76</v>
      </c>
      <c r="C272">
        <v>74.97</v>
      </c>
      <c r="D272">
        <v>695</v>
      </c>
      <c r="E272" t="b">
        <v>0</v>
      </c>
      <c r="F272" t="b">
        <v>0</v>
      </c>
      <c r="G272" t="b">
        <v>1</v>
      </c>
      <c r="H272" t="s">
        <v>34</v>
      </c>
      <c r="I272" t="s">
        <v>63</v>
      </c>
      <c r="J272" t="s">
        <v>27</v>
      </c>
      <c r="K272" t="s">
        <v>37</v>
      </c>
      <c r="L272" t="s">
        <v>69</v>
      </c>
      <c r="M272" t="s">
        <v>47</v>
      </c>
      <c r="O272" t="b">
        <v>1</v>
      </c>
      <c r="P272" t="b">
        <v>1</v>
      </c>
      <c r="Q272">
        <v>9</v>
      </c>
      <c r="R272" t="b">
        <v>1</v>
      </c>
      <c r="S272" t="s">
        <v>40</v>
      </c>
      <c r="T272">
        <v>12.3</v>
      </c>
      <c r="U272">
        <v>62.72</v>
      </c>
      <c r="V272" t="b">
        <v>0</v>
      </c>
      <c r="W272" t="s">
        <v>31</v>
      </c>
    </row>
    <row r="273" spans="1:23" x14ac:dyDescent="0.25">
      <c r="A273" t="s">
        <v>23</v>
      </c>
      <c r="B273" t="s">
        <v>62</v>
      </c>
      <c r="C273">
        <v>71.22</v>
      </c>
      <c r="D273">
        <v>461</v>
      </c>
      <c r="E273" t="b">
        <v>0</v>
      </c>
      <c r="F273" t="b">
        <v>1</v>
      </c>
      <c r="G273" t="b">
        <v>1</v>
      </c>
      <c r="H273" t="s">
        <v>53</v>
      </c>
      <c r="I273" t="s">
        <v>63</v>
      </c>
      <c r="J273" t="s">
        <v>36</v>
      </c>
      <c r="K273" t="s">
        <v>46</v>
      </c>
      <c r="L273" t="s">
        <v>29</v>
      </c>
      <c r="M273" t="s">
        <v>39</v>
      </c>
      <c r="P273" t="b">
        <v>0</v>
      </c>
      <c r="Q273">
        <v>6.6</v>
      </c>
      <c r="R273" t="b">
        <v>1</v>
      </c>
      <c r="S273" t="s">
        <v>40</v>
      </c>
      <c r="T273">
        <v>32.6</v>
      </c>
      <c r="U273">
        <v>78.3</v>
      </c>
      <c r="V273" t="b">
        <v>1</v>
      </c>
      <c r="W273" t="s">
        <v>41</v>
      </c>
    </row>
    <row r="274" spans="1:23" x14ac:dyDescent="0.25">
      <c r="A274" t="s">
        <v>23</v>
      </c>
      <c r="B274" t="s">
        <v>33</v>
      </c>
      <c r="C274">
        <v>85.84</v>
      </c>
      <c r="D274">
        <v>686</v>
      </c>
      <c r="E274" t="b">
        <v>1</v>
      </c>
      <c r="F274" t="b">
        <v>1</v>
      </c>
      <c r="G274" t="b">
        <v>1</v>
      </c>
      <c r="H274" t="s">
        <v>34</v>
      </c>
      <c r="I274" t="s">
        <v>44</v>
      </c>
      <c r="J274" t="s">
        <v>50</v>
      </c>
      <c r="K274" t="s">
        <v>37</v>
      </c>
      <c r="L274" t="s">
        <v>69</v>
      </c>
      <c r="M274" t="s">
        <v>28</v>
      </c>
      <c r="N274" t="s">
        <v>39</v>
      </c>
      <c r="O274" t="b">
        <v>1</v>
      </c>
      <c r="P274" t="b">
        <v>0</v>
      </c>
      <c r="Q274">
        <v>10</v>
      </c>
      <c r="R274" t="b">
        <v>1</v>
      </c>
      <c r="S274" t="s">
        <v>55</v>
      </c>
      <c r="T274">
        <v>10.3</v>
      </c>
      <c r="U274">
        <v>74.569999999999993</v>
      </c>
      <c r="V274" t="b">
        <v>0</v>
      </c>
      <c r="W274" t="s">
        <v>31</v>
      </c>
    </row>
    <row r="275" spans="1:23" x14ac:dyDescent="0.25">
      <c r="A275" t="s">
        <v>74</v>
      </c>
      <c r="B275" t="s">
        <v>33</v>
      </c>
      <c r="C275">
        <v>86.38</v>
      </c>
      <c r="D275">
        <v>411</v>
      </c>
      <c r="E275" t="b">
        <v>1</v>
      </c>
      <c r="F275" t="b">
        <v>0</v>
      </c>
      <c r="G275" t="b">
        <v>1</v>
      </c>
      <c r="H275" t="s">
        <v>25</v>
      </c>
      <c r="I275" t="s">
        <v>44</v>
      </c>
      <c r="J275" t="s">
        <v>27</v>
      </c>
      <c r="K275" t="s">
        <v>46</v>
      </c>
      <c r="L275" t="s">
        <v>51</v>
      </c>
      <c r="M275" t="s">
        <v>46</v>
      </c>
      <c r="N275" t="s">
        <v>39</v>
      </c>
      <c r="O275" t="b">
        <v>0</v>
      </c>
      <c r="P275" t="b">
        <v>0</v>
      </c>
      <c r="Q275">
        <v>9.6</v>
      </c>
      <c r="R275" t="b">
        <v>0</v>
      </c>
      <c r="T275">
        <v>0</v>
      </c>
      <c r="U275">
        <v>73.02</v>
      </c>
      <c r="V275" t="b">
        <v>0</v>
      </c>
      <c r="W275" t="s">
        <v>58</v>
      </c>
    </row>
    <row r="276" spans="1:23" x14ac:dyDescent="0.25">
      <c r="A276" t="s">
        <v>74</v>
      </c>
      <c r="B276" t="s">
        <v>49</v>
      </c>
      <c r="C276">
        <v>77.27</v>
      </c>
      <c r="D276">
        <v>754</v>
      </c>
      <c r="E276" t="b">
        <v>0</v>
      </c>
      <c r="F276" t="b">
        <v>0</v>
      </c>
      <c r="G276" t="b">
        <v>1</v>
      </c>
      <c r="H276" t="s">
        <v>53</v>
      </c>
      <c r="I276" t="s">
        <v>26</v>
      </c>
      <c r="J276" t="s">
        <v>27</v>
      </c>
      <c r="K276" t="s">
        <v>39</v>
      </c>
      <c r="L276" t="s">
        <v>51</v>
      </c>
      <c r="M276" t="s">
        <v>39</v>
      </c>
      <c r="N276" t="s">
        <v>28</v>
      </c>
      <c r="P276" t="b">
        <v>0</v>
      </c>
      <c r="Q276">
        <v>7.2</v>
      </c>
      <c r="R276" t="b">
        <v>0</v>
      </c>
      <c r="T276">
        <v>0</v>
      </c>
      <c r="U276">
        <v>75.69</v>
      </c>
      <c r="V276" t="b">
        <v>1</v>
      </c>
      <c r="W276" t="s">
        <v>31</v>
      </c>
    </row>
    <row r="277" spans="1:23" x14ac:dyDescent="0.25">
      <c r="A277" t="s">
        <v>23</v>
      </c>
      <c r="B277" t="s">
        <v>33</v>
      </c>
      <c r="C277">
        <v>77.42</v>
      </c>
      <c r="D277">
        <v>302</v>
      </c>
      <c r="E277" t="b">
        <v>1</v>
      </c>
      <c r="F277" t="b">
        <v>0</v>
      </c>
      <c r="G277" t="b">
        <v>1</v>
      </c>
      <c r="H277" t="s">
        <v>25</v>
      </c>
      <c r="I277" t="s">
        <v>63</v>
      </c>
      <c r="J277" t="s">
        <v>36</v>
      </c>
      <c r="K277" t="s">
        <v>46</v>
      </c>
      <c r="L277" t="s">
        <v>69</v>
      </c>
      <c r="M277" t="s">
        <v>39</v>
      </c>
      <c r="N277" t="s">
        <v>46</v>
      </c>
      <c r="O277" t="b">
        <v>1</v>
      </c>
      <c r="P277" t="b">
        <v>0</v>
      </c>
      <c r="Q277">
        <v>10</v>
      </c>
      <c r="R277" t="b">
        <v>1</v>
      </c>
      <c r="S277" t="s">
        <v>75</v>
      </c>
      <c r="T277">
        <v>18.8</v>
      </c>
      <c r="U277">
        <v>90.25</v>
      </c>
      <c r="V277" t="b">
        <v>1</v>
      </c>
      <c r="W277" t="s">
        <v>31</v>
      </c>
    </row>
    <row r="278" spans="1:23" x14ac:dyDescent="0.25">
      <c r="A278" t="s">
        <v>32</v>
      </c>
      <c r="B278" t="s">
        <v>71</v>
      </c>
      <c r="C278">
        <v>48.79</v>
      </c>
      <c r="D278">
        <v>435</v>
      </c>
      <c r="E278" t="b">
        <v>1</v>
      </c>
      <c r="F278" t="b">
        <v>0</v>
      </c>
      <c r="G278" t="b">
        <v>0</v>
      </c>
      <c r="H278" t="s">
        <v>53</v>
      </c>
      <c r="I278" t="s">
        <v>57</v>
      </c>
      <c r="J278" t="s">
        <v>27</v>
      </c>
      <c r="K278" t="s">
        <v>28</v>
      </c>
      <c r="L278" t="s">
        <v>37</v>
      </c>
      <c r="M278" t="s">
        <v>28</v>
      </c>
      <c r="N278" t="s">
        <v>46</v>
      </c>
      <c r="O278" t="b">
        <v>1</v>
      </c>
      <c r="P278" t="b">
        <v>1</v>
      </c>
      <c r="Q278">
        <v>8.1</v>
      </c>
      <c r="R278" t="b">
        <v>0</v>
      </c>
      <c r="T278">
        <v>0</v>
      </c>
      <c r="U278">
        <v>41.67</v>
      </c>
      <c r="V278" t="b">
        <v>0</v>
      </c>
      <c r="W278" t="s">
        <v>58</v>
      </c>
    </row>
    <row r="279" spans="1:23" x14ac:dyDescent="0.25">
      <c r="A279" t="s">
        <v>68</v>
      </c>
      <c r="B279" t="s">
        <v>70</v>
      </c>
      <c r="C279">
        <v>94.03</v>
      </c>
      <c r="D279">
        <v>388</v>
      </c>
      <c r="E279" t="b">
        <v>0</v>
      </c>
      <c r="F279" t="b">
        <v>1</v>
      </c>
      <c r="G279" t="b">
        <v>1</v>
      </c>
      <c r="H279" t="s">
        <v>34</v>
      </c>
      <c r="I279" t="s">
        <v>63</v>
      </c>
      <c r="J279" t="s">
        <v>50</v>
      </c>
      <c r="K279" t="s">
        <v>28</v>
      </c>
      <c r="L279" t="s">
        <v>51</v>
      </c>
      <c r="M279" t="s">
        <v>47</v>
      </c>
      <c r="O279" t="b">
        <v>1</v>
      </c>
      <c r="P279" t="b">
        <v>0</v>
      </c>
      <c r="Q279">
        <v>9.6</v>
      </c>
      <c r="R279" t="b">
        <v>1</v>
      </c>
      <c r="S279" t="s">
        <v>40</v>
      </c>
      <c r="T279">
        <v>35.5</v>
      </c>
      <c r="U279">
        <v>84.51</v>
      </c>
      <c r="V279" t="b">
        <v>1</v>
      </c>
      <c r="W279" t="s">
        <v>31</v>
      </c>
    </row>
    <row r="280" spans="1:23" x14ac:dyDescent="0.25">
      <c r="A280" t="s">
        <v>32</v>
      </c>
      <c r="B280" t="s">
        <v>71</v>
      </c>
      <c r="C280">
        <v>50.24</v>
      </c>
      <c r="D280">
        <v>721</v>
      </c>
      <c r="E280" t="b">
        <v>1</v>
      </c>
      <c r="F280" t="b">
        <v>0</v>
      </c>
      <c r="G280" t="b">
        <v>0</v>
      </c>
      <c r="H280" t="s">
        <v>25</v>
      </c>
      <c r="I280" t="s">
        <v>35</v>
      </c>
      <c r="J280" t="s">
        <v>54</v>
      </c>
      <c r="K280" t="s">
        <v>46</v>
      </c>
      <c r="L280" t="s">
        <v>37</v>
      </c>
      <c r="M280" t="s">
        <v>28</v>
      </c>
      <c r="N280" t="s">
        <v>46</v>
      </c>
      <c r="O280" t="b">
        <v>1</v>
      </c>
      <c r="P280" t="b">
        <v>0</v>
      </c>
      <c r="Q280">
        <v>9.1</v>
      </c>
      <c r="R280" t="b">
        <v>0</v>
      </c>
      <c r="T280">
        <v>0</v>
      </c>
      <c r="U280">
        <v>27.7</v>
      </c>
      <c r="V280" t="b">
        <v>0</v>
      </c>
      <c r="W280" t="s">
        <v>58</v>
      </c>
    </row>
    <row r="281" spans="1:23" x14ac:dyDescent="0.25">
      <c r="A281" t="s">
        <v>61</v>
      </c>
      <c r="B281" t="s">
        <v>73</v>
      </c>
      <c r="C281">
        <v>46.17</v>
      </c>
      <c r="D281">
        <v>234</v>
      </c>
      <c r="E281" t="b">
        <v>1</v>
      </c>
      <c r="F281" t="b">
        <v>1</v>
      </c>
      <c r="G281" t="b">
        <v>0</v>
      </c>
      <c r="H281" t="s">
        <v>34</v>
      </c>
      <c r="I281" t="s">
        <v>57</v>
      </c>
      <c r="J281" t="s">
        <v>50</v>
      </c>
      <c r="K281" t="s">
        <v>46</v>
      </c>
      <c r="L281" t="s">
        <v>38</v>
      </c>
      <c r="M281" t="s">
        <v>46</v>
      </c>
      <c r="N281" t="s">
        <v>28</v>
      </c>
      <c r="P281" t="b">
        <v>0</v>
      </c>
      <c r="Q281">
        <v>6.7</v>
      </c>
      <c r="R281" t="b">
        <v>1</v>
      </c>
      <c r="S281" t="s">
        <v>52</v>
      </c>
      <c r="T281">
        <v>31.4</v>
      </c>
      <c r="U281">
        <v>55.51</v>
      </c>
      <c r="V281" t="b">
        <v>1</v>
      </c>
      <c r="W281" t="s">
        <v>41</v>
      </c>
    </row>
    <row r="282" spans="1:23" x14ac:dyDescent="0.25">
      <c r="A282" t="s">
        <v>32</v>
      </c>
      <c r="B282" t="s">
        <v>49</v>
      </c>
      <c r="C282">
        <v>70.03</v>
      </c>
      <c r="D282">
        <v>773</v>
      </c>
      <c r="E282" t="b">
        <v>0</v>
      </c>
      <c r="F282" t="b">
        <v>1</v>
      </c>
      <c r="G282" t="b">
        <v>1</v>
      </c>
      <c r="H282" t="s">
        <v>34</v>
      </c>
      <c r="I282" t="s">
        <v>35</v>
      </c>
      <c r="J282" t="s">
        <v>54</v>
      </c>
      <c r="K282" t="s">
        <v>39</v>
      </c>
      <c r="L282" t="s">
        <v>38</v>
      </c>
      <c r="M282" t="s">
        <v>47</v>
      </c>
      <c r="N282" t="s">
        <v>39</v>
      </c>
      <c r="O282" t="b">
        <v>0</v>
      </c>
      <c r="P282" t="b">
        <v>0</v>
      </c>
      <c r="Q282">
        <v>5.9</v>
      </c>
      <c r="R282" t="b">
        <v>1</v>
      </c>
      <c r="S282" t="s">
        <v>75</v>
      </c>
      <c r="T282">
        <v>17</v>
      </c>
      <c r="U282">
        <v>71.739999999999995</v>
      </c>
      <c r="V282" t="b">
        <v>1</v>
      </c>
      <c r="W282" t="s">
        <v>41</v>
      </c>
    </row>
    <row r="283" spans="1:23" x14ac:dyDescent="0.25">
      <c r="A283" t="s">
        <v>61</v>
      </c>
      <c r="B283" t="s">
        <v>42</v>
      </c>
      <c r="C283">
        <v>78.8</v>
      </c>
      <c r="D283">
        <v>722</v>
      </c>
      <c r="E283" t="b">
        <v>0</v>
      </c>
      <c r="F283" t="b">
        <v>0</v>
      </c>
      <c r="G283" t="b">
        <v>1</v>
      </c>
      <c r="H283" t="s">
        <v>34</v>
      </c>
      <c r="I283" t="s">
        <v>67</v>
      </c>
      <c r="J283" t="s">
        <v>27</v>
      </c>
      <c r="K283" t="s">
        <v>39</v>
      </c>
      <c r="L283" t="s">
        <v>69</v>
      </c>
      <c r="M283" t="s">
        <v>47</v>
      </c>
      <c r="N283" t="s">
        <v>39</v>
      </c>
      <c r="O283" t="b">
        <v>0</v>
      </c>
      <c r="P283" t="b">
        <v>1</v>
      </c>
      <c r="Q283">
        <v>6.5</v>
      </c>
      <c r="R283" t="b">
        <v>0</v>
      </c>
      <c r="T283">
        <v>0</v>
      </c>
      <c r="U283">
        <v>70.040000000000006</v>
      </c>
      <c r="V283" t="b">
        <v>1</v>
      </c>
      <c r="W283" t="s">
        <v>31</v>
      </c>
    </row>
    <row r="284" spans="1:23" x14ac:dyDescent="0.25">
      <c r="A284" t="s">
        <v>61</v>
      </c>
      <c r="B284" t="s">
        <v>73</v>
      </c>
      <c r="C284">
        <v>59.84</v>
      </c>
      <c r="D284">
        <v>780</v>
      </c>
      <c r="E284" t="b">
        <v>0</v>
      </c>
      <c r="F284" t="b">
        <v>0</v>
      </c>
      <c r="G284" t="b">
        <v>1</v>
      </c>
      <c r="H284" t="s">
        <v>43</v>
      </c>
      <c r="I284" t="s">
        <v>26</v>
      </c>
      <c r="J284" t="s">
        <v>45</v>
      </c>
      <c r="K284" t="s">
        <v>39</v>
      </c>
      <c r="L284" t="s">
        <v>29</v>
      </c>
      <c r="M284" t="s">
        <v>28</v>
      </c>
      <c r="N284" t="s">
        <v>39</v>
      </c>
      <c r="O284" t="b">
        <v>0</v>
      </c>
      <c r="P284" t="b">
        <v>0</v>
      </c>
      <c r="Q284">
        <v>5.0999999999999996</v>
      </c>
      <c r="R284" t="b">
        <v>1</v>
      </c>
      <c r="S284" t="s">
        <v>64</v>
      </c>
      <c r="T284">
        <v>4.5999999999999996</v>
      </c>
      <c r="U284">
        <v>47.53</v>
      </c>
      <c r="V284" t="b">
        <v>1</v>
      </c>
      <c r="W284" t="s">
        <v>41</v>
      </c>
    </row>
    <row r="285" spans="1:23" x14ac:dyDescent="0.25">
      <c r="A285" t="s">
        <v>61</v>
      </c>
      <c r="B285" t="s">
        <v>76</v>
      </c>
      <c r="C285">
        <v>76.55</v>
      </c>
      <c r="D285">
        <v>75</v>
      </c>
      <c r="E285" t="b">
        <v>0</v>
      </c>
      <c r="F285" t="b">
        <v>1</v>
      </c>
      <c r="G285" t="b">
        <v>0</v>
      </c>
      <c r="H285" t="s">
        <v>25</v>
      </c>
      <c r="I285" t="s">
        <v>67</v>
      </c>
      <c r="J285" t="s">
        <v>54</v>
      </c>
      <c r="K285" t="s">
        <v>46</v>
      </c>
      <c r="L285" t="s">
        <v>37</v>
      </c>
      <c r="M285" t="s">
        <v>28</v>
      </c>
      <c r="N285" t="s">
        <v>39</v>
      </c>
      <c r="O285" t="b">
        <v>0</v>
      </c>
      <c r="P285" t="b">
        <v>0</v>
      </c>
      <c r="Q285">
        <v>7.6</v>
      </c>
      <c r="R285" t="b">
        <v>0</v>
      </c>
      <c r="T285">
        <v>0</v>
      </c>
      <c r="U285">
        <v>75.150000000000006</v>
      </c>
      <c r="V285" t="b">
        <v>1</v>
      </c>
      <c r="W285" t="s">
        <v>31</v>
      </c>
    </row>
    <row r="286" spans="1:23" x14ac:dyDescent="0.25">
      <c r="A286" t="s">
        <v>68</v>
      </c>
      <c r="B286" t="s">
        <v>49</v>
      </c>
      <c r="C286">
        <v>62.98</v>
      </c>
      <c r="D286">
        <v>199</v>
      </c>
      <c r="E286" t="b">
        <v>0</v>
      </c>
      <c r="F286" t="b">
        <v>1</v>
      </c>
      <c r="G286" t="b">
        <v>0</v>
      </c>
      <c r="H286" t="s">
        <v>25</v>
      </c>
      <c r="I286" t="s">
        <v>26</v>
      </c>
      <c r="J286" t="s">
        <v>50</v>
      </c>
      <c r="K286" t="s">
        <v>37</v>
      </c>
      <c r="L286" t="s">
        <v>69</v>
      </c>
      <c r="M286" t="s">
        <v>39</v>
      </c>
      <c r="N286" t="s">
        <v>46</v>
      </c>
      <c r="O286" t="b">
        <v>0</v>
      </c>
      <c r="P286" t="b">
        <v>0</v>
      </c>
      <c r="Q286">
        <v>5.2</v>
      </c>
      <c r="R286" t="b">
        <v>1</v>
      </c>
      <c r="S286" t="s">
        <v>75</v>
      </c>
      <c r="T286">
        <v>17.2</v>
      </c>
      <c r="U286">
        <v>63.65</v>
      </c>
      <c r="V286" t="b">
        <v>1</v>
      </c>
      <c r="W286" t="s">
        <v>41</v>
      </c>
    </row>
    <row r="287" spans="1:23" x14ac:dyDescent="0.25">
      <c r="A287" t="s">
        <v>68</v>
      </c>
      <c r="B287" t="s">
        <v>59</v>
      </c>
      <c r="C287">
        <v>79.290000000000006</v>
      </c>
      <c r="D287">
        <v>443</v>
      </c>
      <c r="E287" t="b">
        <v>1</v>
      </c>
      <c r="F287" t="b">
        <v>1</v>
      </c>
      <c r="G287" t="b">
        <v>0</v>
      </c>
      <c r="H287" t="s">
        <v>25</v>
      </c>
      <c r="I287" t="s">
        <v>26</v>
      </c>
      <c r="J287" t="s">
        <v>36</v>
      </c>
      <c r="K287" t="s">
        <v>46</v>
      </c>
      <c r="L287" t="s">
        <v>29</v>
      </c>
      <c r="M287" t="s">
        <v>46</v>
      </c>
      <c r="N287" t="s">
        <v>46</v>
      </c>
      <c r="P287" t="b">
        <v>0</v>
      </c>
      <c r="Q287">
        <v>9.5</v>
      </c>
      <c r="R287" t="b">
        <v>0</v>
      </c>
      <c r="T287">
        <v>0</v>
      </c>
      <c r="U287">
        <v>90.43</v>
      </c>
      <c r="V287" t="b">
        <v>1</v>
      </c>
      <c r="W287" t="s">
        <v>58</v>
      </c>
    </row>
    <row r="288" spans="1:23" x14ac:dyDescent="0.25">
      <c r="A288" t="s">
        <v>74</v>
      </c>
      <c r="B288" t="s">
        <v>24</v>
      </c>
      <c r="C288">
        <v>95.15</v>
      </c>
      <c r="D288">
        <v>628</v>
      </c>
      <c r="E288" t="b">
        <v>0</v>
      </c>
      <c r="F288" t="b">
        <v>1</v>
      </c>
      <c r="G288" t="b">
        <v>1</v>
      </c>
      <c r="H288" t="s">
        <v>43</v>
      </c>
      <c r="I288" t="s">
        <v>63</v>
      </c>
      <c r="J288" t="s">
        <v>45</v>
      </c>
      <c r="K288" t="s">
        <v>28</v>
      </c>
      <c r="L288" t="s">
        <v>29</v>
      </c>
      <c r="M288" t="s">
        <v>47</v>
      </c>
      <c r="N288" t="s">
        <v>39</v>
      </c>
      <c r="O288" t="b">
        <v>1</v>
      </c>
      <c r="P288" t="b">
        <v>0</v>
      </c>
      <c r="Q288">
        <v>9.6</v>
      </c>
      <c r="R288" t="b">
        <v>0</v>
      </c>
      <c r="T288">
        <v>0</v>
      </c>
      <c r="U288">
        <v>95.32</v>
      </c>
      <c r="V288" t="b">
        <v>1</v>
      </c>
      <c r="W288" t="s">
        <v>58</v>
      </c>
    </row>
    <row r="289" spans="1:23" x14ac:dyDescent="0.25">
      <c r="A289" t="s">
        <v>74</v>
      </c>
      <c r="B289" t="s">
        <v>62</v>
      </c>
      <c r="C289">
        <v>70.069999999999993</v>
      </c>
      <c r="D289">
        <v>796</v>
      </c>
      <c r="E289" t="b">
        <v>1</v>
      </c>
      <c r="F289" t="b">
        <v>1</v>
      </c>
      <c r="G289" t="b">
        <v>0</v>
      </c>
      <c r="H289" t="s">
        <v>53</v>
      </c>
      <c r="I289" t="s">
        <v>63</v>
      </c>
      <c r="J289" t="s">
        <v>50</v>
      </c>
      <c r="K289" t="s">
        <v>28</v>
      </c>
      <c r="L289" t="s">
        <v>38</v>
      </c>
      <c r="M289" t="s">
        <v>28</v>
      </c>
      <c r="N289" t="s">
        <v>46</v>
      </c>
      <c r="O289" t="b">
        <v>1</v>
      </c>
      <c r="P289" t="b">
        <v>0</v>
      </c>
      <c r="Q289">
        <v>10</v>
      </c>
      <c r="R289" t="b">
        <v>0</v>
      </c>
      <c r="T289">
        <v>0</v>
      </c>
      <c r="U289">
        <v>64.77</v>
      </c>
      <c r="V289" t="b">
        <v>0</v>
      </c>
      <c r="W289" t="s">
        <v>58</v>
      </c>
    </row>
    <row r="290" spans="1:23" x14ac:dyDescent="0.25">
      <c r="A290" t="s">
        <v>68</v>
      </c>
      <c r="B290" t="s">
        <v>24</v>
      </c>
      <c r="C290">
        <v>89.45</v>
      </c>
      <c r="D290">
        <v>372</v>
      </c>
      <c r="E290" t="b">
        <v>1</v>
      </c>
      <c r="F290" t="b">
        <v>0</v>
      </c>
      <c r="G290" t="b">
        <v>1</v>
      </c>
      <c r="H290" t="s">
        <v>34</v>
      </c>
      <c r="I290" t="s">
        <v>35</v>
      </c>
      <c r="J290" t="s">
        <v>54</v>
      </c>
      <c r="K290" t="s">
        <v>28</v>
      </c>
      <c r="L290" t="s">
        <v>69</v>
      </c>
      <c r="M290" t="s">
        <v>39</v>
      </c>
      <c r="N290" t="s">
        <v>46</v>
      </c>
      <c r="P290" t="b">
        <v>0</v>
      </c>
      <c r="Q290">
        <v>10</v>
      </c>
      <c r="R290" t="b">
        <v>1</v>
      </c>
      <c r="S290" t="s">
        <v>52</v>
      </c>
      <c r="T290">
        <v>18.399999999999999</v>
      </c>
      <c r="U290">
        <v>85.31</v>
      </c>
      <c r="V290" t="b">
        <v>1</v>
      </c>
      <c r="W290" t="s">
        <v>31</v>
      </c>
    </row>
    <row r="291" spans="1:23" x14ac:dyDescent="0.25">
      <c r="A291" t="s">
        <v>68</v>
      </c>
      <c r="B291" t="s">
        <v>73</v>
      </c>
      <c r="C291">
        <v>58.67</v>
      </c>
      <c r="D291">
        <v>212</v>
      </c>
      <c r="E291" t="b">
        <v>0</v>
      </c>
      <c r="F291" t="b">
        <v>0</v>
      </c>
      <c r="G291" t="b">
        <v>0</v>
      </c>
      <c r="H291" t="s">
        <v>25</v>
      </c>
      <c r="I291" t="s">
        <v>26</v>
      </c>
      <c r="J291" t="s">
        <v>54</v>
      </c>
      <c r="K291" t="s">
        <v>39</v>
      </c>
      <c r="L291" t="s">
        <v>38</v>
      </c>
      <c r="M291" t="s">
        <v>28</v>
      </c>
      <c r="O291" t="b">
        <v>1</v>
      </c>
      <c r="P291" t="b">
        <v>0</v>
      </c>
      <c r="Q291">
        <v>8.6</v>
      </c>
      <c r="R291" t="b">
        <v>0</v>
      </c>
      <c r="T291">
        <v>0</v>
      </c>
      <c r="U291">
        <v>73.37</v>
      </c>
      <c r="V291" t="b">
        <v>1</v>
      </c>
      <c r="W291" t="s">
        <v>58</v>
      </c>
    </row>
    <row r="292" spans="1:23" x14ac:dyDescent="0.25">
      <c r="A292" t="s">
        <v>74</v>
      </c>
      <c r="B292" t="s">
        <v>70</v>
      </c>
      <c r="C292">
        <v>72.13</v>
      </c>
      <c r="D292">
        <v>287</v>
      </c>
      <c r="E292" t="b">
        <v>1</v>
      </c>
      <c r="F292" t="b">
        <v>1</v>
      </c>
      <c r="G292" t="b">
        <v>1</v>
      </c>
      <c r="H292" t="s">
        <v>25</v>
      </c>
      <c r="I292" t="s">
        <v>44</v>
      </c>
      <c r="J292" t="s">
        <v>45</v>
      </c>
      <c r="K292" t="s">
        <v>37</v>
      </c>
      <c r="L292" t="s">
        <v>69</v>
      </c>
      <c r="M292" t="s">
        <v>28</v>
      </c>
      <c r="N292" t="s">
        <v>39</v>
      </c>
      <c r="P292" t="b">
        <v>0</v>
      </c>
      <c r="Q292">
        <v>9.6</v>
      </c>
      <c r="R292" t="b">
        <v>0</v>
      </c>
      <c r="T292">
        <v>0</v>
      </c>
      <c r="U292">
        <v>61.54</v>
      </c>
      <c r="V292" t="b">
        <v>0</v>
      </c>
      <c r="W292" t="s">
        <v>58</v>
      </c>
    </row>
    <row r="293" spans="1:23" x14ac:dyDescent="0.25">
      <c r="A293" t="s">
        <v>61</v>
      </c>
      <c r="B293" t="s">
        <v>49</v>
      </c>
      <c r="C293">
        <v>73.069999999999993</v>
      </c>
      <c r="D293">
        <v>573</v>
      </c>
      <c r="E293" t="b">
        <v>0</v>
      </c>
      <c r="F293" t="b">
        <v>0</v>
      </c>
      <c r="G293" t="b">
        <v>1</v>
      </c>
      <c r="H293" t="s">
        <v>34</v>
      </c>
      <c r="I293" t="s">
        <v>63</v>
      </c>
      <c r="J293" t="s">
        <v>50</v>
      </c>
      <c r="K293" t="s">
        <v>46</v>
      </c>
      <c r="L293" t="s">
        <v>38</v>
      </c>
      <c r="M293" t="s">
        <v>28</v>
      </c>
      <c r="N293" t="s">
        <v>28</v>
      </c>
      <c r="P293" t="b">
        <v>0</v>
      </c>
      <c r="Q293">
        <v>9</v>
      </c>
      <c r="R293" t="b">
        <v>1</v>
      </c>
      <c r="S293" t="s">
        <v>52</v>
      </c>
      <c r="T293">
        <v>30</v>
      </c>
      <c r="U293">
        <v>79.33</v>
      </c>
      <c r="V293" t="b">
        <v>1</v>
      </c>
      <c r="W293" t="s">
        <v>31</v>
      </c>
    </row>
    <row r="294" spans="1:23" x14ac:dyDescent="0.25">
      <c r="A294" t="s">
        <v>23</v>
      </c>
      <c r="B294" t="s">
        <v>33</v>
      </c>
      <c r="C294">
        <v>77.31</v>
      </c>
      <c r="D294">
        <v>415</v>
      </c>
      <c r="E294" t="b">
        <v>1</v>
      </c>
      <c r="F294" t="b">
        <v>0</v>
      </c>
      <c r="G294" t="b">
        <v>0</v>
      </c>
      <c r="H294" t="s">
        <v>43</v>
      </c>
      <c r="I294" t="s">
        <v>26</v>
      </c>
      <c r="J294" t="s">
        <v>45</v>
      </c>
      <c r="K294" t="s">
        <v>46</v>
      </c>
      <c r="L294" t="s">
        <v>38</v>
      </c>
      <c r="M294" t="s">
        <v>39</v>
      </c>
      <c r="N294" t="s">
        <v>28</v>
      </c>
      <c r="P294" t="b">
        <v>0</v>
      </c>
      <c r="Q294">
        <v>9.8000000000000007</v>
      </c>
      <c r="R294" t="b">
        <v>1</v>
      </c>
      <c r="S294" t="s">
        <v>48</v>
      </c>
      <c r="T294">
        <v>35.5</v>
      </c>
      <c r="U294">
        <v>87.74</v>
      </c>
      <c r="V294" t="b">
        <v>1</v>
      </c>
      <c r="W294" t="s">
        <v>31</v>
      </c>
    </row>
    <row r="295" spans="1:23" x14ac:dyDescent="0.25">
      <c r="A295" t="s">
        <v>32</v>
      </c>
      <c r="B295" t="s">
        <v>49</v>
      </c>
      <c r="C295">
        <v>65.88</v>
      </c>
      <c r="D295">
        <v>91</v>
      </c>
      <c r="E295" t="b">
        <v>0</v>
      </c>
      <c r="F295" t="b">
        <v>1</v>
      </c>
      <c r="G295" t="b">
        <v>1</v>
      </c>
      <c r="H295" t="s">
        <v>43</v>
      </c>
      <c r="I295" t="s">
        <v>67</v>
      </c>
      <c r="J295" t="s">
        <v>36</v>
      </c>
      <c r="K295" t="s">
        <v>46</v>
      </c>
      <c r="L295" t="s">
        <v>51</v>
      </c>
      <c r="M295" t="s">
        <v>39</v>
      </c>
      <c r="N295" t="s">
        <v>46</v>
      </c>
      <c r="O295" t="b">
        <v>1</v>
      </c>
      <c r="P295" t="b">
        <v>1</v>
      </c>
      <c r="Q295">
        <v>7.9</v>
      </c>
      <c r="R295" t="b">
        <v>1</v>
      </c>
      <c r="S295" t="s">
        <v>64</v>
      </c>
      <c r="T295">
        <v>18.8</v>
      </c>
      <c r="U295">
        <v>68.209999999999994</v>
      </c>
      <c r="V295" t="b">
        <v>1</v>
      </c>
      <c r="W295" t="s">
        <v>41</v>
      </c>
    </row>
    <row r="296" spans="1:23" x14ac:dyDescent="0.25">
      <c r="A296" t="s">
        <v>32</v>
      </c>
      <c r="B296" t="s">
        <v>73</v>
      </c>
      <c r="C296">
        <v>53.13</v>
      </c>
      <c r="D296">
        <v>275</v>
      </c>
      <c r="E296" t="b">
        <v>0</v>
      </c>
      <c r="F296" t="b">
        <v>0</v>
      </c>
      <c r="G296" t="b">
        <v>1</v>
      </c>
      <c r="H296" t="s">
        <v>25</v>
      </c>
      <c r="I296" t="s">
        <v>57</v>
      </c>
      <c r="J296" t="s">
        <v>54</v>
      </c>
      <c r="K296" t="s">
        <v>28</v>
      </c>
      <c r="L296" t="s">
        <v>29</v>
      </c>
      <c r="M296" t="s">
        <v>28</v>
      </c>
      <c r="N296" t="s">
        <v>46</v>
      </c>
      <c r="O296" t="b">
        <v>1</v>
      </c>
      <c r="P296" t="b">
        <v>0</v>
      </c>
      <c r="Q296">
        <v>7.9</v>
      </c>
      <c r="R296" t="b">
        <v>1</v>
      </c>
      <c r="S296" t="s">
        <v>75</v>
      </c>
      <c r="T296">
        <v>14.8</v>
      </c>
      <c r="U296">
        <v>66.22</v>
      </c>
      <c r="V296" t="b">
        <v>1</v>
      </c>
      <c r="W296" t="s">
        <v>41</v>
      </c>
    </row>
    <row r="297" spans="1:23" x14ac:dyDescent="0.25">
      <c r="A297" t="s">
        <v>74</v>
      </c>
      <c r="B297" t="s">
        <v>62</v>
      </c>
      <c r="C297">
        <v>71.23</v>
      </c>
      <c r="D297">
        <v>197</v>
      </c>
      <c r="E297" t="b">
        <v>1</v>
      </c>
      <c r="F297" t="b">
        <v>1</v>
      </c>
      <c r="G297" t="b">
        <v>0</v>
      </c>
      <c r="H297" t="s">
        <v>53</v>
      </c>
      <c r="I297" t="s">
        <v>26</v>
      </c>
      <c r="J297" t="s">
        <v>45</v>
      </c>
      <c r="K297" t="s">
        <v>28</v>
      </c>
      <c r="L297" t="s">
        <v>69</v>
      </c>
      <c r="M297" t="s">
        <v>39</v>
      </c>
      <c r="O297" t="b">
        <v>1</v>
      </c>
      <c r="P297" t="b">
        <v>1</v>
      </c>
      <c r="Q297">
        <v>10</v>
      </c>
      <c r="R297" t="b">
        <v>1</v>
      </c>
      <c r="S297" t="s">
        <v>30</v>
      </c>
      <c r="T297">
        <v>44.4</v>
      </c>
      <c r="U297">
        <v>70.760000000000005</v>
      </c>
      <c r="V297" t="b">
        <v>0</v>
      </c>
      <c r="W297" t="s">
        <v>31</v>
      </c>
    </row>
    <row r="298" spans="1:23" x14ac:dyDescent="0.25">
      <c r="A298" t="s">
        <v>32</v>
      </c>
      <c r="B298" t="s">
        <v>73</v>
      </c>
      <c r="C298">
        <v>69.92</v>
      </c>
      <c r="D298">
        <v>246</v>
      </c>
      <c r="E298" t="b">
        <v>1</v>
      </c>
      <c r="F298" t="b">
        <v>0</v>
      </c>
      <c r="G298" t="b">
        <v>0</v>
      </c>
      <c r="H298" t="s">
        <v>43</v>
      </c>
      <c r="I298" t="s">
        <v>67</v>
      </c>
      <c r="J298" t="s">
        <v>27</v>
      </c>
      <c r="K298" t="s">
        <v>39</v>
      </c>
      <c r="L298" t="s">
        <v>69</v>
      </c>
      <c r="M298" t="s">
        <v>28</v>
      </c>
      <c r="O298" t="b">
        <v>1</v>
      </c>
      <c r="P298" t="b">
        <v>0</v>
      </c>
      <c r="Q298">
        <v>10</v>
      </c>
      <c r="R298" t="b">
        <v>0</v>
      </c>
      <c r="T298">
        <v>0</v>
      </c>
      <c r="U298">
        <v>58.55</v>
      </c>
      <c r="V298" t="b">
        <v>0</v>
      </c>
      <c r="W298" t="s">
        <v>58</v>
      </c>
    </row>
    <row r="299" spans="1:23" x14ac:dyDescent="0.25">
      <c r="A299" t="s">
        <v>23</v>
      </c>
      <c r="B299" t="s">
        <v>24</v>
      </c>
      <c r="C299">
        <v>96.82</v>
      </c>
      <c r="D299">
        <v>539</v>
      </c>
      <c r="E299" t="b">
        <v>0</v>
      </c>
      <c r="F299" t="b">
        <v>1</v>
      </c>
      <c r="G299" t="b">
        <v>1</v>
      </c>
      <c r="H299" t="s">
        <v>25</v>
      </c>
      <c r="I299" t="s">
        <v>44</v>
      </c>
      <c r="J299" t="s">
        <v>27</v>
      </c>
      <c r="K299" t="s">
        <v>46</v>
      </c>
      <c r="L299" t="s">
        <v>51</v>
      </c>
      <c r="M299" t="s">
        <v>28</v>
      </c>
      <c r="N299" t="s">
        <v>46</v>
      </c>
      <c r="P299" t="b">
        <v>1</v>
      </c>
      <c r="Q299">
        <v>10</v>
      </c>
      <c r="R299" t="b">
        <v>0</v>
      </c>
      <c r="T299">
        <v>0</v>
      </c>
      <c r="U299">
        <v>89.24</v>
      </c>
      <c r="V299" t="b">
        <v>1</v>
      </c>
      <c r="W299" t="s">
        <v>58</v>
      </c>
    </row>
    <row r="300" spans="1:23" x14ac:dyDescent="0.25">
      <c r="A300" t="s">
        <v>32</v>
      </c>
      <c r="B300" t="s">
        <v>62</v>
      </c>
      <c r="C300">
        <v>58.9</v>
      </c>
      <c r="D300">
        <v>125</v>
      </c>
      <c r="E300" t="b">
        <v>0</v>
      </c>
      <c r="F300" t="b">
        <v>0</v>
      </c>
      <c r="G300" t="b">
        <v>1</v>
      </c>
      <c r="H300" t="s">
        <v>25</v>
      </c>
      <c r="I300" t="s">
        <v>63</v>
      </c>
      <c r="J300" t="s">
        <v>45</v>
      </c>
      <c r="K300" t="s">
        <v>37</v>
      </c>
      <c r="L300" t="s">
        <v>37</v>
      </c>
      <c r="M300" t="s">
        <v>46</v>
      </c>
      <c r="N300" t="s">
        <v>46</v>
      </c>
      <c r="O300" t="b">
        <v>0</v>
      </c>
      <c r="P300" t="b">
        <v>1</v>
      </c>
      <c r="Q300">
        <v>5</v>
      </c>
      <c r="R300" t="b">
        <v>1</v>
      </c>
      <c r="S300" t="s">
        <v>40</v>
      </c>
      <c r="T300">
        <v>24.1</v>
      </c>
      <c r="U300">
        <v>68.05</v>
      </c>
      <c r="V300" t="b">
        <v>1</v>
      </c>
      <c r="W300" t="s">
        <v>41</v>
      </c>
    </row>
    <row r="301" spans="1:23" x14ac:dyDescent="0.25">
      <c r="A301" t="s">
        <v>68</v>
      </c>
      <c r="B301" t="s">
        <v>60</v>
      </c>
      <c r="C301">
        <v>44.99</v>
      </c>
      <c r="D301">
        <v>405</v>
      </c>
      <c r="E301" t="b">
        <v>0</v>
      </c>
      <c r="F301" t="b">
        <v>1</v>
      </c>
      <c r="G301" t="b">
        <v>1</v>
      </c>
      <c r="H301" t="s">
        <v>53</v>
      </c>
      <c r="I301" t="s">
        <v>63</v>
      </c>
      <c r="J301" t="s">
        <v>45</v>
      </c>
      <c r="K301" t="s">
        <v>37</v>
      </c>
      <c r="L301" t="s">
        <v>37</v>
      </c>
      <c r="M301" t="s">
        <v>47</v>
      </c>
      <c r="N301" t="s">
        <v>28</v>
      </c>
      <c r="O301" t="b">
        <v>0</v>
      </c>
      <c r="P301" t="b">
        <v>1</v>
      </c>
      <c r="Q301">
        <v>1.8</v>
      </c>
      <c r="R301" t="b">
        <v>1</v>
      </c>
      <c r="S301" t="s">
        <v>30</v>
      </c>
      <c r="T301">
        <v>32.700000000000003</v>
      </c>
      <c r="U301">
        <v>42.14</v>
      </c>
      <c r="V301" t="b">
        <v>0</v>
      </c>
      <c r="W301" t="s">
        <v>72</v>
      </c>
    </row>
    <row r="302" spans="1:23" x14ac:dyDescent="0.25">
      <c r="A302" t="s">
        <v>74</v>
      </c>
      <c r="B302" t="s">
        <v>70</v>
      </c>
      <c r="C302">
        <v>81.25</v>
      </c>
      <c r="D302">
        <v>446</v>
      </c>
      <c r="E302" t="b">
        <v>1</v>
      </c>
      <c r="F302" t="b">
        <v>1</v>
      </c>
      <c r="G302" t="b">
        <v>1</v>
      </c>
      <c r="H302" t="s">
        <v>43</v>
      </c>
      <c r="I302" t="s">
        <v>26</v>
      </c>
      <c r="J302" t="s">
        <v>50</v>
      </c>
      <c r="K302" t="s">
        <v>39</v>
      </c>
      <c r="L302" t="s">
        <v>38</v>
      </c>
      <c r="M302" t="s">
        <v>39</v>
      </c>
      <c r="N302" t="s">
        <v>28</v>
      </c>
      <c r="O302" t="b">
        <v>1</v>
      </c>
      <c r="P302" t="b">
        <v>1</v>
      </c>
      <c r="Q302">
        <v>10</v>
      </c>
      <c r="R302" t="b">
        <v>1</v>
      </c>
      <c r="S302" t="s">
        <v>30</v>
      </c>
      <c r="T302">
        <v>28.5</v>
      </c>
      <c r="U302">
        <v>76.94</v>
      </c>
      <c r="V302" t="b">
        <v>0</v>
      </c>
      <c r="W302" t="s">
        <v>31</v>
      </c>
    </row>
    <row r="303" spans="1:23" x14ac:dyDescent="0.25">
      <c r="A303" t="s">
        <v>61</v>
      </c>
      <c r="B303" t="s">
        <v>62</v>
      </c>
      <c r="C303">
        <v>62.98</v>
      </c>
      <c r="D303">
        <v>268</v>
      </c>
      <c r="E303" t="b">
        <v>1</v>
      </c>
      <c r="F303" t="b">
        <v>0</v>
      </c>
      <c r="G303" t="b">
        <v>0</v>
      </c>
      <c r="H303" t="s">
        <v>25</v>
      </c>
      <c r="I303" t="s">
        <v>67</v>
      </c>
      <c r="J303" t="s">
        <v>50</v>
      </c>
      <c r="K303" t="s">
        <v>37</v>
      </c>
      <c r="L303" t="s">
        <v>38</v>
      </c>
      <c r="M303" t="s">
        <v>39</v>
      </c>
      <c r="N303" t="s">
        <v>28</v>
      </c>
      <c r="P303" t="b">
        <v>0</v>
      </c>
      <c r="Q303">
        <v>8.1999999999999993</v>
      </c>
      <c r="R303" t="b">
        <v>1</v>
      </c>
      <c r="S303" t="s">
        <v>48</v>
      </c>
      <c r="T303">
        <v>36.1</v>
      </c>
      <c r="U303">
        <v>61.84</v>
      </c>
      <c r="V303" t="b">
        <v>0</v>
      </c>
      <c r="W303" t="s">
        <v>31</v>
      </c>
    </row>
    <row r="304" spans="1:23" x14ac:dyDescent="0.25">
      <c r="A304" t="s">
        <v>74</v>
      </c>
      <c r="B304" t="s">
        <v>76</v>
      </c>
      <c r="C304">
        <v>88.12</v>
      </c>
      <c r="D304">
        <v>514</v>
      </c>
      <c r="E304" t="b">
        <v>0</v>
      </c>
      <c r="F304" t="b">
        <v>0</v>
      </c>
      <c r="G304" t="b">
        <v>1</v>
      </c>
      <c r="H304" t="s">
        <v>25</v>
      </c>
      <c r="I304" t="s">
        <v>57</v>
      </c>
      <c r="J304" t="s">
        <v>45</v>
      </c>
      <c r="K304" t="s">
        <v>39</v>
      </c>
      <c r="L304" t="s">
        <v>29</v>
      </c>
      <c r="M304" t="s">
        <v>47</v>
      </c>
      <c r="N304" t="s">
        <v>46</v>
      </c>
      <c r="O304" t="b">
        <v>1</v>
      </c>
      <c r="P304" t="b">
        <v>0</v>
      </c>
      <c r="Q304">
        <v>8.8000000000000007</v>
      </c>
      <c r="R304" t="b">
        <v>1</v>
      </c>
      <c r="S304" t="s">
        <v>65</v>
      </c>
      <c r="T304">
        <v>40.799999999999997</v>
      </c>
      <c r="U304">
        <v>100</v>
      </c>
      <c r="V304" t="b">
        <v>1</v>
      </c>
      <c r="W304" t="s">
        <v>31</v>
      </c>
    </row>
    <row r="305" spans="1:23" x14ac:dyDescent="0.25">
      <c r="A305" t="s">
        <v>32</v>
      </c>
      <c r="B305" t="s">
        <v>24</v>
      </c>
      <c r="C305">
        <v>85.08</v>
      </c>
      <c r="D305">
        <v>661</v>
      </c>
      <c r="E305" t="b">
        <v>0</v>
      </c>
      <c r="F305" t="b">
        <v>0</v>
      </c>
      <c r="G305" t="b">
        <v>1</v>
      </c>
      <c r="H305" t="s">
        <v>34</v>
      </c>
      <c r="I305" t="s">
        <v>44</v>
      </c>
      <c r="J305" t="s">
        <v>45</v>
      </c>
      <c r="K305" t="s">
        <v>46</v>
      </c>
      <c r="L305" t="s">
        <v>29</v>
      </c>
      <c r="M305" t="s">
        <v>47</v>
      </c>
      <c r="N305" t="s">
        <v>28</v>
      </c>
      <c r="P305" t="b">
        <v>1</v>
      </c>
      <c r="Q305">
        <v>7.9</v>
      </c>
      <c r="R305" t="b">
        <v>1</v>
      </c>
      <c r="S305" t="s">
        <v>30</v>
      </c>
      <c r="T305">
        <v>33.700000000000003</v>
      </c>
      <c r="U305">
        <v>74.87</v>
      </c>
      <c r="V305" t="b">
        <v>1</v>
      </c>
      <c r="W305" t="s">
        <v>41</v>
      </c>
    </row>
    <row r="306" spans="1:23" x14ac:dyDescent="0.25">
      <c r="A306" t="s">
        <v>61</v>
      </c>
      <c r="B306" t="s">
        <v>66</v>
      </c>
      <c r="C306">
        <v>65.52</v>
      </c>
      <c r="D306">
        <v>459</v>
      </c>
      <c r="E306" t="b">
        <v>0</v>
      </c>
      <c r="F306" t="b">
        <v>1</v>
      </c>
      <c r="G306" t="b">
        <v>0</v>
      </c>
      <c r="H306" t="s">
        <v>25</v>
      </c>
      <c r="I306" t="s">
        <v>44</v>
      </c>
      <c r="J306" t="s">
        <v>50</v>
      </c>
      <c r="K306" t="s">
        <v>28</v>
      </c>
      <c r="L306" t="s">
        <v>38</v>
      </c>
      <c r="M306" t="s">
        <v>46</v>
      </c>
      <c r="N306" t="s">
        <v>46</v>
      </c>
      <c r="O306" t="b">
        <v>0</v>
      </c>
      <c r="P306" t="b">
        <v>1</v>
      </c>
      <c r="Q306">
        <v>6.5</v>
      </c>
      <c r="R306" t="b">
        <v>1</v>
      </c>
      <c r="S306" t="s">
        <v>48</v>
      </c>
      <c r="T306">
        <v>15.5</v>
      </c>
      <c r="U306">
        <v>66.39</v>
      </c>
      <c r="V306" t="b">
        <v>1</v>
      </c>
      <c r="W306" t="s">
        <v>41</v>
      </c>
    </row>
    <row r="307" spans="1:23" x14ac:dyDescent="0.25">
      <c r="A307" t="s">
        <v>32</v>
      </c>
      <c r="B307" t="s">
        <v>59</v>
      </c>
      <c r="C307">
        <v>75.239999999999995</v>
      </c>
      <c r="D307">
        <v>234</v>
      </c>
      <c r="E307" t="b">
        <v>1</v>
      </c>
      <c r="F307" t="b">
        <v>1</v>
      </c>
      <c r="G307" t="b">
        <v>1</v>
      </c>
      <c r="H307" t="s">
        <v>25</v>
      </c>
      <c r="I307" t="s">
        <v>57</v>
      </c>
      <c r="J307" t="s">
        <v>50</v>
      </c>
      <c r="K307" t="s">
        <v>39</v>
      </c>
      <c r="L307" t="s">
        <v>29</v>
      </c>
      <c r="M307" t="s">
        <v>28</v>
      </c>
      <c r="N307" t="s">
        <v>39</v>
      </c>
      <c r="P307" t="b">
        <v>0</v>
      </c>
      <c r="Q307">
        <v>8.6</v>
      </c>
      <c r="R307" t="b">
        <v>0</v>
      </c>
      <c r="T307">
        <v>0</v>
      </c>
      <c r="U307">
        <v>88.62</v>
      </c>
      <c r="V307" t="b">
        <v>1</v>
      </c>
      <c r="W307" t="s">
        <v>58</v>
      </c>
    </row>
    <row r="308" spans="1:23" x14ac:dyDescent="0.25">
      <c r="A308" t="s">
        <v>68</v>
      </c>
      <c r="B308" t="s">
        <v>59</v>
      </c>
      <c r="C308">
        <v>91.12</v>
      </c>
      <c r="D308">
        <v>389</v>
      </c>
      <c r="E308" t="b">
        <v>0</v>
      </c>
      <c r="F308" t="b">
        <v>1</v>
      </c>
      <c r="G308" t="b">
        <v>0</v>
      </c>
      <c r="H308" t="s">
        <v>34</v>
      </c>
      <c r="I308" t="s">
        <v>35</v>
      </c>
      <c r="J308" t="s">
        <v>36</v>
      </c>
      <c r="K308" t="s">
        <v>46</v>
      </c>
      <c r="L308" t="s">
        <v>37</v>
      </c>
      <c r="M308" t="s">
        <v>39</v>
      </c>
      <c r="O308" t="b">
        <v>0</v>
      </c>
      <c r="P308" t="b">
        <v>0</v>
      </c>
      <c r="Q308">
        <v>7.5</v>
      </c>
      <c r="R308" t="b">
        <v>1</v>
      </c>
      <c r="S308" t="s">
        <v>48</v>
      </c>
      <c r="T308">
        <v>15.3</v>
      </c>
      <c r="U308">
        <v>99.49</v>
      </c>
      <c r="V308" t="b">
        <v>0</v>
      </c>
      <c r="W308" t="s">
        <v>41</v>
      </c>
    </row>
    <row r="309" spans="1:23" x14ac:dyDescent="0.25">
      <c r="A309" t="s">
        <v>23</v>
      </c>
      <c r="B309" t="s">
        <v>71</v>
      </c>
      <c r="C309">
        <v>46.85</v>
      </c>
      <c r="D309">
        <v>568</v>
      </c>
      <c r="E309" t="b">
        <v>1</v>
      </c>
      <c r="F309" t="b">
        <v>1</v>
      </c>
      <c r="G309" t="b">
        <v>0</v>
      </c>
      <c r="H309" t="s">
        <v>34</v>
      </c>
      <c r="I309" t="s">
        <v>35</v>
      </c>
      <c r="J309" t="s">
        <v>45</v>
      </c>
      <c r="K309" t="s">
        <v>28</v>
      </c>
      <c r="L309" t="s">
        <v>38</v>
      </c>
      <c r="M309" t="s">
        <v>46</v>
      </c>
      <c r="N309" t="s">
        <v>28</v>
      </c>
      <c r="O309" t="b">
        <v>1</v>
      </c>
      <c r="P309" t="b">
        <v>0</v>
      </c>
      <c r="Q309">
        <v>7.3</v>
      </c>
      <c r="R309" t="b">
        <v>1</v>
      </c>
      <c r="S309" t="s">
        <v>30</v>
      </c>
      <c r="T309">
        <v>17.3</v>
      </c>
      <c r="U309">
        <v>36.869999999999997</v>
      </c>
      <c r="V309" t="b">
        <v>0</v>
      </c>
      <c r="W309" t="s">
        <v>41</v>
      </c>
    </row>
    <row r="310" spans="1:23" x14ac:dyDescent="0.25">
      <c r="A310" t="s">
        <v>68</v>
      </c>
      <c r="B310" t="s">
        <v>70</v>
      </c>
      <c r="C310">
        <v>90.92</v>
      </c>
      <c r="D310">
        <v>560</v>
      </c>
      <c r="E310" t="b">
        <v>0</v>
      </c>
      <c r="F310" t="b">
        <v>0</v>
      </c>
      <c r="G310" t="b">
        <v>0</v>
      </c>
      <c r="H310" t="s">
        <v>53</v>
      </c>
      <c r="I310" t="s">
        <v>67</v>
      </c>
      <c r="J310" t="s">
        <v>27</v>
      </c>
      <c r="K310" t="s">
        <v>37</v>
      </c>
      <c r="L310" t="s">
        <v>37</v>
      </c>
      <c r="M310" t="s">
        <v>39</v>
      </c>
      <c r="N310" t="s">
        <v>46</v>
      </c>
      <c r="O310" t="b">
        <v>1</v>
      </c>
      <c r="P310" t="b">
        <v>1</v>
      </c>
      <c r="Q310">
        <v>10</v>
      </c>
      <c r="R310" t="b">
        <v>1</v>
      </c>
      <c r="S310" t="s">
        <v>64</v>
      </c>
      <c r="T310">
        <v>23</v>
      </c>
      <c r="U310">
        <v>79.09</v>
      </c>
      <c r="V310" t="b">
        <v>0</v>
      </c>
      <c r="W310" t="s">
        <v>31</v>
      </c>
    </row>
    <row r="311" spans="1:23" x14ac:dyDescent="0.25">
      <c r="A311" t="s">
        <v>68</v>
      </c>
      <c r="B311" t="s">
        <v>42</v>
      </c>
      <c r="C311">
        <v>83.18</v>
      </c>
      <c r="D311">
        <v>420</v>
      </c>
      <c r="E311" t="b">
        <v>0</v>
      </c>
      <c r="F311" t="b">
        <v>1</v>
      </c>
      <c r="G311" t="b">
        <v>1</v>
      </c>
      <c r="H311" t="s">
        <v>43</v>
      </c>
      <c r="I311" t="s">
        <v>44</v>
      </c>
      <c r="J311" t="s">
        <v>50</v>
      </c>
      <c r="K311" t="s">
        <v>37</v>
      </c>
      <c r="L311" t="s">
        <v>37</v>
      </c>
      <c r="M311" t="s">
        <v>47</v>
      </c>
      <c r="P311" t="b">
        <v>0</v>
      </c>
      <c r="Q311">
        <v>6.5</v>
      </c>
      <c r="R311" t="b">
        <v>1</v>
      </c>
      <c r="S311" t="s">
        <v>65</v>
      </c>
      <c r="T311">
        <v>3.4</v>
      </c>
      <c r="U311">
        <v>78.989999999999995</v>
      </c>
      <c r="V311" t="b">
        <v>1</v>
      </c>
      <c r="W311" t="s">
        <v>41</v>
      </c>
    </row>
    <row r="312" spans="1:23" x14ac:dyDescent="0.25">
      <c r="A312" t="s">
        <v>61</v>
      </c>
      <c r="B312" t="s">
        <v>66</v>
      </c>
      <c r="C312">
        <v>62.01</v>
      </c>
      <c r="D312">
        <v>336</v>
      </c>
      <c r="E312" t="b">
        <v>0</v>
      </c>
      <c r="F312" t="b">
        <v>0</v>
      </c>
      <c r="G312" t="b">
        <v>1</v>
      </c>
      <c r="H312" t="s">
        <v>43</v>
      </c>
      <c r="I312" t="s">
        <v>67</v>
      </c>
      <c r="J312" t="s">
        <v>36</v>
      </c>
      <c r="K312" t="s">
        <v>46</v>
      </c>
      <c r="L312" t="s">
        <v>38</v>
      </c>
      <c r="M312" t="s">
        <v>47</v>
      </c>
      <c r="N312" t="s">
        <v>39</v>
      </c>
      <c r="P312" t="b">
        <v>1</v>
      </c>
      <c r="Q312">
        <v>7.2</v>
      </c>
      <c r="R312" t="b">
        <v>1</v>
      </c>
      <c r="S312" t="s">
        <v>55</v>
      </c>
      <c r="T312">
        <v>30.5</v>
      </c>
      <c r="U312">
        <v>66.489999999999995</v>
      </c>
      <c r="V312" t="b">
        <v>1</v>
      </c>
      <c r="W312" t="s">
        <v>41</v>
      </c>
    </row>
    <row r="313" spans="1:23" x14ac:dyDescent="0.25">
      <c r="A313" t="s">
        <v>32</v>
      </c>
      <c r="B313" t="s">
        <v>73</v>
      </c>
      <c r="C313">
        <v>63.01</v>
      </c>
      <c r="D313">
        <v>692</v>
      </c>
      <c r="E313" t="b">
        <v>0</v>
      </c>
      <c r="F313" t="b">
        <v>1</v>
      </c>
      <c r="G313" t="b">
        <v>1</v>
      </c>
      <c r="H313" t="s">
        <v>53</v>
      </c>
      <c r="I313" t="s">
        <v>44</v>
      </c>
      <c r="J313" t="s">
        <v>45</v>
      </c>
      <c r="K313" t="s">
        <v>37</v>
      </c>
      <c r="L313" t="s">
        <v>51</v>
      </c>
      <c r="M313" t="s">
        <v>47</v>
      </c>
      <c r="O313" t="b">
        <v>1</v>
      </c>
      <c r="P313" t="b">
        <v>0</v>
      </c>
      <c r="Q313">
        <v>6</v>
      </c>
      <c r="R313" t="b">
        <v>1</v>
      </c>
      <c r="S313" t="s">
        <v>30</v>
      </c>
      <c r="T313">
        <v>11.7</v>
      </c>
      <c r="U313">
        <v>60.97</v>
      </c>
      <c r="V313" t="b">
        <v>1</v>
      </c>
      <c r="W313" t="s">
        <v>41</v>
      </c>
    </row>
    <row r="314" spans="1:23" x14ac:dyDescent="0.25">
      <c r="A314" t="s">
        <v>23</v>
      </c>
      <c r="B314" t="s">
        <v>49</v>
      </c>
      <c r="C314">
        <v>78.53</v>
      </c>
      <c r="D314">
        <v>115</v>
      </c>
      <c r="E314" t="b">
        <v>0</v>
      </c>
      <c r="F314" t="b">
        <v>0</v>
      </c>
      <c r="G314" t="b">
        <v>1</v>
      </c>
      <c r="H314" t="s">
        <v>53</v>
      </c>
      <c r="I314" t="s">
        <v>67</v>
      </c>
      <c r="J314" t="s">
        <v>54</v>
      </c>
      <c r="K314" t="s">
        <v>28</v>
      </c>
      <c r="L314" t="s">
        <v>51</v>
      </c>
      <c r="M314" t="s">
        <v>47</v>
      </c>
      <c r="N314" t="s">
        <v>39</v>
      </c>
      <c r="O314" t="b">
        <v>0</v>
      </c>
      <c r="P314" t="b">
        <v>0</v>
      </c>
      <c r="Q314">
        <v>6.7</v>
      </c>
      <c r="R314" t="b">
        <v>1</v>
      </c>
      <c r="S314" t="s">
        <v>30</v>
      </c>
      <c r="T314">
        <v>26.8</v>
      </c>
      <c r="U314">
        <v>93.14</v>
      </c>
      <c r="V314" t="b">
        <v>0</v>
      </c>
      <c r="W314" t="s">
        <v>41</v>
      </c>
    </row>
    <row r="315" spans="1:23" x14ac:dyDescent="0.25">
      <c r="A315" t="s">
        <v>23</v>
      </c>
      <c r="B315" t="s">
        <v>66</v>
      </c>
      <c r="C315">
        <v>65.34</v>
      </c>
      <c r="D315">
        <v>672</v>
      </c>
      <c r="E315" t="b">
        <v>0</v>
      </c>
      <c r="F315" t="b">
        <v>1</v>
      </c>
      <c r="G315" t="b">
        <v>0</v>
      </c>
      <c r="H315" t="s">
        <v>43</v>
      </c>
      <c r="I315" t="s">
        <v>57</v>
      </c>
      <c r="J315" t="s">
        <v>36</v>
      </c>
      <c r="K315" t="s">
        <v>46</v>
      </c>
      <c r="L315" t="s">
        <v>29</v>
      </c>
      <c r="M315" t="s">
        <v>28</v>
      </c>
      <c r="N315" t="s">
        <v>39</v>
      </c>
      <c r="O315" t="b">
        <v>1</v>
      </c>
      <c r="P315" t="b">
        <v>1</v>
      </c>
      <c r="Q315">
        <v>8.6999999999999993</v>
      </c>
      <c r="R315" t="b">
        <v>0</v>
      </c>
      <c r="T315">
        <v>0</v>
      </c>
      <c r="U315">
        <v>42.91</v>
      </c>
      <c r="V315" t="b">
        <v>0</v>
      </c>
      <c r="W315" t="s">
        <v>58</v>
      </c>
    </row>
    <row r="316" spans="1:23" x14ac:dyDescent="0.25">
      <c r="A316" t="s">
        <v>32</v>
      </c>
      <c r="B316" t="s">
        <v>71</v>
      </c>
      <c r="C316">
        <v>41.61</v>
      </c>
      <c r="D316">
        <v>67</v>
      </c>
      <c r="E316" t="b">
        <v>0</v>
      </c>
      <c r="F316" t="b">
        <v>0</v>
      </c>
      <c r="G316" t="b">
        <v>1</v>
      </c>
      <c r="H316" t="s">
        <v>53</v>
      </c>
      <c r="I316" t="s">
        <v>57</v>
      </c>
      <c r="J316" t="s">
        <v>36</v>
      </c>
      <c r="K316" t="s">
        <v>37</v>
      </c>
      <c r="L316" t="s">
        <v>37</v>
      </c>
      <c r="M316" t="s">
        <v>47</v>
      </c>
      <c r="N316" t="s">
        <v>28</v>
      </c>
      <c r="O316" t="b">
        <v>1</v>
      </c>
      <c r="P316" t="b">
        <v>0</v>
      </c>
      <c r="Q316">
        <v>5</v>
      </c>
      <c r="R316" t="b">
        <v>1</v>
      </c>
      <c r="S316" t="s">
        <v>52</v>
      </c>
      <c r="T316">
        <v>18.8</v>
      </c>
      <c r="U316">
        <v>36.71</v>
      </c>
      <c r="V316" t="b">
        <v>1</v>
      </c>
      <c r="W316" t="s">
        <v>41</v>
      </c>
    </row>
    <row r="317" spans="1:23" x14ac:dyDescent="0.25">
      <c r="A317" t="s">
        <v>23</v>
      </c>
      <c r="B317" t="s">
        <v>24</v>
      </c>
      <c r="C317">
        <v>90.44</v>
      </c>
      <c r="D317">
        <v>188</v>
      </c>
      <c r="E317" t="b">
        <v>0</v>
      </c>
      <c r="F317" t="b">
        <v>1</v>
      </c>
      <c r="G317" t="b">
        <v>1</v>
      </c>
      <c r="H317" t="s">
        <v>43</v>
      </c>
      <c r="I317" t="s">
        <v>67</v>
      </c>
      <c r="J317" t="s">
        <v>27</v>
      </c>
      <c r="K317" t="s">
        <v>28</v>
      </c>
      <c r="L317" t="s">
        <v>37</v>
      </c>
      <c r="M317" t="s">
        <v>47</v>
      </c>
      <c r="N317" t="s">
        <v>46</v>
      </c>
      <c r="O317" t="b">
        <v>1</v>
      </c>
      <c r="P317" t="b">
        <v>1</v>
      </c>
      <c r="Q317">
        <v>9.8000000000000007</v>
      </c>
      <c r="R317" t="b">
        <v>0</v>
      </c>
      <c r="T317">
        <v>0</v>
      </c>
      <c r="U317">
        <v>93.15</v>
      </c>
      <c r="V317" t="b">
        <v>1</v>
      </c>
      <c r="W317" t="s">
        <v>58</v>
      </c>
    </row>
    <row r="318" spans="1:23" x14ac:dyDescent="0.25">
      <c r="A318" t="s">
        <v>23</v>
      </c>
      <c r="B318" t="s">
        <v>60</v>
      </c>
      <c r="C318">
        <v>51.29</v>
      </c>
      <c r="D318">
        <v>517</v>
      </c>
      <c r="E318" t="b">
        <v>1</v>
      </c>
      <c r="F318" t="b">
        <v>0</v>
      </c>
      <c r="G318" t="b">
        <v>0</v>
      </c>
      <c r="H318" t="s">
        <v>34</v>
      </c>
      <c r="I318" t="s">
        <v>26</v>
      </c>
      <c r="J318" t="s">
        <v>54</v>
      </c>
      <c r="K318" t="s">
        <v>39</v>
      </c>
      <c r="L318" t="s">
        <v>51</v>
      </c>
      <c r="M318" t="s">
        <v>46</v>
      </c>
      <c r="N318" t="s">
        <v>46</v>
      </c>
      <c r="P318" t="b">
        <v>1</v>
      </c>
      <c r="Q318">
        <v>6</v>
      </c>
      <c r="R318" t="b">
        <v>1</v>
      </c>
      <c r="S318" t="s">
        <v>52</v>
      </c>
      <c r="T318">
        <v>32.9</v>
      </c>
      <c r="U318">
        <v>56.15</v>
      </c>
      <c r="V318" t="b">
        <v>1</v>
      </c>
      <c r="W318" t="s">
        <v>41</v>
      </c>
    </row>
    <row r="319" spans="1:23" x14ac:dyDescent="0.25">
      <c r="A319" t="s">
        <v>56</v>
      </c>
      <c r="B319" t="s">
        <v>33</v>
      </c>
      <c r="C319">
        <v>87.6</v>
      </c>
      <c r="D319">
        <v>737</v>
      </c>
      <c r="E319" t="b">
        <v>0</v>
      </c>
      <c r="F319" t="b">
        <v>0</v>
      </c>
      <c r="G319" t="b">
        <v>1</v>
      </c>
      <c r="H319" t="s">
        <v>43</v>
      </c>
      <c r="I319" t="s">
        <v>44</v>
      </c>
      <c r="J319" t="s">
        <v>50</v>
      </c>
      <c r="K319" t="s">
        <v>39</v>
      </c>
      <c r="L319" t="s">
        <v>29</v>
      </c>
      <c r="M319" t="s">
        <v>39</v>
      </c>
      <c r="N319" t="s">
        <v>28</v>
      </c>
      <c r="O319" t="b">
        <v>0</v>
      </c>
      <c r="P319" t="b">
        <v>1</v>
      </c>
      <c r="Q319">
        <v>7</v>
      </c>
      <c r="R319" t="b">
        <v>1</v>
      </c>
      <c r="S319" t="s">
        <v>64</v>
      </c>
      <c r="T319">
        <v>32.1</v>
      </c>
      <c r="U319">
        <v>76.3</v>
      </c>
      <c r="V319" t="b">
        <v>1</v>
      </c>
      <c r="W319" t="s">
        <v>41</v>
      </c>
    </row>
    <row r="320" spans="1:23" x14ac:dyDescent="0.25">
      <c r="A320" t="s">
        <v>74</v>
      </c>
      <c r="B320" t="s">
        <v>59</v>
      </c>
      <c r="C320">
        <v>87.63</v>
      </c>
      <c r="D320">
        <v>529</v>
      </c>
      <c r="E320" t="b">
        <v>1</v>
      </c>
      <c r="F320" t="b">
        <v>0</v>
      </c>
      <c r="G320" t="b">
        <v>0</v>
      </c>
      <c r="H320" t="s">
        <v>34</v>
      </c>
      <c r="I320" t="s">
        <v>67</v>
      </c>
      <c r="J320" t="s">
        <v>50</v>
      </c>
      <c r="K320" t="s">
        <v>39</v>
      </c>
      <c r="L320" t="s">
        <v>29</v>
      </c>
      <c r="M320" t="s">
        <v>47</v>
      </c>
      <c r="N320" t="s">
        <v>28</v>
      </c>
      <c r="P320" t="b">
        <v>1</v>
      </c>
      <c r="Q320">
        <v>9.1999999999999993</v>
      </c>
      <c r="R320" t="b">
        <v>1</v>
      </c>
      <c r="S320" t="s">
        <v>30</v>
      </c>
      <c r="T320">
        <v>10.5</v>
      </c>
      <c r="U320">
        <v>78.48</v>
      </c>
      <c r="V320" t="b">
        <v>1</v>
      </c>
      <c r="W320" t="s">
        <v>31</v>
      </c>
    </row>
    <row r="321" spans="1:23" x14ac:dyDescent="0.25">
      <c r="A321" t="s">
        <v>61</v>
      </c>
      <c r="B321" t="s">
        <v>60</v>
      </c>
      <c r="C321">
        <v>49.12</v>
      </c>
      <c r="D321">
        <v>218</v>
      </c>
      <c r="E321" t="b">
        <v>1</v>
      </c>
      <c r="F321" t="b">
        <v>1</v>
      </c>
      <c r="G321" t="b">
        <v>0</v>
      </c>
      <c r="H321" t="s">
        <v>34</v>
      </c>
      <c r="I321" t="s">
        <v>44</v>
      </c>
      <c r="J321" t="s">
        <v>27</v>
      </c>
      <c r="K321" t="s">
        <v>37</v>
      </c>
      <c r="L321" t="s">
        <v>69</v>
      </c>
      <c r="M321" t="s">
        <v>47</v>
      </c>
      <c r="N321" t="s">
        <v>39</v>
      </c>
      <c r="O321" t="b">
        <v>0</v>
      </c>
      <c r="P321" t="b">
        <v>1</v>
      </c>
      <c r="Q321">
        <v>3.8</v>
      </c>
      <c r="R321" t="b">
        <v>1</v>
      </c>
      <c r="S321" t="s">
        <v>30</v>
      </c>
      <c r="T321">
        <v>17.100000000000001</v>
      </c>
      <c r="U321">
        <v>44.32</v>
      </c>
      <c r="V321" t="b">
        <v>1</v>
      </c>
      <c r="W321" t="s">
        <v>72</v>
      </c>
    </row>
    <row r="322" spans="1:23" x14ac:dyDescent="0.25">
      <c r="A322" t="s">
        <v>23</v>
      </c>
      <c r="B322" t="s">
        <v>49</v>
      </c>
      <c r="C322">
        <v>66.459999999999994</v>
      </c>
      <c r="D322">
        <v>71</v>
      </c>
      <c r="E322" t="b">
        <v>1</v>
      </c>
      <c r="F322" t="b">
        <v>1</v>
      </c>
      <c r="G322" t="b">
        <v>1</v>
      </c>
      <c r="H322" t="s">
        <v>53</v>
      </c>
      <c r="I322" t="s">
        <v>63</v>
      </c>
      <c r="J322" t="s">
        <v>54</v>
      </c>
      <c r="K322" t="s">
        <v>28</v>
      </c>
      <c r="L322" t="s">
        <v>37</v>
      </c>
      <c r="M322" t="s">
        <v>28</v>
      </c>
      <c r="N322" t="s">
        <v>46</v>
      </c>
      <c r="O322" t="b">
        <v>1</v>
      </c>
      <c r="P322" t="b">
        <v>0</v>
      </c>
      <c r="Q322">
        <v>10</v>
      </c>
      <c r="R322" t="b">
        <v>0</v>
      </c>
      <c r="T322">
        <v>0</v>
      </c>
      <c r="U322">
        <v>74.77</v>
      </c>
      <c r="V322" t="b">
        <v>0</v>
      </c>
      <c r="W322" t="s">
        <v>58</v>
      </c>
    </row>
    <row r="323" spans="1:23" x14ac:dyDescent="0.25">
      <c r="A323" t="s">
        <v>23</v>
      </c>
      <c r="B323" t="s">
        <v>24</v>
      </c>
      <c r="C323">
        <v>94.83</v>
      </c>
      <c r="D323">
        <v>413</v>
      </c>
      <c r="E323" t="b">
        <v>0</v>
      </c>
      <c r="F323" t="b">
        <v>0</v>
      </c>
      <c r="G323" t="b">
        <v>0</v>
      </c>
      <c r="H323" t="s">
        <v>34</v>
      </c>
      <c r="I323" t="s">
        <v>67</v>
      </c>
      <c r="J323" t="s">
        <v>36</v>
      </c>
      <c r="K323" t="s">
        <v>39</v>
      </c>
      <c r="L323" t="s">
        <v>69</v>
      </c>
      <c r="M323" t="s">
        <v>47</v>
      </c>
      <c r="P323" t="b">
        <v>1</v>
      </c>
      <c r="Q323">
        <v>9.4</v>
      </c>
      <c r="R323" t="b">
        <v>1</v>
      </c>
      <c r="S323" t="s">
        <v>30</v>
      </c>
      <c r="T323">
        <v>29.8</v>
      </c>
      <c r="U323">
        <v>100</v>
      </c>
      <c r="V323" t="b">
        <v>1</v>
      </c>
      <c r="W323" t="s">
        <v>31</v>
      </c>
    </row>
    <row r="324" spans="1:23" x14ac:dyDescent="0.25">
      <c r="A324" t="s">
        <v>23</v>
      </c>
      <c r="B324" t="s">
        <v>49</v>
      </c>
      <c r="C324">
        <v>71.05</v>
      </c>
      <c r="D324">
        <v>516</v>
      </c>
      <c r="E324" t="b">
        <v>1</v>
      </c>
      <c r="F324" t="b">
        <v>0</v>
      </c>
      <c r="G324" t="b">
        <v>1</v>
      </c>
      <c r="H324" t="s">
        <v>43</v>
      </c>
      <c r="I324" t="s">
        <v>26</v>
      </c>
      <c r="J324" t="s">
        <v>45</v>
      </c>
      <c r="K324" t="s">
        <v>39</v>
      </c>
      <c r="L324" t="s">
        <v>51</v>
      </c>
      <c r="M324" t="s">
        <v>39</v>
      </c>
      <c r="P324" t="b">
        <v>0</v>
      </c>
      <c r="Q324">
        <v>7.8</v>
      </c>
      <c r="R324" t="b">
        <v>1</v>
      </c>
      <c r="S324" t="s">
        <v>64</v>
      </c>
      <c r="T324">
        <v>38.799999999999997</v>
      </c>
      <c r="U324">
        <v>72.58</v>
      </c>
      <c r="V324" t="b">
        <v>1</v>
      </c>
      <c r="W324" t="s">
        <v>41</v>
      </c>
    </row>
    <row r="325" spans="1:23" x14ac:dyDescent="0.25">
      <c r="A325" t="s">
        <v>61</v>
      </c>
      <c r="B325" t="s">
        <v>49</v>
      </c>
      <c r="C325">
        <v>71.760000000000005</v>
      </c>
      <c r="D325">
        <v>525</v>
      </c>
      <c r="E325" t="b">
        <v>1</v>
      </c>
      <c r="F325" t="b">
        <v>1</v>
      </c>
      <c r="G325" t="b">
        <v>1</v>
      </c>
      <c r="H325" t="s">
        <v>25</v>
      </c>
      <c r="I325" t="s">
        <v>63</v>
      </c>
      <c r="J325" t="s">
        <v>36</v>
      </c>
      <c r="K325" t="s">
        <v>46</v>
      </c>
      <c r="L325" t="s">
        <v>51</v>
      </c>
      <c r="M325" t="s">
        <v>39</v>
      </c>
      <c r="N325" t="s">
        <v>39</v>
      </c>
      <c r="O325" t="b">
        <v>1</v>
      </c>
      <c r="P325" t="b">
        <v>0</v>
      </c>
      <c r="Q325">
        <v>9.6999999999999993</v>
      </c>
      <c r="R325" t="b">
        <v>0</v>
      </c>
      <c r="T325">
        <v>0</v>
      </c>
      <c r="U325">
        <v>74.069999999999993</v>
      </c>
      <c r="V325" t="b">
        <v>0</v>
      </c>
      <c r="W325" t="s">
        <v>58</v>
      </c>
    </row>
    <row r="326" spans="1:23" x14ac:dyDescent="0.25">
      <c r="A326" t="s">
        <v>74</v>
      </c>
      <c r="B326" t="s">
        <v>71</v>
      </c>
      <c r="C326">
        <v>58.76</v>
      </c>
      <c r="D326">
        <v>253</v>
      </c>
      <c r="E326" t="b">
        <v>0</v>
      </c>
      <c r="F326" t="b">
        <v>1</v>
      </c>
      <c r="G326" t="b">
        <v>1</v>
      </c>
      <c r="H326" t="s">
        <v>53</v>
      </c>
      <c r="I326" t="s">
        <v>63</v>
      </c>
      <c r="J326" t="s">
        <v>50</v>
      </c>
      <c r="K326" t="s">
        <v>46</v>
      </c>
      <c r="L326" t="s">
        <v>51</v>
      </c>
      <c r="M326" t="s">
        <v>47</v>
      </c>
      <c r="N326" t="s">
        <v>39</v>
      </c>
      <c r="P326" t="b">
        <v>1</v>
      </c>
      <c r="Q326">
        <v>5.0999999999999996</v>
      </c>
      <c r="R326" t="b">
        <v>1</v>
      </c>
      <c r="S326" t="s">
        <v>30</v>
      </c>
      <c r="T326">
        <v>21.5</v>
      </c>
      <c r="U326">
        <v>46.77</v>
      </c>
      <c r="V326" t="b">
        <v>1</v>
      </c>
      <c r="W326" t="s">
        <v>41</v>
      </c>
    </row>
    <row r="327" spans="1:23" x14ac:dyDescent="0.25">
      <c r="A327" t="s">
        <v>56</v>
      </c>
      <c r="B327" t="s">
        <v>24</v>
      </c>
      <c r="C327">
        <v>87.14</v>
      </c>
      <c r="D327">
        <v>258</v>
      </c>
      <c r="E327" t="b">
        <v>0</v>
      </c>
      <c r="F327" t="b">
        <v>1</v>
      </c>
      <c r="G327" t="b">
        <v>0</v>
      </c>
      <c r="H327" t="s">
        <v>43</v>
      </c>
      <c r="I327" t="s">
        <v>35</v>
      </c>
      <c r="J327" t="s">
        <v>45</v>
      </c>
      <c r="K327" t="s">
        <v>28</v>
      </c>
      <c r="L327" t="s">
        <v>37</v>
      </c>
      <c r="M327" t="s">
        <v>28</v>
      </c>
      <c r="P327" t="b">
        <v>1</v>
      </c>
      <c r="Q327">
        <v>9.6999999999999993</v>
      </c>
      <c r="R327" t="b">
        <v>0</v>
      </c>
      <c r="T327">
        <v>0</v>
      </c>
      <c r="U327">
        <v>88.42</v>
      </c>
      <c r="V327" t="b">
        <v>1</v>
      </c>
      <c r="W327" t="s">
        <v>58</v>
      </c>
    </row>
    <row r="328" spans="1:23" x14ac:dyDescent="0.25">
      <c r="A328" t="s">
        <v>61</v>
      </c>
      <c r="B328" t="s">
        <v>60</v>
      </c>
      <c r="C328">
        <v>43.21</v>
      </c>
      <c r="D328">
        <v>87</v>
      </c>
      <c r="E328" t="b">
        <v>0</v>
      </c>
      <c r="F328" t="b">
        <v>1</v>
      </c>
      <c r="G328" t="b">
        <v>0</v>
      </c>
      <c r="H328" t="s">
        <v>25</v>
      </c>
      <c r="I328" t="s">
        <v>26</v>
      </c>
      <c r="J328" t="s">
        <v>27</v>
      </c>
      <c r="K328" t="s">
        <v>28</v>
      </c>
      <c r="L328" t="s">
        <v>38</v>
      </c>
      <c r="M328" t="s">
        <v>47</v>
      </c>
      <c r="N328" t="s">
        <v>46</v>
      </c>
      <c r="O328" t="b">
        <v>1</v>
      </c>
      <c r="P328" t="b">
        <v>1</v>
      </c>
      <c r="Q328">
        <v>5.4</v>
      </c>
      <c r="R328" t="b">
        <v>1</v>
      </c>
      <c r="S328" t="s">
        <v>30</v>
      </c>
      <c r="T328">
        <v>5.2</v>
      </c>
      <c r="U328">
        <v>28.68</v>
      </c>
      <c r="V328" t="b">
        <v>0</v>
      </c>
      <c r="W328" t="s">
        <v>41</v>
      </c>
    </row>
    <row r="329" spans="1:23" x14ac:dyDescent="0.25">
      <c r="A329" t="s">
        <v>56</v>
      </c>
      <c r="B329" t="s">
        <v>24</v>
      </c>
      <c r="C329">
        <v>92.7</v>
      </c>
      <c r="D329">
        <v>77</v>
      </c>
      <c r="E329" t="b">
        <v>1</v>
      </c>
      <c r="F329" t="b">
        <v>0</v>
      </c>
      <c r="G329" t="b">
        <v>1</v>
      </c>
      <c r="H329" t="s">
        <v>25</v>
      </c>
      <c r="I329" t="s">
        <v>63</v>
      </c>
      <c r="J329" t="s">
        <v>36</v>
      </c>
      <c r="K329" t="s">
        <v>37</v>
      </c>
      <c r="L329" t="s">
        <v>29</v>
      </c>
      <c r="M329" t="s">
        <v>46</v>
      </c>
      <c r="N329" t="s">
        <v>46</v>
      </c>
      <c r="O329" t="b">
        <v>1</v>
      </c>
      <c r="P329" t="b">
        <v>1</v>
      </c>
      <c r="Q329">
        <v>10</v>
      </c>
      <c r="R329" t="b">
        <v>0</v>
      </c>
      <c r="T329">
        <v>0</v>
      </c>
      <c r="U329">
        <v>90.29</v>
      </c>
      <c r="V329" t="b">
        <v>1</v>
      </c>
      <c r="W329" t="s">
        <v>58</v>
      </c>
    </row>
    <row r="330" spans="1:23" x14ac:dyDescent="0.25">
      <c r="A330" t="s">
        <v>68</v>
      </c>
      <c r="B330" t="s">
        <v>33</v>
      </c>
      <c r="C330">
        <v>76.02</v>
      </c>
      <c r="D330">
        <v>674</v>
      </c>
      <c r="E330" t="b">
        <v>1</v>
      </c>
      <c r="F330" t="b">
        <v>1</v>
      </c>
      <c r="G330" t="b">
        <v>1</v>
      </c>
      <c r="H330" t="s">
        <v>53</v>
      </c>
      <c r="I330" t="s">
        <v>44</v>
      </c>
      <c r="J330" t="s">
        <v>45</v>
      </c>
      <c r="K330" t="s">
        <v>37</v>
      </c>
      <c r="L330" t="s">
        <v>69</v>
      </c>
      <c r="M330" t="s">
        <v>46</v>
      </c>
      <c r="N330" t="s">
        <v>28</v>
      </c>
      <c r="P330" t="b">
        <v>0</v>
      </c>
      <c r="Q330">
        <v>9.4</v>
      </c>
      <c r="R330" t="b">
        <v>0</v>
      </c>
      <c r="T330">
        <v>0</v>
      </c>
      <c r="U330">
        <v>78.489999999999995</v>
      </c>
      <c r="V330" t="b">
        <v>1</v>
      </c>
      <c r="W330" t="s">
        <v>58</v>
      </c>
    </row>
    <row r="331" spans="1:23" x14ac:dyDescent="0.25">
      <c r="A331" t="s">
        <v>23</v>
      </c>
      <c r="B331" t="s">
        <v>62</v>
      </c>
      <c r="C331">
        <v>54.73</v>
      </c>
      <c r="D331">
        <v>493</v>
      </c>
      <c r="E331" t="b">
        <v>1</v>
      </c>
      <c r="F331" t="b">
        <v>0</v>
      </c>
      <c r="G331" t="b">
        <v>1</v>
      </c>
      <c r="H331" t="s">
        <v>53</v>
      </c>
      <c r="I331" t="s">
        <v>44</v>
      </c>
      <c r="J331" t="s">
        <v>45</v>
      </c>
      <c r="K331" t="s">
        <v>46</v>
      </c>
      <c r="L331" t="s">
        <v>37</v>
      </c>
      <c r="M331" t="s">
        <v>46</v>
      </c>
      <c r="N331" t="s">
        <v>46</v>
      </c>
      <c r="O331" t="b">
        <v>1</v>
      </c>
      <c r="P331" t="b">
        <v>1</v>
      </c>
      <c r="Q331">
        <v>8.6</v>
      </c>
      <c r="R331" t="b">
        <v>0</v>
      </c>
      <c r="T331">
        <v>0</v>
      </c>
      <c r="U331">
        <v>60.38</v>
      </c>
      <c r="V331" t="b">
        <v>0</v>
      </c>
      <c r="W331" t="s">
        <v>58</v>
      </c>
    </row>
    <row r="332" spans="1:23" x14ac:dyDescent="0.25">
      <c r="A332" t="s">
        <v>61</v>
      </c>
      <c r="B332" t="s">
        <v>76</v>
      </c>
      <c r="C332">
        <v>87.91</v>
      </c>
      <c r="D332">
        <v>378</v>
      </c>
      <c r="E332" t="b">
        <v>0</v>
      </c>
      <c r="F332" t="b">
        <v>1</v>
      </c>
      <c r="G332" t="b">
        <v>1</v>
      </c>
      <c r="H332" t="s">
        <v>25</v>
      </c>
      <c r="I332" t="s">
        <v>35</v>
      </c>
      <c r="J332" t="s">
        <v>36</v>
      </c>
      <c r="K332" t="s">
        <v>28</v>
      </c>
      <c r="L332" t="s">
        <v>38</v>
      </c>
      <c r="M332" t="s">
        <v>28</v>
      </c>
      <c r="N332" t="s">
        <v>46</v>
      </c>
      <c r="P332" t="b">
        <v>0</v>
      </c>
      <c r="Q332">
        <v>10</v>
      </c>
      <c r="R332" t="b">
        <v>0</v>
      </c>
      <c r="T332">
        <v>0</v>
      </c>
      <c r="U332">
        <v>84.86</v>
      </c>
      <c r="V332" t="b">
        <v>1</v>
      </c>
      <c r="W332" t="s">
        <v>58</v>
      </c>
    </row>
    <row r="333" spans="1:23" x14ac:dyDescent="0.25">
      <c r="A333" t="s">
        <v>23</v>
      </c>
      <c r="B333" t="s">
        <v>62</v>
      </c>
      <c r="C333">
        <v>52.66</v>
      </c>
      <c r="D333">
        <v>589</v>
      </c>
      <c r="E333" t="b">
        <v>0</v>
      </c>
      <c r="F333" t="b">
        <v>1</v>
      </c>
      <c r="G333" t="b">
        <v>1</v>
      </c>
      <c r="H333" t="s">
        <v>34</v>
      </c>
      <c r="I333" t="s">
        <v>44</v>
      </c>
      <c r="J333" t="s">
        <v>36</v>
      </c>
      <c r="K333" t="s">
        <v>39</v>
      </c>
      <c r="L333" t="s">
        <v>29</v>
      </c>
      <c r="M333" t="s">
        <v>46</v>
      </c>
      <c r="N333" t="s">
        <v>46</v>
      </c>
      <c r="O333" t="b">
        <v>1</v>
      </c>
      <c r="P333" t="b">
        <v>0</v>
      </c>
      <c r="Q333">
        <v>6.5</v>
      </c>
      <c r="R333" t="b">
        <v>1</v>
      </c>
      <c r="S333" t="s">
        <v>40</v>
      </c>
      <c r="T333">
        <v>11.4</v>
      </c>
      <c r="U333">
        <v>61.2</v>
      </c>
      <c r="V333" t="b">
        <v>1</v>
      </c>
      <c r="W333" t="s">
        <v>41</v>
      </c>
    </row>
    <row r="334" spans="1:23" x14ac:dyDescent="0.25">
      <c r="A334" t="s">
        <v>56</v>
      </c>
      <c r="B334" t="s">
        <v>76</v>
      </c>
      <c r="C334">
        <v>87.5</v>
      </c>
      <c r="D334">
        <v>214</v>
      </c>
      <c r="E334" t="b">
        <v>0</v>
      </c>
      <c r="F334" t="b">
        <v>1</v>
      </c>
      <c r="G334" t="b">
        <v>1</v>
      </c>
      <c r="H334" t="s">
        <v>25</v>
      </c>
      <c r="I334" t="s">
        <v>44</v>
      </c>
      <c r="J334" t="s">
        <v>54</v>
      </c>
      <c r="K334" t="s">
        <v>28</v>
      </c>
      <c r="L334" t="s">
        <v>37</v>
      </c>
      <c r="M334" t="s">
        <v>46</v>
      </c>
      <c r="P334" t="b">
        <v>0</v>
      </c>
      <c r="Q334">
        <v>9</v>
      </c>
      <c r="R334" t="b">
        <v>0</v>
      </c>
      <c r="T334">
        <v>0</v>
      </c>
      <c r="U334">
        <v>82.12</v>
      </c>
      <c r="V334" t="b">
        <v>1</v>
      </c>
      <c r="W334" t="s">
        <v>58</v>
      </c>
    </row>
    <row r="335" spans="1:23" x14ac:dyDescent="0.25">
      <c r="A335" t="s">
        <v>56</v>
      </c>
      <c r="B335" t="s">
        <v>66</v>
      </c>
      <c r="C335">
        <v>75.36</v>
      </c>
      <c r="D335">
        <v>495</v>
      </c>
      <c r="E335" t="b">
        <v>1</v>
      </c>
      <c r="F335" t="b">
        <v>0</v>
      </c>
      <c r="G335" t="b">
        <v>0</v>
      </c>
      <c r="H335" t="s">
        <v>53</v>
      </c>
      <c r="I335" t="s">
        <v>44</v>
      </c>
      <c r="J335" t="s">
        <v>45</v>
      </c>
      <c r="K335" t="s">
        <v>39</v>
      </c>
      <c r="L335" t="s">
        <v>29</v>
      </c>
      <c r="M335" t="s">
        <v>47</v>
      </c>
      <c r="N335" t="s">
        <v>39</v>
      </c>
      <c r="O335" t="b">
        <v>0</v>
      </c>
      <c r="P335" t="b">
        <v>1</v>
      </c>
      <c r="Q335">
        <v>6.6</v>
      </c>
      <c r="R335" t="b">
        <v>1</v>
      </c>
      <c r="S335" t="s">
        <v>55</v>
      </c>
      <c r="T335">
        <v>28.5</v>
      </c>
      <c r="U335">
        <v>52.54</v>
      </c>
      <c r="V335" t="b">
        <v>1</v>
      </c>
      <c r="W335" t="s">
        <v>41</v>
      </c>
    </row>
    <row r="336" spans="1:23" x14ac:dyDescent="0.25">
      <c r="A336" t="s">
        <v>32</v>
      </c>
      <c r="B336" t="s">
        <v>66</v>
      </c>
      <c r="C336">
        <v>75.510000000000005</v>
      </c>
      <c r="D336">
        <v>772</v>
      </c>
      <c r="E336" t="b">
        <v>1</v>
      </c>
      <c r="F336" t="b">
        <v>0</v>
      </c>
      <c r="G336" t="b">
        <v>0</v>
      </c>
      <c r="H336" t="s">
        <v>34</v>
      </c>
      <c r="I336" t="s">
        <v>26</v>
      </c>
      <c r="J336" t="s">
        <v>50</v>
      </c>
      <c r="K336" t="s">
        <v>39</v>
      </c>
      <c r="L336" t="s">
        <v>69</v>
      </c>
      <c r="M336" t="s">
        <v>39</v>
      </c>
      <c r="N336" t="s">
        <v>46</v>
      </c>
      <c r="P336" t="b">
        <v>1</v>
      </c>
      <c r="Q336">
        <v>8.6999999999999993</v>
      </c>
      <c r="R336" t="b">
        <v>0</v>
      </c>
      <c r="T336">
        <v>0</v>
      </c>
      <c r="U336">
        <v>53.06</v>
      </c>
      <c r="V336" t="b">
        <v>0</v>
      </c>
      <c r="W336" t="s">
        <v>58</v>
      </c>
    </row>
    <row r="337" spans="1:23" x14ac:dyDescent="0.25">
      <c r="A337" t="s">
        <v>23</v>
      </c>
      <c r="B337" t="s">
        <v>59</v>
      </c>
      <c r="C337">
        <v>88.09</v>
      </c>
      <c r="D337">
        <v>463</v>
      </c>
      <c r="E337" t="b">
        <v>0</v>
      </c>
      <c r="F337" t="b">
        <v>0</v>
      </c>
      <c r="G337" t="b">
        <v>0</v>
      </c>
      <c r="H337" t="s">
        <v>53</v>
      </c>
      <c r="I337" t="s">
        <v>44</v>
      </c>
      <c r="J337" t="s">
        <v>54</v>
      </c>
      <c r="K337" t="s">
        <v>37</v>
      </c>
      <c r="L337" t="s">
        <v>38</v>
      </c>
      <c r="M337" t="s">
        <v>47</v>
      </c>
      <c r="N337" t="s">
        <v>39</v>
      </c>
      <c r="P337" t="b">
        <v>0</v>
      </c>
      <c r="Q337">
        <v>8.4</v>
      </c>
      <c r="R337" t="b">
        <v>1</v>
      </c>
      <c r="S337" t="s">
        <v>30</v>
      </c>
      <c r="T337">
        <v>20.6</v>
      </c>
      <c r="U337">
        <v>77.59</v>
      </c>
      <c r="V337" t="b">
        <v>1</v>
      </c>
      <c r="W337" t="s">
        <v>31</v>
      </c>
    </row>
    <row r="338" spans="1:23" x14ac:dyDescent="0.25">
      <c r="A338" t="s">
        <v>61</v>
      </c>
      <c r="B338" t="s">
        <v>42</v>
      </c>
      <c r="C338">
        <v>72.31</v>
      </c>
      <c r="D338">
        <v>71</v>
      </c>
      <c r="E338" t="b">
        <v>0</v>
      </c>
      <c r="F338" t="b">
        <v>0</v>
      </c>
      <c r="G338" t="b">
        <v>1</v>
      </c>
      <c r="H338" t="s">
        <v>34</v>
      </c>
      <c r="I338" t="s">
        <v>63</v>
      </c>
      <c r="J338" t="s">
        <v>36</v>
      </c>
      <c r="K338" t="s">
        <v>28</v>
      </c>
      <c r="L338" t="s">
        <v>69</v>
      </c>
      <c r="M338" t="s">
        <v>39</v>
      </c>
      <c r="N338" t="s">
        <v>46</v>
      </c>
      <c r="P338" t="b">
        <v>0</v>
      </c>
      <c r="Q338">
        <v>7.6</v>
      </c>
      <c r="R338" t="b">
        <v>1</v>
      </c>
      <c r="S338" t="s">
        <v>30</v>
      </c>
      <c r="T338">
        <v>2.2000000000000002</v>
      </c>
      <c r="U338">
        <v>78.680000000000007</v>
      </c>
      <c r="V338" t="b">
        <v>1</v>
      </c>
      <c r="W338" t="s">
        <v>41</v>
      </c>
    </row>
    <row r="339" spans="1:23" x14ac:dyDescent="0.25">
      <c r="A339" t="s">
        <v>56</v>
      </c>
      <c r="B339" t="s">
        <v>24</v>
      </c>
      <c r="C339">
        <v>95.28</v>
      </c>
      <c r="D339">
        <v>549</v>
      </c>
      <c r="E339" t="b">
        <v>0</v>
      </c>
      <c r="F339" t="b">
        <v>0</v>
      </c>
      <c r="G339" t="b">
        <v>1</v>
      </c>
      <c r="H339" t="s">
        <v>25</v>
      </c>
      <c r="I339" t="s">
        <v>26</v>
      </c>
      <c r="J339" t="s">
        <v>45</v>
      </c>
      <c r="K339" t="s">
        <v>46</v>
      </c>
      <c r="L339" t="s">
        <v>69</v>
      </c>
      <c r="M339" t="s">
        <v>46</v>
      </c>
      <c r="N339" t="s">
        <v>28</v>
      </c>
      <c r="O339" t="b">
        <v>0</v>
      </c>
      <c r="P339" t="b">
        <v>0</v>
      </c>
      <c r="Q339">
        <v>10</v>
      </c>
      <c r="R339" t="b">
        <v>0</v>
      </c>
      <c r="T339">
        <v>0</v>
      </c>
      <c r="U339">
        <v>97.67</v>
      </c>
      <c r="V339" t="b">
        <v>1</v>
      </c>
      <c r="W339" t="s">
        <v>58</v>
      </c>
    </row>
    <row r="340" spans="1:23" x14ac:dyDescent="0.25">
      <c r="A340" t="s">
        <v>56</v>
      </c>
      <c r="B340" t="s">
        <v>73</v>
      </c>
      <c r="C340">
        <v>67.430000000000007</v>
      </c>
      <c r="D340">
        <v>299</v>
      </c>
      <c r="E340" t="b">
        <v>1</v>
      </c>
      <c r="F340" t="b">
        <v>0</v>
      </c>
      <c r="G340" t="b">
        <v>0</v>
      </c>
      <c r="H340" t="s">
        <v>25</v>
      </c>
      <c r="I340" t="s">
        <v>44</v>
      </c>
      <c r="J340" t="s">
        <v>45</v>
      </c>
      <c r="K340" t="s">
        <v>37</v>
      </c>
      <c r="L340" t="s">
        <v>29</v>
      </c>
      <c r="M340" t="s">
        <v>28</v>
      </c>
      <c r="N340" t="s">
        <v>39</v>
      </c>
      <c r="P340" t="b">
        <v>0</v>
      </c>
      <c r="Q340">
        <v>8.4</v>
      </c>
      <c r="R340" t="b">
        <v>0</v>
      </c>
      <c r="T340">
        <v>0</v>
      </c>
      <c r="U340">
        <v>56.49</v>
      </c>
      <c r="V340" t="b">
        <v>0</v>
      </c>
      <c r="W340" t="s">
        <v>58</v>
      </c>
    </row>
    <row r="341" spans="1:23" x14ac:dyDescent="0.25">
      <c r="A341" t="s">
        <v>32</v>
      </c>
      <c r="B341" t="s">
        <v>60</v>
      </c>
      <c r="C341">
        <v>41.7</v>
      </c>
      <c r="D341">
        <v>639</v>
      </c>
      <c r="E341" t="b">
        <v>0</v>
      </c>
      <c r="F341" t="b">
        <v>0</v>
      </c>
      <c r="G341" t="b">
        <v>1</v>
      </c>
      <c r="H341" t="s">
        <v>43</v>
      </c>
      <c r="I341" t="s">
        <v>57</v>
      </c>
      <c r="J341" t="s">
        <v>36</v>
      </c>
      <c r="K341" t="s">
        <v>37</v>
      </c>
      <c r="L341" t="s">
        <v>69</v>
      </c>
      <c r="M341" t="s">
        <v>47</v>
      </c>
      <c r="P341" t="b">
        <v>0</v>
      </c>
      <c r="Q341">
        <v>4.3</v>
      </c>
      <c r="R341" t="b">
        <v>1</v>
      </c>
      <c r="S341" t="s">
        <v>75</v>
      </c>
      <c r="T341">
        <v>27.1</v>
      </c>
      <c r="U341">
        <v>49.97</v>
      </c>
      <c r="V341" t="b">
        <v>1</v>
      </c>
      <c r="W341" t="s">
        <v>72</v>
      </c>
    </row>
    <row r="342" spans="1:23" x14ac:dyDescent="0.25">
      <c r="A342" t="s">
        <v>23</v>
      </c>
      <c r="B342" t="s">
        <v>60</v>
      </c>
      <c r="C342">
        <v>59.39</v>
      </c>
      <c r="D342">
        <v>439</v>
      </c>
      <c r="E342" t="b">
        <v>1</v>
      </c>
      <c r="F342" t="b">
        <v>1</v>
      </c>
      <c r="G342" t="b">
        <v>1</v>
      </c>
      <c r="H342" t="s">
        <v>25</v>
      </c>
      <c r="I342" t="s">
        <v>35</v>
      </c>
      <c r="J342" t="s">
        <v>50</v>
      </c>
      <c r="K342" t="s">
        <v>28</v>
      </c>
      <c r="L342" t="s">
        <v>37</v>
      </c>
      <c r="M342" t="s">
        <v>47</v>
      </c>
      <c r="O342" t="b">
        <v>1</v>
      </c>
      <c r="P342" t="b">
        <v>0</v>
      </c>
      <c r="Q342">
        <v>8.3000000000000007</v>
      </c>
      <c r="R342" t="b">
        <v>1</v>
      </c>
      <c r="S342" t="s">
        <v>64</v>
      </c>
      <c r="T342">
        <v>22.5</v>
      </c>
      <c r="U342">
        <v>61.71</v>
      </c>
      <c r="V342" t="b">
        <v>0</v>
      </c>
      <c r="W342" t="s">
        <v>31</v>
      </c>
    </row>
    <row r="343" spans="1:23" x14ac:dyDescent="0.25">
      <c r="A343" t="s">
        <v>68</v>
      </c>
      <c r="B343" t="s">
        <v>76</v>
      </c>
      <c r="C343">
        <v>72.099999999999994</v>
      </c>
      <c r="D343">
        <v>572</v>
      </c>
      <c r="E343" t="b">
        <v>0</v>
      </c>
      <c r="F343" t="b">
        <v>1</v>
      </c>
      <c r="G343" t="b">
        <v>1</v>
      </c>
      <c r="H343" t="s">
        <v>34</v>
      </c>
      <c r="I343" t="s">
        <v>26</v>
      </c>
      <c r="J343" t="s">
        <v>36</v>
      </c>
      <c r="K343" t="s">
        <v>46</v>
      </c>
      <c r="L343" t="s">
        <v>51</v>
      </c>
      <c r="M343" t="s">
        <v>28</v>
      </c>
      <c r="O343" t="b">
        <v>0</v>
      </c>
      <c r="P343" t="b">
        <v>0</v>
      </c>
      <c r="Q343">
        <v>6.5</v>
      </c>
      <c r="R343" t="b">
        <v>0</v>
      </c>
      <c r="T343">
        <v>0</v>
      </c>
      <c r="U343">
        <v>71.180000000000007</v>
      </c>
      <c r="V343" t="b">
        <v>1</v>
      </c>
      <c r="W343" t="s">
        <v>31</v>
      </c>
    </row>
    <row r="344" spans="1:23" x14ac:dyDescent="0.25">
      <c r="A344" t="s">
        <v>68</v>
      </c>
      <c r="B344" t="s">
        <v>42</v>
      </c>
      <c r="C344">
        <v>80.69</v>
      </c>
      <c r="D344">
        <v>227</v>
      </c>
      <c r="E344" t="b">
        <v>1</v>
      </c>
      <c r="F344" t="b">
        <v>0</v>
      </c>
      <c r="G344" t="b">
        <v>1</v>
      </c>
      <c r="H344" t="s">
        <v>43</v>
      </c>
      <c r="I344" t="s">
        <v>35</v>
      </c>
      <c r="J344" t="s">
        <v>54</v>
      </c>
      <c r="K344" t="s">
        <v>28</v>
      </c>
      <c r="L344" t="s">
        <v>29</v>
      </c>
      <c r="M344" t="s">
        <v>47</v>
      </c>
      <c r="N344" t="s">
        <v>39</v>
      </c>
      <c r="O344" t="b">
        <v>1</v>
      </c>
      <c r="P344" t="b">
        <v>0</v>
      </c>
      <c r="Q344">
        <v>10</v>
      </c>
      <c r="R344" t="b">
        <v>0</v>
      </c>
      <c r="T344">
        <v>0</v>
      </c>
      <c r="U344">
        <v>75.48</v>
      </c>
      <c r="V344" t="b">
        <v>0</v>
      </c>
      <c r="W344" t="s">
        <v>58</v>
      </c>
    </row>
    <row r="345" spans="1:23" x14ac:dyDescent="0.25">
      <c r="A345" t="s">
        <v>56</v>
      </c>
      <c r="B345" t="s">
        <v>24</v>
      </c>
      <c r="C345">
        <v>98.39</v>
      </c>
      <c r="D345">
        <v>721</v>
      </c>
      <c r="E345" t="b">
        <v>0</v>
      </c>
      <c r="F345" t="b">
        <v>1</v>
      </c>
      <c r="G345" t="b">
        <v>1</v>
      </c>
      <c r="H345" t="s">
        <v>43</v>
      </c>
      <c r="I345" t="s">
        <v>63</v>
      </c>
      <c r="J345" t="s">
        <v>54</v>
      </c>
      <c r="K345" t="s">
        <v>46</v>
      </c>
      <c r="L345" t="s">
        <v>37</v>
      </c>
      <c r="M345" t="s">
        <v>47</v>
      </c>
      <c r="N345" t="s">
        <v>28</v>
      </c>
      <c r="O345" t="b">
        <v>1</v>
      </c>
      <c r="P345" t="b">
        <v>0</v>
      </c>
      <c r="Q345">
        <v>10</v>
      </c>
      <c r="R345" t="b">
        <v>0</v>
      </c>
      <c r="T345">
        <v>0</v>
      </c>
      <c r="U345">
        <v>100</v>
      </c>
      <c r="V345" t="b">
        <v>1</v>
      </c>
      <c r="W345" t="s">
        <v>58</v>
      </c>
    </row>
    <row r="346" spans="1:23" x14ac:dyDescent="0.25">
      <c r="A346" t="s">
        <v>56</v>
      </c>
      <c r="B346" t="s">
        <v>76</v>
      </c>
      <c r="C346">
        <v>70.92</v>
      </c>
      <c r="D346">
        <v>184</v>
      </c>
      <c r="E346" t="b">
        <v>0</v>
      </c>
      <c r="F346" t="b">
        <v>0</v>
      </c>
      <c r="G346" t="b">
        <v>1</v>
      </c>
      <c r="H346" t="s">
        <v>53</v>
      </c>
      <c r="I346" t="s">
        <v>35</v>
      </c>
      <c r="J346" t="s">
        <v>27</v>
      </c>
      <c r="K346" t="s">
        <v>39</v>
      </c>
      <c r="L346" t="s">
        <v>37</v>
      </c>
      <c r="M346" t="s">
        <v>39</v>
      </c>
      <c r="P346" t="b">
        <v>0</v>
      </c>
      <c r="Q346">
        <v>6.6</v>
      </c>
      <c r="R346" t="b">
        <v>1</v>
      </c>
      <c r="S346" t="s">
        <v>55</v>
      </c>
      <c r="T346">
        <v>11.4</v>
      </c>
      <c r="U346">
        <v>63.06</v>
      </c>
      <c r="V346" t="b">
        <v>1</v>
      </c>
      <c r="W346" t="s">
        <v>41</v>
      </c>
    </row>
    <row r="347" spans="1:23" x14ac:dyDescent="0.25">
      <c r="A347" t="s">
        <v>32</v>
      </c>
      <c r="B347" t="s">
        <v>33</v>
      </c>
      <c r="C347">
        <v>85.83</v>
      </c>
      <c r="D347">
        <v>478</v>
      </c>
      <c r="E347" t="b">
        <v>1</v>
      </c>
      <c r="F347" t="b">
        <v>1</v>
      </c>
      <c r="G347" t="b">
        <v>0</v>
      </c>
      <c r="H347" t="s">
        <v>53</v>
      </c>
      <c r="I347" t="s">
        <v>35</v>
      </c>
      <c r="J347" t="s">
        <v>36</v>
      </c>
      <c r="K347" t="s">
        <v>46</v>
      </c>
      <c r="L347" t="s">
        <v>69</v>
      </c>
      <c r="M347" t="s">
        <v>47</v>
      </c>
      <c r="N347" t="s">
        <v>28</v>
      </c>
      <c r="O347" t="b">
        <v>0</v>
      </c>
      <c r="P347" t="b">
        <v>1</v>
      </c>
      <c r="Q347">
        <v>8.4</v>
      </c>
      <c r="R347" t="b">
        <v>1</v>
      </c>
      <c r="S347" t="s">
        <v>52</v>
      </c>
      <c r="T347">
        <v>17</v>
      </c>
      <c r="U347">
        <v>76.23</v>
      </c>
      <c r="V347" t="b">
        <v>1</v>
      </c>
      <c r="W347" t="s">
        <v>31</v>
      </c>
    </row>
    <row r="348" spans="1:23" x14ac:dyDescent="0.25">
      <c r="A348" t="s">
        <v>61</v>
      </c>
      <c r="B348" t="s">
        <v>76</v>
      </c>
      <c r="C348">
        <v>87.88</v>
      </c>
      <c r="D348">
        <v>660</v>
      </c>
      <c r="E348" t="b">
        <v>1</v>
      </c>
      <c r="F348" t="b">
        <v>1</v>
      </c>
      <c r="G348" t="b">
        <v>0</v>
      </c>
      <c r="H348" t="s">
        <v>43</v>
      </c>
      <c r="I348" t="s">
        <v>26</v>
      </c>
      <c r="J348" t="s">
        <v>27</v>
      </c>
      <c r="K348" t="s">
        <v>46</v>
      </c>
      <c r="L348" t="s">
        <v>51</v>
      </c>
      <c r="M348" t="s">
        <v>28</v>
      </c>
      <c r="N348" t="s">
        <v>46</v>
      </c>
      <c r="O348" t="b">
        <v>1</v>
      </c>
      <c r="P348" t="b">
        <v>1</v>
      </c>
      <c r="Q348">
        <v>10</v>
      </c>
      <c r="R348" t="b">
        <v>0</v>
      </c>
      <c r="T348">
        <v>0</v>
      </c>
      <c r="U348">
        <v>82.38</v>
      </c>
      <c r="V348" t="b">
        <v>1</v>
      </c>
      <c r="W348" t="s">
        <v>58</v>
      </c>
    </row>
    <row r="349" spans="1:23" x14ac:dyDescent="0.25">
      <c r="A349" t="s">
        <v>61</v>
      </c>
      <c r="B349" t="s">
        <v>70</v>
      </c>
      <c r="C349">
        <v>75.75</v>
      </c>
      <c r="D349">
        <v>338</v>
      </c>
      <c r="E349" t="b">
        <v>0</v>
      </c>
      <c r="F349" t="b">
        <v>0</v>
      </c>
      <c r="G349" t="b">
        <v>0</v>
      </c>
      <c r="H349" t="s">
        <v>34</v>
      </c>
      <c r="I349" t="s">
        <v>44</v>
      </c>
      <c r="J349" t="s">
        <v>27</v>
      </c>
      <c r="K349" t="s">
        <v>46</v>
      </c>
      <c r="L349" t="s">
        <v>29</v>
      </c>
      <c r="M349" t="s">
        <v>47</v>
      </c>
      <c r="O349" t="b">
        <v>1</v>
      </c>
      <c r="P349" t="b">
        <v>0</v>
      </c>
      <c r="Q349">
        <v>9.3000000000000007</v>
      </c>
      <c r="R349" t="b">
        <v>1</v>
      </c>
      <c r="S349" t="s">
        <v>40</v>
      </c>
      <c r="T349">
        <v>24.4</v>
      </c>
      <c r="U349">
        <v>66.709999999999994</v>
      </c>
      <c r="V349" t="b">
        <v>0</v>
      </c>
      <c r="W349" t="s">
        <v>31</v>
      </c>
    </row>
    <row r="350" spans="1:23" x14ac:dyDescent="0.25">
      <c r="A350" t="s">
        <v>32</v>
      </c>
      <c r="B350" t="s">
        <v>42</v>
      </c>
      <c r="C350">
        <v>73.569999999999993</v>
      </c>
      <c r="D350">
        <v>400</v>
      </c>
      <c r="E350" t="b">
        <v>0</v>
      </c>
      <c r="F350" t="b">
        <v>1</v>
      </c>
      <c r="G350" t="b">
        <v>0</v>
      </c>
      <c r="H350" t="s">
        <v>25</v>
      </c>
      <c r="I350" t="s">
        <v>63</v>
      </c>
      <c r="J350" t="s">
        <v>45</v>
      </c>
      <c r="K350" t="s">
        <v>37</v>
      </c>
      <c r="L350" t="s">
        <v>38</v>
      </c>
      <c r="M350" t="s">
        <v>28</v>
      </c>
      <c r="N350" t="s">
        <v>39</v>
      </c>
      <c r="O350" t="b">
        <v>1</v>
      </c>
      <c r="P350" t="b">
        <v>0</v>
      </c>
      <c r="Q350">
        <v>9.9</v>
      </c>
      <c r="R350" t="b">
        <v>0</v>
      </c>
      <c r="T350">
        <v>0</v>
      </c>
      <c r="U350">
        <v>87.26</v>
      </c>
      <c r="V350" t="b">
        <v>1</v>
      </c>
      <c r="W350" t="s">
        <v>58</v>
      </c>
    </row>
    <row r="351" spans="1:23" x14ac:dyDescent="0.25">
      <c r="A351" t="s">
        <v>23</v>
      </c>
      <c r="B351" t="s">
        <v>59</v>
      </c>
      <c r="C351">
        <v>92.66</v>
      </c>
      <c r="D351">
        <v>621</v>
      </c>
      <c r="E351" t="b">
        <v>1</v>
      </c>
      <c r="F351" t="b">
        <v>1</v>
      </c>
      <c r="G351" t="b">
        <v>1</v>
      </c>
      <c r="H351" t="s">
        <v>43</v>
      </c>
      <c r="I351" t="s">
        <v>63</v>
      </c>
      <c r="J351" t="s">
        <v>45</v>
      </c>
      <c r="K351" t="s">
        <v>28</v>
      </c>
      <c r="L351" t="s">
        <v>69</v>
      </c>
      <c r="M351" t="s">
        <v>46</v>
      </c>
      <c r="O351" t="b">
        <v>0</v>
      </c>
      <c r="P351" t="b">
        <v>0</v>
      </c>
      <c r="Q351">
        <v>9.6999999999999993</v>
      </c>
      <c r="R351" t="b">
        <v>0</v>
      </c>
      <c r="T351">
        <v>0</v>
      </c>
      <c r="U351">
        <v>85.98</v>
      </c>
      <c r="V351" t="b">
        <v>1</v>
      </c>
      <c r="W351" t="s">
        <v>58</v>
      </c>
    </row>
    <row r="352" spans="1:23" x14ac:dyDescent="0.25">
      <c r="A352" t="s">
        <v>32</v>
      </c>
      <c r="B352" t="s">
        <v>24</v>
      </c>
      <c r="C352">
        <v>87.81</v>
      </c>
      <c r="D352">
        <v>401</v>
      </c>
      <c r="E352" t="b">
        <v>1</v>
      </c>
      <c r="F352" t="b">
        <v>0</v>
      </c>
      <c r="G352" t="b">
        <v>0</v>
      </c>
      <c r="H352" t="s">
        <v>34</v>
      </c>
      <c r="I352" t="s">
        <v>67</v>
      </c>
      <c r="J352" t="s">
        <v>50</v>
      </c>
      <c r="K352" t="s">
        <v>46</v>
      </c>
      <c r="L352" t="s">
        <v>38</v>
      </c>
      <c r="M352" t="s">
        <v>28</v>
      </c>
      <c r="O352" t="b">
        <v>1</v>
      </c>
      <c r="P352" t="b">
        <v>1</v>
      </c>
      <c r="Q352">
        <v>10</v>
      </c>
      <c r="R352" t="b">
        <v>0</v>
      </c>
      <c r="T352">
        <v>0</v>
      </c>
      <c r="U352">
        <v>88.09</v>
      </c>
      <c r="V352" t="b">
        <v>1</v>
      </c>
      <c r="W352" t="s">
        <v>58</v>
      </c>
    </row>
    <row r="353" spans="1:23" x14ac:dyDescent="0.25">
      <c r="A353" t="s">
        <v>23</v>
      </c>
      <c r="B353" t="s">
        <v>33</v>
      </c>
      <c r="C353">
        <v>86.76</v>
      </c>
      <c r="D353">
        <v>707</v>
      </c>
      <c r="E353" t="b">
        <v>1</v>
      </c>
      <c r="F353" t="b">
        <v>0</v>
      </c>
      <c r="G353" t="b">
        <v>1</v>
      </c>
      <c r="H353" t="s">
        <v>43</v>
      </c>
      <c r="I353" t="s">
        <v>26</v>
      </c>
      <c r="J353" t="s">
        <v>54</v>
      </c>
      <c r="K353" t="s">
        <v>46</v>
      </c>
      <c r="L353" t="s">
        <v>69</v>
      </c>
      <c r="M353" t="s">
        <v>46</v>
      </c>
      <c r="N353" t="s">
        <v>46</v>
      </c>
      <c r="O353" t="b">
        <v>0</v>
      </c>
      <c r="P353" t="b">
        <v>0</v>
      </c>
      <c r="Q353">
        <v>10</v>
      </c>
      <c r="R353" t="b">
        <v>0</v>
      </c>
      <c r="T353">
        <v>0</v>
      </c>
      <c r="U353">
        <v>74.48</v>
      </c>
      <c r="V353" t="b">
        <v>0</v>
      </c>
      <c r="W353" t="s">
        <v>58</v>
      </c>
    </row>
    <row r="354" spans="1:23" x14ac:dyDescent="0.25">
      <c r="A354" t="s">
        <v>74</v>
      </c>
      <c r="B354" t="s">
        <v>33</v>
      </c>
      <c r="C354">
        <v>85.95</v>
      </c>
      <c r="D354">
        <v>750</v>
      </c>
      <c r="E354" t="b">
        <v>0</v>
      </c>
      <c r="F354" t="b">
        <v>0</v>
      </c>
      <c r="G354" t="b">
        <v>0</v>
      </c>
      <c r="H354" t="s">
        <v>43</v>
      </c>
      <c r="I354" t="s">
        <v>44</v>
      </c>
      <c r="J354" t="s">
        <v>50</v>
      </c>
      <c r="K354" t="s">
        <v>28</v>
      </c>
      <c r="L354" t="s">
        <v>51</v>
      </c>
      <c r="M354" t="s">
        <v>39</v>
      </c>
      <c r="N354" t="s">
        <v>39</v>
      </c>
      <c r="O354" t="b">
        <v>1</v>
      </c>
      <c r="P354" t="b">
        <v>1</v>
      </c>
      <c r="Q354">
        <v>9.6</v>
      </c>
      <c r="R354" t="b">
        <v>0</v>
      </c>
      <c r="T354">
        <v>0</v>
      </c>
      <c r="U354">
        <v>81.680000000000007</v>
      </c>
      <c r="V354" t="b">
        <v>1</v>
      </c>
      <c r="W354" t="s">
        <v>58</v>
      </c>
    </row>
    <row r="355" spans="1:23" x14ac:dyDescent="0.25">
      <c r="A355" t="s">
        <v>68</v>
      </c>
      <c r="B355" t="s">
        <v>73</v>
      </c>
      <c r="C355">
        <v>61.69</v>
      </c>
      <c r="D355">
        <v>411</v>
      </c>
      <c r="E355" t="b">
        <v>1</v>
      </c>
      <c r="F355" t="b">
        <v>1</v>
      </c>
      <c r="G355" t="b">
        <v>1</v>
      </c>
      <c r="H355" t="s">
        <v>53</v>
      </c>
      <c r="I355" t="s">
        <v>57</v>
      </c>
      <c r="J355" t="s">
        <v>50</v>
      </c>
      <c r="K355" t="s">
        <v>28</v>
      </c>
      <c r="L355" t="s">
        <v>29</v>
      </c>
      <c r="M355" t="s">
        <v>46</v>
      </c>
      <c r="O355" t="b">
        <v>0</v>
      </c>
      <c r="P355" t="b">
        <v>1</v>
      </c>
      <c r="Q355">
        <v>6.7</v>
      </c>
      <c r="R355" t="b">
        <v>1</v>
      </c>
      <c r="S355" t="s">
        <v>52</v>
      </c>
      <c r="T355">
        <v>24.1</v>
      </c>
      <c r="U355">
        <v>48.87</v>
      </c>
      <c r="V355" t="b">
        <v>1</v>
      </c>
      <c r="W355" t="s">
        <v>41</v>
      </c>
    </row>
    <row r="356" spans="1:23" x14ac:dyDescent="0.25">
      <c r="A356" t="s">
        <v>23</v>
      </c>
      <c r="B356" t="s">
        <v>73</v>
      </c>
      <c r="C356">
        <v>69.98</v>
      </c>
      <c r="D356">
        <v>298</v>
      </c>
      <c r="E356" t="b">
        <v>1</v>
      </c>
      <c r="F356" t="b">
        <v>0</v>
      </c>
      <c r="G356" t="b">
        <v>1</v>
      </c>
      <c r="H356" t="s">
        <v>25</v>
      </c>
      <c r="I356" t="s">
        <v>35</v>
      </c>
      <c r="J356" t="s">
        <v>54</v>
      </c>
      <c r="K356" t="s">
        <v>37</v>
      </c>
      <c r="L356" t="s">
        <v>38</v>
      </c>
      <c r="M356" t="s">
        <v>39</v>
      </c>
      <c r="N356" t="s">
        <v>28</v>
      </c>
      <c r="O356" t="b">
        <v>0</v>
      </c>
      <c r="P356" t="b">
        <v>1</v>
      </c>
      <c r="Q356">
        <v>6.7</v>
      </c>
      <c r="R356" t="b">
        <v>1</v>
      </c>
      <c r="S356" t="s">
        <v>55</v>
      </c>
      <c r="T356">
        <v>37.9</v>
      </c>
      <c r="U356">
        <v>64.989999999999995</v>
      </c>
      <c r="V356" t="b">
        <v>1</v>
      </c>
      <c r="W356" t="s">
        <v>41</v>
      </c>
    </row>
    <row r="357" spans="1:23" x14ac:dyDescent="0.25">
      <c r="A357" t="s">
        <v>74</v>
      </c>
      <c r="B357" t="s">
        <v>60</v>
      </c>
      <c r="C357">
        <v>46.04</v>
      </c>
      <c r="D357">
        <v>513</v>
      </c>
      <c r="E357" t="b">
        <v>0</v>
      </c>
      <c r="F357" t="b">
        <v>0</v>
      </c>
      <c r="G357" t="b">
        <v>1</v>
      </c>
      <c r="H357" t="s">
        <v>25</v>
      </c>
      <c r="I357" t="s">
        <v>26</v>
      </c>
      <c r="J357" t="s">
        <v>27</v>
      </c>
      <c r="K357" t="s">
        <v>37</v>
      </c>
      <c r="L357" t="s">
        <v>51</v>
      </c>
      <c r="M357" t="s">
        <v>28</v>
      </c>
      <c r="N357" t="s">
        <v>39</v>
      </c>
      <c r="P357" t="b">
        <v>1</v>
      </c>
      <c r="Q357">
        <v>5.0999999999999996</v>
      </c>
      <c r="R357" t="b">
        <v>0</v>
      </c>
      <c r="T357">
        <v>0</v>
      </c>
      <c r="U357">
        <v>50.97</v>
      </c>
      <c r="V357" t="b">
        <v>1</v>
      </c>
      <c r="W357" t="s">
        <v>41</v>
      </c>
    </row>
    <row r="358" spans="1:23" x14ac:dyDescent="0.25">
      <c r="A358" t="s">
        <v>23</v>
      </c>
      <c r="B358" t="s">
        <v>33</v>
      </c>
      <c r="C358">
        <v>83.28</v>
      </c>
      <c r="D358">
        <v>157</v>
      </c>
      <c r="E358" t="b">
        <v>0</v>
      </c>
      <c r="F358" t="b">
        <v>1</v>
      </c>
      <c r="G358" t="b">
        <v>1</v>
      </c>
      <c r="H358" t="s">
        <v>34</v>
      </c>
      <c r="I358" t="s">
        <v>57</v>
      </c>
      <c r="J358" t="s">
        <v>27</v>
      </c>
      <c r="K358" t="s">
        <v>28</v>
      </c>
      <c r="L358" t="s">
        <v>37</v>
      </c>
      <c r="M358" t="s">
        <v>39</v>
      </c>
      <c r="N358" t="s">
        <v>28</v>
      </c>
      <c r="P358" t="b">
        <v>1</v>
      </c>
      <c r="Q358">
        <v>7.6</v>
      </c>
      <c r="R358" t="b">
        <v>1</v>
      </c>
      <c r="S358" t="s">
        <v>75</v>
      </c>
      <c r="T358">
        <v>40.5</v>
      </c>
      <c r="U358">
        <v>71.92</v>
      </c>
      <c r="V358" t="b">
        <v>1</v>
      </c>
      <c r="W358" t="s">
        <v>41</v>
      </c>
    </row>
    <row r="359" spans="1:23" x14ac:dyDescent="0.25">
      <c r="A359" t="s">
        <v>61</v>
      </c>
      <c r="B359" t="s">
        <v>62</v>
      </c>
      <c r="C359">
        <v>56.84</v>
      </c>
      <c r="D359">
        <v>127</v>
      </c>
      <c r="E359" t="b">
        <v>0</v>
      </c>
      <c r="F359" t="b">
        <v>0</v>
      </c>
      <c r="G359" t="b">
        <v>1</v>
      </c>
      <c r="H359" t="s">
        <v>34</v>
      </c>
      <c r="I359" t="s">
        <v>57</v>
      </c>
      <c r="J359" t="s">
        <v>27</v>
      </c>
      <c r="K359" t="s">
        <v>28</v>
      </c>
      <c r="L359" t="s">
        <v>51</v>
      </c>
      <c r="M359" t="s">
        <v>46</v>
      </c>
      <c r="N359" t="s">
        <v>46</v>
      </c>
      <c r="O359" t="b">
        <v>1</v>
      </c>
      <c r="P359" t="b">
        <v>0</v>
      </c>
      <c r="Q359">
        <v>8.3000000000000007</v>
      </c>
      <c r="R359" t="b">
        <v>1</v>
      </c>
      <c r="S359" t="s">
        <v>65</v>
      </c>
      <c r="T359">
        <v>34</v>
      </c>
      <c r="U359">
        <v>43.79</v>
      </c>
      <c r="V359" t="b">
        <v>0</v>
      </c>
      <c r="W359" t="s">
        <v>31</v>
      </c>
    </row>
    <row r="360" spans="1:23" x14ac:dyDescent="0.25">
      <c r="A360" t="s">
        <v>68</v>
      </c>
      <c r="B360" t="s">
        <v>71</v>
      </c>
      <c r="C360">
        <v>48.63</v>
      </c>
      <c r="D360">
        <v>417</v>
      </c>
      <c r="E360" t="b">
        <v>1</v>
      </c>
      <c r="F360" t="b">
        <v>0</v>
      </c>
      <c r="G360" t="b">
        <v>1</v>
      </c>
      <c r="H360" t="s">
        <v>34</v>
      </c>
      <c r="I360" t="s">
        <v>44</v>
      </c>
      <c r="J360" t="s">
        <v>45</v>
      </c>
      <c r="K360" t="s">
        <v>28</v>
      </c>
      <c r="L360" t="s">
        <v>69</v>
      </c>
      <c r="M360" t="s">
        <v>28</v>
      </c>
      <c r="N360" t="s">
        <v>28</v>
      </c>
      <c r="O360" t="b">
        <v>0</v>
      </c>
      <c r="P360" t="b">
        <v>0</v>
      </c>
      <c r="Q360">
        <v>7.2</v>
      </c>
      <c r="R360" t="b">
        <v>0</v>
      </c>
      <c r="T360">
        <v>0</v>
      </c>
      <c r="U360">
        <v>29.53</v>
      </c>
      <c r="V360" t="b">
        <v>0</v>
      </c>
      <c r="W360" t="s">
        <v>31</v>
      </c>
    </row>
    <row r="361" spans="1:23" x14ac:dyDescent="0.25">
      <c r="A361" t="s">
        <v>68</v>
      </c>
      <c r="B361" t="s">
        <v>33</v>
      </c>
      <c r="C361">
        <v>89.42</v>
      </c>
      <c r="D361">
        <v>279</v>
      </c>
      <c r="E361" t="b">
        <v>0</v>
      </c>
      <c r="F361" t="b">
        <v>0</v>
      </c>
      <c r="G361" t="b">
        <v>1</v>
      </c>
      <c r="H361" t="s">
        <v>43</v>
      </c>
      <c r="I361" t="s">
        <v>35</v>
      </c>
      <c r="J361" t="s">
        <v>54</v>
      </c>
      <c r="K361" t="s">
        <v>39</v>
      </c>
      <c r="L361" t="s">
        <v>29</v>
      </c>
      <c r="M361" t="s">
        <v>46</v>
      </c>
      <c r="N361" t="s">
        <v>46</v>
      </c>
      <c r="O361" t="b">
        <v>0</v>
      </c>
      <c r="P361" t="b">
        <v>1</v>
      </c>
      <c r="Q361">
        <v>8.4</v>
      </c>
      <c r="R361" t="b">
        <v>0</v>
      </c>
      <c r="T361">
        <v>0</v>
      </c>
      <c r="U361">
        <v>84.86</v>
      </c>
      <c r="V361" t="b">
        <v>1</v>
      </c>
      <c r="W361" t="s">
        <v>58</v>
      </c>
    </row>
    <row r="362" spans="1:23" x14ac:dyDescent="0.25">
      <c r="A362" t="s">
        <v>23</v>
      </c>
      <c r="B362" t="s">
        <v>62</v>
      </c>
      <c r="C362">
        <v>74.66</v>
      </c>
      <c r="D362">
        <v>579</v>
      </c>
      <c r="E362" t="b">
        <v>0</v>
      </c>
      <c r="F362" t="b">
        <v>0</v>
      </c>
      <c r="G362" t="b">
        <v>1</v>
      </c>
      <c r="H362" t="s">
        <v>25</v>
      </c>
      <c r="I362" t="s">
        <v>67</v>
      </c>
      <c r="J362" t="s">
        <v>36</v>
      </c>
      <c r="K362" t="s">
        <v>46</v>
      </c>
      <c r="L362" t="s">
        <v>69</v>
      </c>
      <c r="M362" t="s">
        <v>28</v>
      </c>
      <c r="P362" t="b">
        <v>0</v>
      </c>
      <c r="Q362">
        <v>9.1</v>
      </c>
      <c r="R362" t="b">
        <v>1</v>
      </c>
      <c r="S362" t="s">
        <v>55</v>
      </c>
      <c r="T362">
        <v>29.1</v>
      </c>
      <c r="U362">
        <v>83.64</v>
      </c>
      <c r="V362" t="b">
        <v>1</v>
      </c>
      <c r="W362" t="s">
        <v>31</v>
      </c>
    </row>
    <row r="363" spans="1:23" x14ac:dyDescent="0.25">
      <c r="A363" t="s">
        <v>32</v>
      </c>
      <c r="B363" t="s">
        <v>73</v>
      </c>
      <c r="C363">
        <v>45.19</v>
      </c>
      <c r="D363">
        <v>586</v>
      </c>
      <c r="E363" t="b">
        <v>1</v>
      </c>
      <c r="F363" t="b">
        <v>1</v>
      </c>
      <c r="G363" t="b">
        <v>1</v>
      </c>
      <c r="H363" t="s">
        <v>53</v>
      </c>
      <c r="I363" t="s">
        <v>44</v>
      </c>
      <c r="J363" t="s">
        <v>54</v>
      </c>
      <c r="K363" t="s">
        <v>28</v>
      </c>
      <c r="L363" t="s">
        <v>37</v>
      </c>
      <c r="M363" t="s">
        <v>46</v>
      </c>
      <c r="O363" t="b">
        <v>1</v>
      </c>
      <c r="P363" t="b">
        <v>0</v>
      </c>
      <c r="Q363">
        <v>7.6</v>
      </c>
      <c r="R363" t="b">
        <v>1</v>
      </c>
      <c r="S363" t="s">
        <v>30</v>
      </c>
      <c r="T363">
        <v>44.1</v>
      </c>
      <c r="U363">
        <v>41.67</v>
      </c>
      <c r="V363" t="b">
        <v>0</v>
      </c>
      <c r="W363" t="s">
        <v>41</v>
      </c>
    </row>
    <row r="364" spans="1:23" x14ac:dyDescent="0.25">
      <c r="A364" t="s">
        <v>32</v>
      </c>
      <c r="B364" t="s">
        <v>62</v>
      </c>
      <c r="C364">
        <v>74.73</v>
      </c>
      <c r="D364">
        <v>325</v>
      </c>
      <c r="E364" t="b">
        <v>0</v>
      </c>
      <c r="F364" t="b">
        <v>0</v>
      </c>
      <c r="G364" t="b">
        <v>1</v>
      </c>
      <c r="H364" t="s">
        <v>34</v>
      </c>
      <c r="I364" t="s">
        <v>67</v>
      </c>
      <c r="J364" t="s">
        <v>36</v>
      </c>
      <c r="K364" t="s">
        <v>37</v>
      </c>
      <c r="L364" t="s">
        <v>37</v>
      </c>
      <c r="M364" t="s">
        <v>47</v>
      </c>
      <c r="N364" t="s">
        <v>28</v>
      </c>
      <c r="O364" t="b">
        <v>0</v>
      </c>
      <c r="P364" t="b">
        <v>0</v>
      </c>
      <c r="Q364">
        <v>5.2</v>
      </c>
      <c r="R364" t="b">
        <v>1</v>
      </c>
      <c r="S364" t="s">
        <v>48</v>
      </c>
      <c r="T364">
        <v>10.199999999999999</v>
      </c>
      <c r="U364">
        <v>77.760000000000005</v>
      </c>
      <c r="V364" t="b">
        <v>0</v>
      </c>
      <c r="W364" t="s">
        <v>41</v>
      </c>
    </row>
    <row r="365" spans="1:23" x14ac:dyDescent="0.25">
      <c r="A365" t="s">
        <v>32</v>
      </c>
      <c r="B365" t="s">
        <v>73</v>
      </c>
      <c r="C365">
        <v>47.95</v>
      </c>
      <c r="D365">
        <v>442</v>
      </c>
      <c r="E365" t="b">
        <v>1</v>
      </c>
      <c r="F365" t="b">
        <v>1</v>
      </c>
      <c r="G365" t="b">
        <v>1</v>
      </c>
      <c r="H365" t="s">
        <v>25</v>
      </c>
      <c r="I365" t="s">
        <v>35</v>
      </c>
      <c r="J365" t="s">
        <v>45</v>
      </c>
      <c r="K365" t="s">
        <v>39</v>
      </c>
      <c r="L365" t="s">
        <v>38</v>
      </c>
      <c r="M365" t="s">
        <v>46</v>
      </c>
      <c r="N365" t="s">
        <v>46</v>
      </c>
      <c r="P365" t="b">
        <v>0</v>
      </c>
      <c r="Q365">
        <v>5.6</v>
      </c>
      <c r="R365" t="b">
        <v>1</v>
      </c>
      <c r="S365" t="s">
        <v>48</v>
      </c>
      <c r="T365">
        <v>3.3</v>
      </c>
      <c r="U365">
        <v>57.92</v>
      </c>
      <c r="V365" t="b">
        <v>1</v>
      </c>
      <c r="W365" t="s">
        <v>41</v>
      </c>
    </row>
    <row r="366" spans="1:23" x14ac:dyDescent="0.25">
      <c r="A366" t="s">
        <v>56</v>
      </c>
      <c r="B366" t="s">
        <v>76</v>
      </c>
      <c r="C366">
        <v>77.569999999999993</v>
      </c>
      <c r="D366">
        <v>761</v>
      </c>
      <c r="E366" t="b">
        <v>0</v>
      </c>
      <c r="F366" t="b">
        <v>1</v>
      </c>
      <c r="G366" t="b">
        <v>1</v>
      </c>
      <c r="H366" t="s">
        <v>43</v>
      </c>
      <c r="I366" t="s">
        <v>67</v>
      </c>
      <c r="J366" t="s">
        <v>50</v>
      </c>
      <c r="K366" t="s">
        <v>37</v>
      </c>
      <c r="L366" t="s">
        <v>29</v>
      </c>
      <c r="M366" t="s">
        <v>46</v>
      </c>
      <c r="N366" t="s">
        <v>46</v>
      </c>
      <c r="P366" t="b">
        <v>1</v>
      </c>
      <c r="Q366">
        <v>7.1</v>
      </c>
      <c r="R366" t="b">
        <v>0</v>
      </c>
      <c r="T366">
        <v>0</v>
      </c>
      <c r="U366">
        <v>66.849999999999994</v>
      </c>
      <c r="V366" t="b">
        <v>1</v>
      </c>
      <c r="W366" t="s">
        <v>31</v>
      </c>
    </row>
    <row r="367" spans="1:23" x14ac:dyDescent="0.25">
      <c r="A367" t="s">
        <v>23</v>
      </c>
      <c r="B367" t="s">
        <v>60</v>
      </c>
      <c r="C367">
        <v>62.73</v>
      </c>
      <c r="D367">
        <v>716</v>
      </c>
      <c r="E367" t="b">
        <v>0</v>
      </c>
      <c r="F367" t="b">
        <v>0</v>
      </c>
      <c r="G367" t="b">
        <v>1</v>
      </c>
      <c r="H367" t="s">
        <v>53</v>
      </c>
      <c r="I367" t="s">
        <v>44</v>
      </c>
      <c r="J367" t="s">
        <v>27</v>
      </c>
      <c r="K367" t="s">
        <v>37</v>
      </c>
      <c r="L367" t="s">
        <v>29</v>
      </c>
      <c r="M367" t="s">
        <v>39</v>
      </c>
      <c r="N367" t="s">
        <v>46</v>
      </c>
      <c r="O367" t="b">
        <v>0</v>
      </c>
      <c r="P367" t="b">
        <v>0</v>
      </c>
      <c r="Q367">
        <v>5.2</v>
      </c>
      <c r="R367" t="b">
        <v>1</v>
      </c>
      <c r="S367" t="s">
        <v>75</v>
      </c>
      <c r="T367">
        <v>23.7</v>
      </c>
      <c r="U367">
        <v>76.41</v>
      </c>
      <c r="V367" t="b">
        <v>0</v>
      </c>
      <c r="W367" t="s">
        <v>41</v>
      </c>
    </row>
    <row r="368" spans="1:23" x14ac:dyDescent="0.25">
      <c r="A368" t="s">
        <v>74</v>
      </c>
      <c r="B368" t="s">
        <v>70</v>
      </c>
      <c r="C368">
        <v>74.739999999999995</v>
      </c>
      <c r="D368">
        <v>470</v>
      </c>
      <c r="E368" t="b">
        <v>0</v>
      </c>
      <c r="F368" t="b">
        <v>1</v>
      </c>
      <c r="G368" t="b">
        <v>0</v>
      </c>
      <c r="H368" t="s">
        <v>25</v>
      </c>
      <c r="I368" t="s">
        <v>35</v>
      </c>
      <c r="J368" t="s">
        <v>27</v>
      </c>
      <c r="K368" t="s">
        <v>46</v>
      </c>
      <c r="L368" t="s">
        <v>51</v>
      </c>
      <c r="M368" t="s">
        <v>39</v>
      </c>
      <c r="N368" t="s">
        <v>39</v>
      </c>
      <c r="O368" t="b">
        <v>1</v>
      </c>
      <c r="P368" t="b">
        <v>1</v>
      </c>
      <c r="Q368">
        <v>8.1999999999999993</v>
      </c>
      <c r="R368" t="b">
        <v>0</v>
      </c>
      <c r="T368">
        <v>0</v>
      </c>
      <c r="U368">
        <v>70.489999999999995</v>
      </c>
      <c r="V368" t="b">
        <v>1</v>
      </c>
      <c r="W368" t="s">
        <v>58</v>
      </c>
    </row>
    <row r="369" spans="1:23" x14ac:dyDescent="0.25">
      <c r="A369" t="s">
        <v>74</v>
      </c>
      <c r="B369" t="s">
        <v>42</v>
      </c>
      <c r="C369">
        <v>79.430000000000007</v>
      </c>
      <c r="D369">
        <v>543</v>
      </c>
      <c r="E369" t="b">
        <v>0</v>
      </c>
      <c r="F369" t="b">
        <v>0</v>
      </c>
      <c r="G369" t="b">
        <v>1</v>
      </c>
      <c r="H369" t="s">
        <v>25</v>
      </c>
      <c r="I369" t="s">
        <v>44</v>
      </c>
      <c r="J369" t="s">
        <v>36</v>
      </c>
      <c r="K369" t="s">
        <v>46</v>
      </c>
      <c r="L369" t="s">
        <v>29</v>
      </c>
      <c r="M369" t="s">
        <v>28</v>
      </c>
      <c r="N369" t="s">
        <v>28</v>
      </c>
      <c r="O369" t="b">
        <v>1</v>
      </c>
      <c r="P369" t="b">
        <v>0</v>
      </c>
      <c r="Q369">
        <v>10</v>
      </c>
      <c r="R369" t="b">
        <v>1</v>
      </c>
      <c r="S369" t="s">
        <v>65</v>
      </c>
      <c r="T369">
        <v>29.1</v>
      </c>
      <c r="U369">
        <v>90.1</v>
      </c>
      <c r="V369" t="b">
        <v>1</v>
      </c>
      <c r="W369" t="s">
        <v>31</v>
      </c>
    </row>
    <row r="370" spans="1:23" x14ac:dyDescent="0.25">
      <c r="A370" t="s">
        <v>74</v>
      </c>
      <c r="B370" t="s">
        <v>24</v>
      </c>
      <c r="C370">
        <v>96.38</v>
      </c>
      <c r="D370">
        <v>670</v>
      </c>
      <c r="E370" t="b">
        <v>0</v>
      </c>
      <c r="F370" t="b">
        <v>0</v>
      </c>
      <c r="G370" t="b">
        <v>0</v>
      </c>
      <c r="H370" t="s">
        <v>53</v>
      </c>
      <c r="I370" t="s">
        <v>67</v>
      </c>
      <c r="J370" t="s">
        <v>54</v>
      </c>
      <c r="K370" t="s">
        <v>39</v>
      </c>
      <c r="L370" t="s">
        <v>69</v>
      </c>
      <c r="M370" t="s">
        <v>39</v>
      </c>
      <c r="N370" t="s">
        <v>46</v>
      </c>
      <c r="O370" t="b">
        <v>0</v>
      </c>
      <c r="P370" t="b">
        <v>1</v>
      </c>
      <c r="Q370">
        <v>8.8000000000000007</v>
      </c>
      <c r="R370" t="b">
        <v>1</v>
      </c>
      <c r="S370" t="s">
        <v>48</v>
      </c>
      <c r="T370">
        <v>41</v>
      </c>
      <c r="U370">
        <v>100</v>
      </c>
      <c r="V370" t="b">
        <v>1</v>
      </c>
      <c r="W370" t="s">
        <v>31</v>
      </c>
    </row>
    <row r="371" spans="1:23" x14ac:dyDescent="0.25">
      <c r="A371" t="s">
        <v>74</v>
      </c>
      <c r="B371" t="s">
        <v>70</v>
      </c>
      <c r="C371">
        <v>74.7</v>
      </c>
      <c r="D371">
        <v>194</v>
      </c>
      <c r="E371" t="b">
        <v>1</v>
      </c>
      <c r="F371" t="b">
        <v>0</v>
      </c>
      <c r="G371" t="b">
        <v>1</v>
      </c>
      <c r="H371" t="s">
        <v>34</v>
      </c>
      <c r="I371" t="s">
        <v>57</v>
      </c>
      <c r="J371" t="s">
        <v>36</v>
      </c>
      <c r="K371" t="s">
        <v>39</v>
      </c>
      <c r="L371" t="s">
        <v>38</v>
      </c>
      <c r="M371" t="s">
        <v>47</v>
      </c>
      <c r="P371" t="b">
        <v>0</v>
      </c>
      <c r="Q371">
        <v>8</v>
      </c>
      <c r="R371" t="b">
        <v>1</v>
      </c>
      <c r="S371" t="s">
        <v>65</v>
      </c>
      <c r="T371">
        <v>13.5</v>
      </c>
      <c r="U371">
        <v>74.760000000000005</v>
      </c>
      <c r="V371" t="b">
        <v>1</v>
      </c>
      <c r="W371" t="s">
        <v>31</v>
      </c>
    </row>
    <row r="372" spans="1:23" x14ac:dyDescent="0.25">
      <c r="A372" t="s">
        <v>32</v>
      </c>
      <c r="B372" t="s">
        <v>70</v>
      </c>
      <c r="C372">
        <v>80.400000000000006</v>
      </c>
      <c r="D372">
        <v>313</v>
      </c>
      <c r="E372" t="b">
        <v>1</v>
      </c>
      <c r="F372" t="b">
        <v>1</v>
      </c>
      <c r="G372" t="b">
        <v>1</v>
      </c>
      <c r="H372" t="s">
        <v>43</v>
      </c>
      <c r="I372" t="s">
        <v>67</v>
      </c>
      <c r="J372" t="s">
        <v>50</v>
      </c>
      <c r="K372" t="s">
        <v>28</v>
      </c>
      <c r="L372" t="s">
        <v>29</v>
      </c>
      <c r="M372" t="s">
        <v>39</v>
      </c>
      <c r="N372" t="s">
        <v>39</v>
      </c>
      <c r="P372" t="b">
        <v>0</v>
      </c>
      <c r="Q372">
        <v>8.8000000000000007</v>
      </c>
      <c r="R372" t="b">
        <v>1</v>
      </c>
      <c r="S372" t="s">
        <v>40</v>
      </c>
      <c r="T372">
        <v>19.5</v>
      </c>
      <c r="U372">
        <v>65.8</v>
      </c>
      <c r="V372" t="b">
        <v>0</v>
      </c>
      <c r="W372" t="s">
        <v>31</v>
      </c>
    </row>
    <row r="373" spans="1:23" x14ac:dyDescent="0.25">
      <c r="A373" t="s">
        <v>23</v>
      </c>
      <c r="B373" t="s">
        <v>76</v>
      </c>
      <c r="C373">
        <v>75.05</v>
      </c>
      <c r="D373">
        <v>173</v>
      </c>
      <c r="E373" t="b">
        <v>1</v>
      </c>
      <c r="F373" t="b">
        <v>0</v>
      </c>
      <c r="G373" t="b">
        <v>1</v>
      </c>
      <c r="H373" t="s">
        <v>25</v>
      </c>
      <c r="I373" t="s">
        <v>35</v>
      </c>
      <c r="J373" t="s">
        <v>27</v>
      </c>
      <c r="K373" t="s">
        <v>39</v>
      </c>
      <c r="L373" t="s">
        <v>69</v>
      </c>
      <c r="M373" t="s">
        <v>28</v>
      </c>
      <c r="N373" t="s">
        <v>46</v>
      </c>
      <c r="P373" t="b">
        <v>0</v>
      </c>
      <c r="Q373">
        <v>9.6</v>
      </c>
      <c r="R373" t="b">
        <v>0</v>
      </c>
      <c r="T373">
        <v>0</v>
      </c>
      <c r="U373">
        <v>88.77</v>
      </c>
      <c r="V373" t="b">
        <v>1</v>
      </c>
      <c r="W373" t="s">
        <v>58</v>
      </c>
    </row>
    <row r="374" spans="1:23" x14ac:dyDescent="0.25">
      <c r="A374" t="s">
        <v>61</v>
      </c>
      <c r="B374" t="s">
        <v>62</v>
      </c>
      <c r="C374">
        <v>67.83</v>
      </c>
      <c r="D374">
        <v>423</v>
      </c>
      <c r="E374" t="b">
        <v>0</v>
      </c>
      <c r="F374" t="b">
        <v>1</v>
      </c>
      <c r="G374" t="b">
        <v>1</v>
      </c>
      <c r="H374" t="s">
        <v>25</v>
      </c>
      <c r="I374" t="s">
        <v>57</v>
      </c>
      <c r="J374" t="s">
        <v>54</v>
      </c>
      <c r="K374" t="s">
        <v>39</v>
      </c>
      <c r="L374" t="s">
        <v>29</v>
      </c>
      <c r="M374" t="s">
        <v>47</v>
      </c>
      <c r="N374" t="s">
        <v>46</v>
      </c>
      <c r="O374" t="b">
        <v>0</v>
      </c>
      <c r="P374" t="b">
        <v>1</v>
      </c>
      <c r="Q374">
        <v>4.4000000000000004</v>
      </c>
      <c r="R374" t="b">
        <v>1</v>
      </c>
      <c r="S374" t="s">
        <v>48</v>
      </c>
      <c r="T374">
        <v>25.8</v>
      </c>
      <c r="U374">
        <v>72.56</v>
      </c>
      <c r="V374" t="b">
        <v>0</v>
      </c>
      <c r="W374" t="s">
        <v>72</v>
      </c>
    </row>
    <row r="375" spans="1:23" x14ac:dyDescent="0.25">
      <c r="A375" t="s">
        <v>56</v>
      </c>
      <c r="B375" t="s">
        <v>73</v>
      </c>
      <c r="C375">
        <v>54.51</v>
      </c>
      <c r="D375">
        <v>784</v>
      </c>
      <c r="E375" t="b">
        <v>1</v>
      </c>
      <c r="F375" t="b">
        <v>0</v>
      </c>
      <c r="G375" t="b">
        <v>1</v>
      </c>
      <c r="H375" t="s">
        <v>34</v>
      </c>
      <c r="I375" t="s">
        <v>57</v>
      </c>
      <c r="J375" t="s">
        <v>45</v>
      </c>
      <c r="K375" t="s">
        <v>28</v>
      </c>
      <c r="L375" t="s">
        <v>29</v>
      </c>
      <c r="M375" t="s">
        <v>28</v>
      </c>
      <c r="O375" t="b">
        <v>1</v>
      </c>
      <c r="P375" t="b">
        <v>1</v>
      </c>
      <c r="Q375">
        <v>9.5</v>
      </c>
      <c r="R375" t="b">
        <v>1</v>
      </c>
      <c r="S375" t="s">
        <v>64</v>
      </c>
      <c r="T375">
        <v>10.199999999999999</v>
      </c>
      <c r="U375">
        <v>46.58</v>
      </c>
      <c r="V375" t="b">
        <v>0</v>
      </c>
      <c r="W375" t="s">
        <v>31</v>
      </c>
    </row>
    <row r="376" spans="1:23" x14ac:dyDescent="0.25">
      <c r="A376" t="s">
        <v>56</v>
      </c>
      <c r="B376" t="s">
        <v>73</v>
      </c>
      <c r="C376">
        <v>54.19</v>
      </c>
      <c r="D376">
        <v>176</v>
      </c>
      <c r="E376" t="b">
        <v>0</v>
      </c>
      <c r="F376" t="b">
        <v>1</v>
      </c>
      <c r="G376" t="b">
        <v>0</v>
      </c>
      <c r="H376" t="s">
        <v>43</v>
      </c>
      <c r="I376" t="s">
        <v>63</v>
      </c>
      <c r="J376" t="s">
        <v>50</v>
      </c>
      <c r="K376" t="s">
        <v>28</v>
      </c>
      <c r="L376" t="s">
        <v>38</v>
      </c>
      <c r="M376" t="s">
        <v>28</v>
      </c>
      <c r="N376" t="s">
        <v>28</v>
      </c>
      <c r="O376" t="b">
        <v>0</v>
      </c>
      <c r="P376" t="b">
        <v>0</v>
      </c>
      <c r="Q376">
        <v>6.1</v>
      </c>
      <c r="R376" t="b">
        <v>1</v>
      </c>
      <c r="S376" t="s">
        <v>30</v>
      </c>
      <c r="T376">
        <v>29.4</v>
      </c>
      <c r="U376">
        <v>58.57</v>
      </c>
      <c r="V376" t="b">
        <v>1</v>
      </c>
      <c r="W376" t="s">
        <v>41</v>
      </c>
    </row>
    <row r="377" spans="1:23" x14ac:dyDescent="0.25">
      <c r="A377" t="s">
        <v>56</v>
      </c>
      <c r="B377" t="s">
        <v>60</v>
      </c>
      <c r="C377">
        <v>40.520000000000003</v>
      </c>
      <c r="D377">
        <v>65</v>
      </c>
      <c r="E377" t="b">
        <v>1</v>
      </c>
      <c r="F377" t="b">
        <v>0</v>
      </c>
      <c r="G377" t="b">
        <v>0</v>
      </c>
      <c r="H377" t="s">
        <v>53</v>
      </c>
      <c r="I377" t="s">
        <v>35</v>
      </c>
      <c r="J377" t="s">
        <v>36</v>
      </c>
      <c r="K377" t="s">
        <v>39</v>
      </c>
      <c r="L377" t="s">
        <v>38</v>
      </c>
      <c r="M377" t="s">
        <v>28</v>
      </c>
      <c r="N377" t="s">
        <v>46</v>
      </c>
      <c r="O377" t="b">
        <v>1</v>
      </c>
      <c r="P377" t="b">
        <v>1</v>
      </c>
      <c r="Q377">
        <v>8.9</v>
      </c>
      <c r="R377" t="b">
        <v>1</v>
      </c>
      <c r="S377" t="s">
        <v>55</v>
      </c>
      <c r="T377">
        <v>31.2</v>
      </c>
      <c r="U377">
        <v>34.380000000000003</v>
      </c>
      <c r="V377" t="b">
        <v>0</v>
      </c>
      <c r="W377" t="s">
        <v>31</v>
      </c>
    </row>
    <row r="378" spans="1:23" x14ac:dyDescent="0.25">
      <c r="A378" t="s">
        <v>23</v>
      </c>
      <c r="B378" t="s">
        <v>24</v>
      </c>
      <c r="C378">
        <v>91.75</v>
      </c>
      <c r="D378">
        <v>200</v>
      </c>
      <c r="E378" t="b">
        <v>1</v>
      </c>
      <c r="F378" t="b">
        <v>1</v>
      </c>
      <c r="G378" t="b">
        <v>0</v>
      </c>
      <c r="H378" t="s">
        <v>43</v>
      </c>
      <c r="I378" t="s">
        <v>44</v>
      </c>
      <c r="J378" t="s">
        <v>36</v>
      </c>
      <c r="K378" t="s">
        <v>37</v>
      </c>
      <c r="L378" t="s">
        <v>69</v>
      </c>
      <c r="M378" t="s">
        <v>47</v>
      </c>
      <c r="N378" t="s">
        <v>39</v>
      </c>
      <c r="O378" t="b">
        <v>1</v>
      </c>
      <c r="P378" t="b">
        <v>1</v>
      </c>
      <c r="Q378">
        <v>10</v>
      </c>
      <c r="R378" t="b">
        <v>1</v>
      </c>
      <c r="S378" t="s">
        <v>64</v>
      </c>
      <c r="T378">
        <v>34.9</v>
      </c>
      <c r="U378">
        <v>100</v>
      </c>
      <c r="V378" t="b">
        <v>1</v>
      </c>
      <c r="W378" t="s">
        <v>31</v>
      </c>
    </row>
    <row r="379" spans="1:23" x14ac:dyDescent="0.25">
      <c r="A379" t="s">
        <v>56</v>
      </c>
      <c r="B379" t="s">
        <v>42</v>
      </c>
      <c r="C379">
        <v>81.03</v>
      </c>
      <c r="D379">
        <v>641</v>
      </c>
      <c r="E379" t="b">
        <v>1</v>
      </c>
      <c r="F379" t="b">
        <v>1</v>
      </c>
      <c r="G379" t="b">
        <v>0</v>
      </c>
      <c r="H379" t="s">
        <v>25</v>
      </c>
      <c r="I379" t="s">
        <v>44</v>
      </c>
      <c r="J379" t="s">
        <v>45</v>
      </c>
      <c r="K379" t="s">
        <v>39</v>
      </c>
      <c r="L379" t="s">
        <v>38</v>
      </c>
      <c r="M379" t="s">
        <v>47</v>
      </c>
      <c r="N379" t="s">
        <v>46</v>
      </c>
      <c r="O379" t="b">
        <v>0</v>
      </c>
      <c r="P379" t="b">
        <v>0</v>
      </c>
      <c r="Q379">
        <v>7.5</v>
      </c>
      <c r="R379" t="b">
        <v>1</v>
      </c>
      <c r="S379" t="s">
        <v>52</v>
      </c>
      <c r="T379">
        <v>30.5</v>
      </c>
      <c r="U379">
        <v>72.08</v>
      </c>
      <c r="V379" t="b">
        <v>1</v>
      </c>
      <c r="W379" t="s">
        <v>41</v>
      </c>
    </row>
    <row r="380" spans="1:23" x14ac:dyDescent="0.25">
      <c r="A380" t="s">
        <v>61</v>
      </c>
      <c r="B380" t="s">
        <v>59</v>
      </c>
      <c r="C380">
        <v>84.95</v>
      </c>
      <c r="D380">
        <v>304</v>
      </c>
      <c r="E380" t="b">
        <v>1</v>
      </c>
      <c r="F380" t="b">
        <v>0</v>
      </c>
      <c r="G380" t="b">
        <v>1</v>
      </c>
      <c r="H380" t="s">
        <v>53</v>
      </c>
      <c r="I380" t="s">
        <v>63</v>
      </c>
      <c r="J380" t="s">
        <v>45</v>
      </c>
      <c r="K380" t="s">
        <v>39</v>
      </c>
      <c r="L380" t="s">
        <v>38</v>
      </c>
      <c r="M380" t="s">
        <v>46</v>
      </c>
      <c r="N380" t="s">
        <v>39</v>
      </c>
      <c r="P380" t="b">
        <v>0</v>
      </c>
      <c r="Q380">
        <v>10</v>
      </c>
      <c r="R380" t="b">
        <v>0</v>
      </c>
      <c r="T380">
        <v>0</v>
      </c>
      <c r="U380">
        <v>88.9</v>
      </c>
      <c r="V380" t="b">
        <v>1</v>
      </c>
      <c r="W380" t="s">
        <v>58</v>
      </c>
    </row>
    <row r="381" spans="1:23" x14ac:dyDescent="0.25">
      <c r="A381" t="s">
        <v>56</v>
      </c>
      <c r="B381" t="s">
        <v>76</v>
      </c>
      <c r="C381">
        <v>86.72</v>
      </c>
      <c r="D381">
        <v>501</v>
      </c>
      <c r="E381" t="b">
        <v>0</v>
      </c>
      <c r="F381" t="b">
        <v>0</v>
      </c>
      <c r="G381" t="b">
        <v>1</v>
      </c>
      <c r="H381" t="s">
        <v>53</v>
      </c>
      <c r="I381" t="s">
        <v>44</v>
      </c>
      <c r="J381" t="s">
        <v>54</v>
      </c>
      <c r="K381" t="s">
        <v>28</v>
      </c>
      <c r="L381" t="s">
        <v>37</v>
      </c>
      <c r="M381" t="s">
        <v>46</v>
      </c>
      <c r="N381" t="s">
        <v>46</v>
      </c>
      <c r="O381" t="b">
        <v>0</v>
      </c>
      <c r="P381" t="b">
        <v>0</v>
      </c>
      <c r="Q381">
        <v>8.3000000000000007</v>
      </c>
      <c r="R381" t="b">
        <v>1</v>
      </c>
      <c r="S381" t="s">
        <v>52</v>
      </c>
      <c r="T381">
        <v>10.5</v>
      </c>
      <c r="U381">
        <v>76.209999999999994</v>
      </c>
      <c r="V381" t="b">
        <v>1</v>
      </c>
      <c r="W381" t="s">
        <v>31</v>
      </c>
    </row>
    <row r="382" spans="1:23" x14ac:dyDescent="0.25">
      <c r="A382" t="s">
        <v>74</v>
      </c>
      <c r="B382" t="s">
        <v>76</v>
      </c>
      <c r="C382">
        <v>73.53</v>
      </c>
      <c r="D382">
        <v>289</v>
      </c>
      <c r="E382" t="b">
        <v>1</v>
      </c>
      <c r="F382" t="b">
        <v>1</v>
      </c>
      <c r="G382" t="b">
        <v>0</v>
      </c>
      <c r="H382" t="s">
        <v>43</v>
      </c>
      <c r="I382" t="s">
        <v>57</v>
      </c>
      <c r="J382" t="s">
        <v>27</v>
      </c>
      <c r="K382" t="s">
        <v>28</v>
      </c>
      <c r="L382" t="s">
        <v>37</v>
      </c>
      <c r="M382" t="s">
        <v>47</v>
      </c>
      <c r="N382" t="s">
        <v>46</v>
      </c>
      <c r="O382" t="b">
        <v>1</v>
      </c>
      <c r="P382" t="b">
        <v>1</v>
      </c>
      <c r="Q382">
        <v>8.3000000000000007</v>
      </c>
      <c r="R382" t="b">
        <v>1</v>
      </c>
      <c r="S382" t="s">
        <v>65</v>
      </c>
      <c r="T382">
        <v>23.7</v>
      </c>
      <c r="U382">
        <v>69.3</v>
      </c>
      <c r="V382" t="b">
        <v>1</v>
      </c>
      <c r="W382" t="s">
        <v>31</v>
      </c>
    </row>
    <row r="383" spans="1:23" x14ac:dyDescent="0.25">
      <c r="A383" t="s">
        <v>74</v>
      </c>
      <c r="B383" t="s">
        <v>62</v>
      </c>
      <c r="C383">
        <v>72.540000000000006</v>
      </c>
      <c r="D383">
        <v>725</v>
      </c>
      <c r="E383" t="b">
        <v>1</v>
      </c>
      <c r="F383" t="b">
        <v>1</v>
      </c>
      <c r="G383" t="b">
        <v>0</v>
      </c>
      <c r="H383" t="s">
        <v>53</v>
      </c>
      <c r="I383" t="s">
        <v>44</v>
      </c>
      <c r="J383" t="s">
        <v>50</v>
      </c>
      <c r="K383" t="s">
        <v>39</v>
      </c>
      <c r="L383" t="s">
        <v>51</v>
      </c>
      <c r="M383" t="s">
        <v>28</v>
      </c>
      <c r="N383" t="s">
        <v>39</v>
      </c>
      <c r="O383" t="b">
        <v>1</v>
      </c>
      <c r="P383" t="b">
        <v>0</v>
      </c>
      <c r="Q383">
        <v>10</v>
      </c>
      <c r="R383" t="b">
        <v>0</v>
      </c>
      <c r="T383">
        <v>0</v>
      </c>
      <c r="U383">
        <v>69.25</v>
      </c>
      <c r="V383" t="b">
        <v>0</v>
      </c>
      <c r="W383" t="s">
        <v>58</v>
      </c>
    </row>
    <row r="384" spans="1:23" x14ac:dyDescent="0.25">
      <c r="A384" t="s">
        <v>68</v>
      </c>
      <c r="B384" t="s">
        <v>76</v>
      </c>
      <c r="C384">
        <v>73.87</v>
      </c>
      <c r="D384">
        <v>477</v>
      </c>
      <c r="E384" t="b">
        <v>0</v>
      </c>
      <c r="F384" t="b">
        <v>1</v>
      </c>
      <c r="G384" t="b">
        <v>1</v>
      </c>
      <c r="H384" t="s">
        <v>34</v>
      </c>
      <c r="I384" t="s">
        <v>26</v>
      </c>
      <c r="J384" t="s">
        <v>45</v>
      </c>
      <c r="K384" t="s">
        <v>37</v>
      </c>
      <c r="L384" t="s">
        <v>37</v>
      </c>
      <c r="M384" t="s">
        <v>47</v>
      </c>
      <c r="N384" t="s">
        <v>46</v>
      </c>
      <c r="O384" t="b">
        <v>0</v>
      </c>
      <c r="P384" t="b">
        <v>1</v>
      </c>
      <c r="Q384">
        <v>5.3</v>
      </c>
      <c r="R384" t="b">
        <v>1</v>
      </c>
      <c r="S384" t="s">
        <v>75</v>
      </c>
      <c r="T384">
        <v>17.399999999999999</v>
      </c>
      <c r="U384">
        <v>63.03</v>
      </c>
      <c r="V384" t="b">
        <v>1</v>
      </c>
      <c r="W384" t="s">
        <v>41</v>
      </c>
    </row>
    <row r="385" spans="1:23" x14ac:dyDescent="0.25">
      <c r="A385" t="s">
        <v>74</v>
      </c>
      <c r="B385" t="s">
        <v>62</v>
      </c>
      <c r="C385">
        <v>68.25</v>
      </c>
      <c r="D385">
        <v>671</v>
      </c>
      <c r="E385" t="b">
        <v>1</v>
      </c>
      <c r="F385" t="b">
        <v>0</v>
      </c>
      <c r="G385" t="b">
        <v>1</v>
      </c>
      <c r="H385" t="s">
        <v>34</v>
      </c>
      <c r="I385" t="s">
        <v>63</v>
      </c>
      <c r="J385" t="s">
        <v>27</v>
      </c>
      <c r="K385" t="s">
        <v>37</v>
      </c>
      <c r="L385" t="s">
        <v>38</v>
      </c>
      <c r="M385" t="s">
        <v>39</v>
      </c>
      <c r="O385" t="b">
        <v>1</v>
      </c>
      <c r="P385" t="b">
        <v>1</v>
      </c>
      <c r="Q385">
        <v>8.8000000000000007</v>
      </c>
      <c r="R385" t="b">
        <v>1</v>
      </c>
      <c r="S385" t="s">
        <v>30</v>
      </c>
      <c r="T385">
        <v>19.7</v>
      </c>
      <c r="U385">
        <v>58.49</v>
      </c>
      <c r="V385" t="b">
        <v>0</v>
      </c>
      <c r="W385" t="s">
        <v>31</v>
      </c>
    </row>
    <row r="386" spans="1:23" x14ac:dyDescent="0.25">
      <c r="A386" t="s">
        <v>32</v>
      </c>
      <c r="B386" t="s">
        <v>24</v>
      </c>
      <c r="C386">
        <v>93.55</v>
      </c>
      <c r="D386">
        <v>327</v>
      </c>
      <c r="E386" t="b">
        <v>0</v>
      </c>
      <c r="F386" t="b">
        <v>1</v>
      </c>
      <c r="G386" t="b">
        <v>0</v>
      </c>
      <c r="H386" t="s">
        <v>25</v>
      </c>
      <c r="I386" t="s">
        <v>67</v>
      </c>
      <c r="J386" t="s">
        <v>45</v>
      </c>
      <c r="K386" t="s">
        <v>37</v>
      </c>
      <c r="L386" t="s">
        <v>51</v>
      </c>
      <c r="M386" t="s">
        <v>39</v>
      </c>
      <c r="N386" t="s">
        <v>39</v>
      </c>
      <c r="O386" t="b">
        <v>1</v>
      </c>
      <c r="P386" t="b">
        <v>1</v>
      </c>
      <c r="Q386">
        <v>10</v>
      </c>
      <c r="R386" t="b">
        <v>0</v>
      </c>
      <c r="T386">
        <v>0</v>
      </c>
      <c r="U386">
        <v>81.819999999999993</v>
      </c>
      <c r="V386" t="b">
        <v>1</v>
      </c>
      <c r="W386" t="s">
        <v>58</v>
      </c>
    </row>
    <row r="387" spans="1:23" x14ac:dyDescent="0.25">
      <c r="A387" t="s">
        <v>68</v>
      </c>
      <c r="B387" t="s">
        <v>73</v>
      </c>
      <c r="C387">
        <v>68.31</v>
      </c>
      <c r="D387">
        <v>152</v>
      </c>
      <c r="E387" t="b">
        <v>1</v>
      </c>
      <c r="F387" t="b">
        <v>0</v>
      </c>
      <c r="G387" t="b">
        <v>1</v>
      </c>
      <c r="H387" t="s">
        <v>25</v>
      </c>
      <c r="I387" t="s">
        <v>35</v>
      </c>
      <c r="J387" t="s">
        <v>54</v>
      </c>
      <c r="K387" t="s">
        <v>46</v>
      </c>
      <c r="L387" t="s">
        <v>51</v>
      </c>
      <c r="M387" t="s">
        <v>47</v>
      </c>
      <c r="N387" t="s">
        <v>46</v>
      </c>
      <c r="O387" t="b">
        <v>0</v>
      </c>
      <c r="P387" t="b">
        <v>1</v>
      </c>
      <c r="Q387">
        <v>6.2</v>
      </c>
      <c r="R387" t="b">
        <v>1</v>
      </c>
      <c r="S387" t="s">
        <v>40</v>
      </c>
      <c r="T387">
        <v>28.4</v>
      </c>
      <c r="U387">
        <v>83.15</v>
      </c>
      <c r="V387" t="b">
        <v>0</v>
      </c>
      <c r="W387" t="s">
        <v>41</v>
      </c>
    </row>
    <row r="388" spans="1:23" x14ac:dyDescent="0.25">
      <c r="A388" t="s">
        <v>74</v>
      </c>
      <c r="B388" t="s">
        <v>49</v>
      </c>
      <c r="C388">
        <v>64.17</v>
      </c>
      <c r="D388">
        <v>54</v>
      </c>
      <c r="E388" t="b">
        <v>1</v>
      </c>
      <c r="F388" t="b">
        <v>1</v>
      </c>
      <c r="G388" t="b">
        <v>1</v>
      </c>
      <c r="H388" t="s">
        <v>43</v>
      </c>
      <c r="I388" t="s">
        <v>63</v>
      </c>
      <c r="J388" t="s">
        <v>27</v>
      </c>
      <c r="K388" t="s">
        <v>28</v>
      </c>
      <c r="L388" t="s">
        <v>69</v>
      </c>
      <c r="M388" t="s">
        <v>39</v>
      </c>
      <c r="O388" t="b">
        <v>1</v>
      </c>
      <c r="P388" t="b">
        <v>1</v>
      </c>
      <c r="Q388">
        <v>9.6999999999999993</v>
      </c>
      <c r="R388" t="b">
        <v>0</v>
      </c>
      <c r="T388">
        <v>0</v>
      </c>
      <c r="U388">
        <v>73.5</v>
      </c>
      <c r="V388" t="b">
        <v>0</v>
      </c>
      <c r="W388" t="s">
        <v>58</v>
      </c>
    </row>
    <row r="389" spans="1:23" x14ac:dyDescent="0.25">
      <c r="A389" t="s">
        <v>56</v>
      </c>
      <c r="B389" t="s">
        <v>73</v>
      </c>
      <c r="C389">
        <v>63.95</v>
      </c>
      <c r="D389">
        <v>307</v>
      </c>
      <c r="E389" t="b">
        <v>1</v>
      </c>
      <c r="F389" t="b">
        <v>1</v>
      </c>
      <c r="G389" t="b">
        <v>0</v>
      </c>
      <c r="H389" t="s">
        <v>34</v>
      </c>
      <c r="I389" t="s">
        <v>67</v>
      </c>
      <c r="J389" t="s">
        <v>36</v>
      </c>
      <c r="K389" t="s">
        <v>39</v>
      </c>
      <c r="L389" t="s">
        <v>37</v>
      </c>
      <c r="M389" t="s">
        <v>47</v>
      </c>
      <c r="N389" t="s">
        <v>28</v>
      </c>
      <c r="O389" t="b">
        <v>1</v>
      </c>
      <c r="P389" t="b">
        <v>1</v>
      </c>
      <c r="Q389">
        <v>7.4</v>
      </c>
      <c r="R389" t="b">
        <v>1</v>
      </c>
      <c r="S389" t="s">
        <v>40</v>
      </c>
      <c r="T389">
        <v>25.5</v>
      </c>
      <c r="U389">
        <v>66.03</v>
      </c>
      <c r="V389" t="b">
        <v>1</v>
      </c>
      <c r="W389" t="s">
        <v>41</v>
      </c>
    </row>
    <row r="390" spans="1:23" x14ac:dyDescent="0.25">
      <c r="A390" t="s">
        <v>68</v>
      </c>
      <c r="B390" t="s">
        <v>59</v>
      </c>
      <c r="C390">
        <v>94.89</v>
      </c>
      <c r="D390">
        <v>256</v>
      </c>
      <c r="E390" t="b">
        <v>0</v>
      </c>
      <c r="F390" t="b">
        <v>0</v>
      </c>
      <c r="G390" t="b">
        <v>0</v>
      </c>
      <c r="H390" t="s">
        <v>34</v>
      </c>
      <c r="I390" t="s">
        <v>44</v>
      </c>
      <c r="J390" t="s">
        <v>36</v>
      </c>
      <c r="K390" t="s">
        <v>28</v>
      </c>
      <c r="L390" t="s">
        <v>51</v>
      </c>
      <c r="M390" t="s">
        <v>28</v>
      </c>
      <c r="N390" t="s">
        <v>39</v>
      </c>
      <c r="P390" t="b">
        <v>0</v>
      </c>
      <c r="Q390">
        <v>10</v>
      </c>
      <c r="R390" t="b">
        <v>0</v>
      </c>
      <c r="T390">
        <v>0</v>
      </c>
      <c r="U390">
        <v>100</v>
      </c>
      <c r="V390" t="b">
        <v>1</v>
      </c>
      <c r="W390" t="s">
        <v>58</v>
      </c>
    </row>
    <row r="391" spans="1:23" x14ac:dyDescent="0.25">
      <c r="A391" t="s">
        <v>74</v>
      </c>
      <c r="B391" t="s">
        <v>62</v>
      </c>
      <c r="C391">
        <v>64.150000000000006</v>
      </c>
      <c r="D391">
        <v>107</v>
      </c>
      <c r="E391" t="b">
        <v>1</v>
      </c>
      <c r="F391" t="b">
        <v>1</v>
      </c>
      <c r="G391" t="b">
        <v>1</v>
      </c>
      <c r="H391" t="s">
        <v>53</v>
      </c>
      <c r="I391" t="s">
        <v>63</v>
      </c>
      <c r="J391" t="s">
        <v>36</v>
      </c>
      <c r="K391" t="s">
        <v>28</v>
      </c>
      <c r="L391" t="s">
        <v>69</v>
      </c>
      <c r="M391" t="s">
        <v>28</v>
      </c>
      <c r="O391" t="b">
        <v>0</v>
      </c>
      <c r="P391" t="b">
        <v>0</v>
      </c>
      <c r="Q391">
        <v>7.3</v>
      </c>
      <c r="R391" t="b">
        <v>1</v>
      </c>
      <c r="S391" t="s">
        <v>55</v>
      </c>
      <c r="T391">
        <v>35.6</v>
      </c>
      <c r="U391">
        <v>59.25</v>
      </c>
      <c r="V391" t="b">
        <v>1</v>
      </c>
      <c r="W391" t="s">
        <v>41</v>
      </c>
    </row>
    <row r="392" spans="1:23" x14ac:dyDescent="0.25">
      <c r="A392" t="s">
        <v>56</v>
      </c>
      <c r="B392" t="s">
        <v>60</v>
      </c>
      <c r="C392">
        <v>55.79</v>
      </c>
      <c r="D392">
        <v>292</v>
      </c>
      <c r="E392" t="b">
        <v>0</v>
      </c>
      <c r="F392" t="b">
        <v>1</v>
      </c>
      <c r="G392" t="b">
        <v>0</v>
      </c>
      <c r="H392" t="s">
        <v>53</v>
      </c>
      <c r="I392" t="s">
        <v>44</v>
      </c>
      <c r="J392" t="s">
        <v>36</v>
      </c>
      <c r="K392" t="s">
        <v>37</v>
      </c>
      <c r="L392" t="s">
        <v>69</v>
      </c>
      <c r="M392" t="s">
        <v>47</v>
      </c>
      <c r="P392" t="b">
        <v>0</v>
      </c>
      <c r="Q392">
        <v>4.7</v>
      </c>
      <c r="R392" t="b">
        <v>1</v>
      </c>
      <c r="S392" t="s">
        <v>65</v>
      </c>
      <c r="T392">
        <v>18.100000000000001</v>
      </c>
      <c r="U392">
        <v>62.62</v>
      </c>
      <c r="V392" t="b">
        <v>1</v>
      </c>
      <c r="W392" t="s">
        <v>72</v>
      </c>
    </row>
    <row r="393" spans="1:23" x14ac:dyDescent="0.25">
      <c r="A393" t="s">
        <v>32</v>
      </c>
      <c r="B393" t="s">
        <v>42</v>
      </c>
      <c r="C393">
        <v>77.739999999999995</v>
      </c>
      <c r="D393">
        <v>552</v>
      </c>
      <c r="E393" t="b">
        <v>1</v>
      </c>
      <c r="F393" t="b">
        <v>1</v>
      </c>
      <c r="G393" t="b">
        <v>1</v>
      </c>
      <c r="H393" t="s">
        <v>43</v>
      </c>
      <c r="I393" t="s">
        <v>26</v>
      </c>
      <c r="J393" t="s">
        <v>27</v>
      </c>
      <c r="K393" t="s">
        <v>37</v>
      </c>
      <c r="L393" t="s">
        <v>51</v>
      </c>
      <c r="M393" t="s">
        <v>47</v>
      </c>
      <c r="O393" t="b">
        <v>1</v>
      </c>
      <c r="P393" t="b">
        <v>1</v>
      </c>
      <c r="Q393">
        <v>8.1999999999999993</v>
      </c>
      <c r="R393" t="b">
        <v>1</v>
      </c>
      <c r="S393" t="s">
        <v>64</v>
      </c>
      <c r="T393">
        <v>43.2</v>
      </c>
      <c r="U393">
        <v>73.28</v>
      </c>
      <c r="V393" t="b">
        <v>1</v>
      </c>
      <c r="W393" t="s">
        <v>31</v>
      </c>
    </row>
    <row r="394" spans="1:23" x14ac:dyDescent="0.25">
      <c r="A394" t="s">
        <v>32</v>
      </c>
      <c r="B394" t="s">
        <v>73</v>
      </c>
      <c r="C394">
        <v>55.47</v>
      </c>
      <c r="D394">
        <v>687</v>
      </c>
      <c r="E394" t="b">
        <v>1</v>
      </c>
      <c r="F394" t="b">
        <v>0</v>
      </c>
      <c r="G394" t="b">
        <v>1</v>
      </c>
      <c r="H394" t="s">
        <v>53</v>
      </c>
      <c r="I394" t="s">
        <v>35</v>
      </c>
      <c r="J394" t="s">
        <v>50</v>
      </c>
      <c r="K394" t="s">
        <v>39</v>
      </c>
      <c r="L394" t="s">
        <v>51</v>
      </c>
      <c r="M394" t="s">
        <v>28</v>
      </c>
      <c r="O394" t="b">
        <v>1</v>
      </c>
      <c r="P394" t="b">
        <v>1</v>
      </c>
      <c r="Q394">
        <v>9.1</v>
      </c>
      <c r="R394" t="b">
        <v>0</v>
      </c>
      <c r="T394">
        <v>0</v>
      </c>
      <c r="U394">
        <v>64.33</v>
      </c>
      <c r="V394" t="b">
        <v>0</v>
      </c>
      <c r="W394" t="s">
        <v>58</v>
      </c>
    </row>
    <row r="395" spans="1:23" x14ac:dyDescent="0.25">
      <c r="A395" t="s">
        <v>56</v>
      </c>
      <c r="B395" t="s">
        <v>33</v>
      </c>
      <c r="C395">
        <v>86.47</v>
      </c>
      <c r="D395">
        <v>583</v>
      </c>
      <c r="E395" t="b">
        <v>1</v>
      </c>
      <c r="F395" t="b">
        <v>0</v>
      </c>
      <c r="G395" t="b">
        <v>1</v>
      </c>
      <c r="H395" t="s">
        <v>43</v>
      </c>
      <c r="I395" t="s">
        <v>26</v>
      </c>
      <c r="J395" t="s">
        <v>50</v>
      </c>
      <c r="K395" t="s">
        <v>39</v>
      </c>
      <c r="L395" t="s">
        <v>69</v>
      </c>
      <c r="M395" t="s">
        <v>47</v>
      </c>
      <c r="N395" t="s">
        <v>28</v>
      </c>
      <c r="O395" t="b">
        <v>1</v>
      </c>
      <c r="P395" t="b">
        <v>1</v>
      </c>
      <c r="Q395">
        <v>10</v>
      </c>
      <c r="R395" t="b">
        <v>1</v>
      </c>
      <c r="S395" t="s">
        <v>40</v>
      </c>
      <c r="T395">
        <v>8.9</v>
      </c>
      <c r="U395">
        <v>79.61</v>
      </c>
      <c r="V395" t="b">
        <v>0</v>
      </c>
      <c r="W395" t="s">
        <v>31</v>
      </c>
    </row>
    <row r="396" spans="1:23" x14ac:dyDescent="0.25">
      <c r="A396" t="s">
        <v>23</v>
      </c>
      <c r="B396" t="s">
        <v>71</v>
      </c>
      <c r="C396">
        <v>44.53</v>
      </c>
      <c r="D396">
        <v>344</v>
      </c>
      <c r="E396" t="b">
        <v>1</v>
      </c>
      <c r="F396" t="b">
        <v>0</v>
      </c>
      <c r="G396" t="b">
        <v>1</v>
      </c>
      <c r="H396" t="s">
        <v>25</v>
      </c>
      <c r="I396" t="s">
        <v>57</v>
      </c>
      <c r="J396" t="s">
        <v>27</v>
      </c>
      <c r="K396" t="s">
        <v>39</v>
      </c>
      <c r="L396" t="s">
        <v>37</v>
      </c>
      <c r="M396" t="s">
        <v>46</v>
      </c>
      <c r="N396" t="s">
        <v>39</v>
      </c>
      <c r="P396" t="b">
        <v>0</v>
      </c>
      <c r="Q396">
        <v>5.8</v>
      </c>
      <c r="R396" t="b">
        <v>1</v>
      </c>
      <c r="S396" t="s">
        <v>65</v>
      </c>
      <c r="T396">
        <v>22.1</v>
      </c>
      <c r="U396">
        <v>24.15</v>
      </c>
      <c r="V396" t="b">
        <v>0</v>
      </c>
      <c r="W396" t="s">
        <v>41</v>
      </c>
    </row>
    <row r="397" spans="1:23" x14ac:dyDescent="0.25">
      <c r="A397" t="s">
        <v>56</v>
      </c>
      <c r="B397" t="s">
        <v>62</v>
      </c>
      <c r="C397">
        <v>61.28</v>
      </c>
      <c r="D397">
        <v>228</v>
      </c>
      <c r="E397" t="b">
        <v>1</v>
      </c>
      <c r="F397" t="b">
        <v>1</v>
      </c>
      <c r="G397" t="b">
        <v>1</v>
      </c>
      <c r="H397" t="s">
        <v>53</v>
      </c>
      <c r="I397" t="s">
        <v>26</v>
      </c>
      <c r="J397" t="s">
        <v>27</v>
      </c>
      <c r="K397" t="s">
        <v>46</v>
      </c>
      <c r="L397" t="s">
        <v>37</v>
      </c>
      <c r="M397" t="s">
        <v>39</v>
      </c>
      <c r="P397" t="b">
        <v>1</v>
      </c>
      <c r="Q397">
        <v>6.4</v>
      </c>
      <c r="R397" t="b">
        <v>1</v>
      </c>
      <c r="S397" t="s">
        <v>55</v>
      </c>
      <c r="T397">
        <v>5.6</v>
      </c>
      <c r="U397">
        <v>65.08</v>
      </c>
      <c r="V397" t="b">
        <v>1</v>
      </c>
      <c r="W397" t="s">
        <v>41</v>
      </c>
    </row>
    <row r="398" spans="1:23" x14ac:dyDescent="0.25">
      <c r="A398" t="s">
        <v>32</v>
      </c>
      <c r="B398" t="s">
        <v>59</v>
      </c>
      <c r="C398">
        <v>93.52</v>
      </c>
      <c r="D398">
        <v>374</v>
      </c>
      <c r="E398" t="b">
        <v>1</v>
      </c>
      <c r="F398" t="b">
        <v>1</v>
      </c>
      <c r="G398" t="b">
        <v>1</v>
      </c>
      <c r="H398" t="s">
        <v>25</v>
      </c>
      <c r="I398" t="s">
        <v>57</v>
      </c>
      <c r="J398" t="s">
        <v>45</v>
      </c>
      <c r="K398" t="s">
        <v>37</v>
      </c>
      <c r="L398" t="s">
        <v>38</v>
      </c>
      <c r="M398" t="s">
        <v>39</v>
      </c>
      <c r="N398" t="s">
        <v>39</v>
      </c>
      <c r="P398" t="b">
        <v>1</v>
      </c>
      <c r="Q398">
        <v>10</v>
      </c>
      <c r="R398" t="b">
        <v>0</v>
      </c>
      <c r="T398">
        <v>0</v>
      </c>
      <c r="U398">
        <v>91.74</v>
      </c>
      <c r="V398" t="b">
        <v>1</v>
      </c>
      <c r="W398" t="s">
        <v>58</v>
      </c>
    </row>
    <row r="399" spans="1:23" x14ac:dyDescent="0.25">
      <c r="A399" t="s">
        <v>23</v>
      </c>
      <c r="B399" t="s">
        <v>70</v>
      </c>
      <c r="C399">
        <v>87.07</v>
      </c>
      <c r="D399">
        <v>89</v>
      </c>
      <c r="E399" t="b">
        <v>0</v>
      </c>
      <c r="F399" t="b">
        <v>1</v>
      </c>
      <c r="G399" t="b">
        <v>1</v>
      </c>
      <c r="H399" t="s">
        <v>25</v>
      </c>
      <c r="I399" t="s">
        <v>57</v>
      </c>
      <c r="J399" t="s">
        <v>27</v>
      </c>
      <c r="K399" t="s">
        <v>37</v>
      </c>
      <c r="L399" t="s">
        <v>37</v>
      </c>
      <c r="M399" t="s">
        <v>47</v>
      </c>
      <c r="N399" t="s">
        <v>46</v>
      </c>
      <c r="O399" t="b">
        <v>1</v>
      </c>
      <c r="P399" t="b">
        <v>0</v>
      </c>
      <c r="Q399">
        <v>9.1999999999999993</v>
      </c>
      <c r="R399" t="b">
        <v>0</v>
      </c>
      <c r="T399">
        <v>0</v>
      </c>
      <c r="U399">
        <v>86.98</v>
      </c>
      <c r="V399" t="b">
        <v>1</v>
      </c>
      <c r="W399" t="s">
        <v>58</v>
      </c>
    </row>
    <row r="400" spans="1:23" x14ac:dyDescent="0.25">
      <c r="A400" t="s">
        <v>68</v>
      </c>
      <c r="B400" t="s">
        <v>76</v>
      </c>
      <c r="C400">
        <v>75.86</v>
      </c>
      <c r="D400">
        <v>93</v>
      </c>
      <c r="E400" t="b">
        <v>0</v>
      </c>
      <c r="F400" t="b">
        <v>0</v>
      </c>
      <c r="G400" t="b">
        <v>1</v>
      </c>
      <c r="H400" t="s">
        <v>34</v>
      </c>
      <c r="I400" t="s">
        <v>44</v>
      </c>
      <c r="J400" t="s">
        <v>36</v>
      </c>
      <c r="K400" t="s">
        <v>37</v>
      </c>
      <c r="L400" t="s">
        <v>38</v>
      </c>
      <c r="M400" t="s">
        <v>46</v>
      </c>
      <c r="N400" t="s">
        <v>28</v>
      </c>
      <c r="O400" t="b">
        <v>1</v>
      </c>
      <c r="P400" t="b">
        <v>0</v>
      </c>
      <c r="Q400">
        <v>10</v>
      </c>
      <c r="R400" t="b">
        <v>1</v>
      </c>
      <c r="S400" t="s">
        <v>75</v>
      </c>
      <c r="T400">
        <v>17.600000000000001</v>
      </c>
      <c r="U400">
        <v>70.62</v>
      </c>
      <c r="V400" t="b">
        <v>0</v>
      </c>
      <c r="W400" t="s">
        <v>31</v>
      </c>
    </row>
    <row r="401" spans="1:23" x14ac:dyDescent="0.25">
      <c r="A401" t="s">
        <v>23</v>
      </c>
      <c r="B401" t="s">
        <v>24</v>
      </c>
      <c r="C401">
        <v>92.71</v>
      </c>
      <c r="D401">
        <v>471</v>
      </c>
      <c r="E401" t="b">
        <v>1</v>
      </c>
      <c r="F401" t="b">
        <v>1</v>
      </c>
      <c r="G401" t="b">
        <v>0</v>
      </c>
      <c r="H401" t="s">
        <v>34</v>
      </c>
      <c r="I401" t="s">
        <v>63</v>
      </c>
      <c r="J401" t="s">
        <v>36</v>
      </c>
      <c r="K401" t="s">
        <v>37</v>
      </c>
      <c r="L401" t="s">
        <v>37</v>
      </c>
      <c r="M401" t="s">
        <v>46</v>
      </c>
      <c r="N401" t="s">
        <v>39</v>
      </c>
      <c r="O401" t="b">
        <v>1</v>
      </c>
      <c r="P401" t="b">
        <v>0</v>
      </c>
      <c r="Q401">
        <v>10</v>
      </c>
      <c r="R401" t="b">
        <v>1</v>
      </c>
      <c r="S401" t="s">
        <v>48</v>
      </c>
      <c r="T401">
        <v>40.299999999999997</v>
      </c>
      <c r="U401">
        <v>79.2</v>
      </c>
      <c r="V401" t="b">
        <v>0</v>
      </c>
      <c r="W401" t="s">
        <v>31</v>
      </c>
    </row>
    <row r="402" spans="1:23" x14ac:dyDescent="0.25">
      <c r="A402" t="s">
        <v>74</v>
      </c>
      <c r="B402" t="s">
        <v>71</v>
      </c>
      <c r="C402">
        <v>52.74</v>
      </c>
      <c r="D402">
        <v>515</v>
      </c>
      <c r="E402" t="b">
        <v>1</v>
      </c>
      <c r="F402" t="b">
        <v>0</v>
      </c>
      <c r="G402" t="b">
        <v>0</v>
      </c>
      <c r="H402" t="s">
        <v>25</v>
      </c>
      <c r="I402" t="s">
        <v>44</v>
      </c>
      <c r="J402" t="s">
        <v>54</v>
      </c>
      <c r="K402" t="s">
        <v>46</v>
      </c>
      <c r="L402" t="s">
        <v>69</v>
      </c>
      <c r="M402" t="s">
        <v>39</v>
      </c>
      <c r="O402" t="b">
        <v>0</v>
      </c>
      <c r="P402" t="b">
        <v>0</v>
      </c>
      <c r="Q402">
        <v>5.5</v>
      </c>
      <c r="R402" t="b">
        <v>1</v>
      </c>
      <c r="S402" t="s">
        <v>40</v>
      </c>
      <c r="T402">
        <v>29.3</v>
      </c>
      <c r="U402">
        <v>46.58</v>
      </c>
      <c r="V402" t="b">
        <v>1</v>
      </c>
      <c r="W402" t="s">
        <v>41</v>
      </c>
    </row>
    <row r="403" spans="1:23" x14ac:dyDescent="0.25">
      <c r="A403" t="s">
        <v>68</v>
      </c>
      <c r="B403" t="s">
        <v>73</v>
      </c>
      <c r="C403">
        <v>50.69</v>
      </c>
      <c r="D403">
        <v>298</v>
      </c>
      <c r="E403" t="b">
        <v>0</v>
      </c>
      <c r="F403" t="b">
        <v>1</v>
      </c>
      <c r="G403" t="b">
        <v>0</v>
      </c>
      <c r="H403" t="s">
        <v>53</v>
      </c>
      <c r="I403" t="s">
        <v>35</v>
      </c>
      <c r="J403" t="s">
        <v>27</v>
      </c>
      <c r="K403" t="s">
        <v>39</v>
      </c>
      <c r="L403" t="s">
        <v>38</v>
      </c>
      <c r="M403" t="s">
        <v>39</v>
      </c>
      <c r="N403" t="s">
        <v>39</v>
      </c>
      <c r="P403" t="b">
        <v>0</v>
      </c>
      <c r="Q403">
        <v>5.0999999999999996</v>
      </c>
      <c r="R403" t="b">
        <v>1</v>
      </c>
      <c r="S403" t="s">
        <v>40</v>
      </c>
      <c r="T403">
        <v>40.6</v>
      </c>
      <c r="U403">
        <v>47.91</v>
      </c>
      <c r="V403" t="b">
        <v>1</v>
      </c>
      <c r="W403" t="s">
        <v>41</v>
      </c>
    </row>
    <row r="404" spans="1:23" x14ac:dyDescent="0.25">
      <c r="A404" t="s">
        <v>56</v>
      </c>
      <c r="B404" t="s">
        <v>76</v>
      </c>
      <c r="C404">
        <v>85.03</v>
      </c>
      <c r="D404">
        <v>132</v>
      </c>
      <c r="E404" t="b">
        <v>1</v>
      </c>
      <c r="F404" t="b">
        <v>0</v>
      </c>
      <c r="G404" t="b">
        <v>0</v>
      </c>
      <c r="H404" t="s">
        <v>53</v>
      </c>
      <c r="I404" t="s">
        <v>35</v>
      </c>
      <c r="J404" t="s">
        <v>45</v>
      </c>
      <c r="K404" t="s">
        <v>46</v>
      </c>
      <c r="L404" t="s">
        <v>51</v>
      </c>
      <c r="M404" t="s">
        <v>46</v>
      </c>
      <c r="N404" t="s">
        <v>46</v>
      </c>
      <c r="O404" t="b">
        <v>0</v>
      </c>
      <c r="P404" t="b">
        <v>0</v>
      </c>
      <c r="Q404">
        <v>9.3000000000000007</v>
      </c>
      <c r="R404" t="b">
        <v>0</v>
      </c>
      <c r="T404">
        <v>0</v>
      </c>
      <c r="U404">
        <v>87.57</v>
      </c>
      <c r="V404" t="b">
        <v>1</v>
      </c>
      <c r="W404" t="s">
        <v>58</v>
      </c>
    </row>
    <row r="405" spans="1:23" x14ac:dyDescent="0.25">
      <c r="A405" t="s">
        <v>61</v>
      </c>
      <c r="B405" t="s">
        <v>70</v>
      </c>
      <c r="C405">
        <v>94.61</v>
      </c>
      <c r="D405">
        <v>373</v>
      </c>
      <c r="E405" t="b">
        <v>0</v>
      </c>
      <c r="F405" t="b">
        <v>1</v>
      </c>
      <c r="G405" t="b">
        <v>0</v>
      </c>
      <c r="H405" t="s">
        <v>43</v>
      </c>
      <c r="I405" t="s">
        <v>67</v>
      </c>
      <c r="J405" t="s">
        <v>27</v>
      </c>
      <c r="K405" t="s">
        <v>46</v>
      </c>
      <c r="L405" t="s">
        <v>38</v>
      </c>
      <c r="M405" t="s">
        <v>47</v>
      </c>
      <c r="N405" t="s">
        <v>46</v>
      </c>
      <c r="P405" t="b">
        <v>0</v>
      </c>
      <c r="Q405">
        <v>9.1</v>
      </c>
      <c r="R405" t="b">
        <v>0</v>
      </c>
      <c r="T405">
        <v>0</v>
      </c>
      <c r="U405">
        <v>80.91</v>
      </c>
      <c r="V405" t="b">
        <v>1</v>
      </c>
      <c r="W405" t="s">
        <v>58</v>
      </c>
    </row>
    <row r="406" spans="1:23" x14ac:dyDescent="0.25">
      <c r="A406" t="s">
        <v>68</v>
      </c>
      <c r="B406" t="s">
        <v>60</v>
      </c>
      <c r="C406">
        <v>42.25</v>
      </c>
      <c r="D406">
        <v>516</v>
      </c>
      <c r="E406" t="b">
        <v>1</v>
      </c>
      <c r="F406" t="b">
        <v>1</v>
      </c>
      <c r="G406" t="b">
        <v>1</v>
      </c>
      <c r="H406" t="s">
        <v>25</v>
      </c>
      <c r="I406" t="s">
        <v>44</v>
      </c>
      <c r="J406" t="s">
        <v>36</v>
      </c>
      <c r="K406" t="s">
        <v>37</v>
      </c>
      <c r="L406" t="s">
        <v>38</v>
      </c>
      <c r="M406" t="s">
        <v>39</v>
      </c>
      <c r="O406" t="b">
        <v>1</v>
      </c>
      <c r="P406" t="b">
        <v>1</v>
      </c>
      <c r="Q406">
        <v>6</v>
      </c>
      <c r="R406" t="b">
        <v>1</v>
      </c>
      <c r="S406" t="s">
        <v>48</v>
      </c>
      <c r="T406">
        <v>2.7</v>
      </c>
      <c r="U406">
        <v>35.840000000000003</v>
      </c>
      <c r="V406" t="b">
        <v>0</v>
      </c>
      <c r="W406" t="s">
        <v>41</v>
      </c>
    </row>
    <row r="407" spans="1:23" x14ac:dyDescent="0.25">
      <c r="A407" t="s">
        <v>68</v>
      </c>
      <c r="B407" t="s">
        <v>66</v>
      </c>
      <c r="C407">
        <v>78.52</v>
      </c>
      <c r="D407">
        <v>773</v>
      </c>
      <c r="E407" t="b">
        <v>0</v>
      </c>
      <c r="F407" t="b">
        <v>0</v>
      </c>
      <c r="G407" t="b">
        <v>0</v>
      </c>
      <c r="H407" t="s">
        <v>25</v>
      </c>
      <c r="I407" t="s">
        <v>67</v>
      </c>
      <c r="J407" t="s">
        <v>27</v>
      </c>
      <c r="K407" t="s">
        <v>28</v>
      </c>
      <c r="L407" t="s">
        <v>29</v>
      </c>
      <c r="M407" t="s">
        <v>28</v>
      </c>
      <c r="N407" t="s">
        <v>46</v>
      </c>
      <c r="O407" t="b">
        <v>0</v>
      </c>
      <c r="P407" t="b">
        <v>0</v>
      </c>
      <c r="Q407">
        <v>8</v>
      </c>
      <c r="R407" t="b">
        <v>0</v>
      </c>
      <c r="T407">
        <v>0</v>
      </c>
      <c r="U407">
        <v>79.36</v>
      </c>
      <c r="V407" t="b">
        <v>1</v>
      </c>
      <c r="W407" t="s">
        <v>58</v>
      </c>
    </row>
    <row r="408" spans="1:23" x14ac:dyDescent="0.25">
      <c r="A408" t="s">
        <v>56</v>
      </c>
      <c r="B408" t="s">
        <v>33</v>
      </c>
      <c r="C408">
        <v>79.39</v>
      </c>
      <c r="D408">
        <v>404</v>
      </c>
      <c r="E408" t="b">
        <v>1</v>
      </c>
      <c r="F408" t="b">
        <v>1</v>
      </c>
      <c r="G408" t="b">
        <v>1</v>
      </c>
      <c r="H408" t="s">
        <v>25</v>
      </c>
      <c r="I408" t="s">
        <v>67</v>
      </c>
      <c r="J408" t="s">
        <v>36</v>
      </c>
      <c r="K408" t="s">
        <v>28</v>
      </c>
      <c r="L408" t="s">
        <v>69</v>
      </c>
      <c r="M408" t="s">
        <v>47</v>
      </c>
      <c r="N408" t="s">
        <v>39</v>
      </c>
      <c r="P408" t="b">
        <v>1</v>
      </c>
      <c r="Q408">
        <v>8.6999999999999993</v>
      </c>
      <c r="R408" t="b">
        <v>1</v>
      </c>
      <c r="S408" t="s">
        <v>65</v>
      </c>
      <c r="T408">
        <v>22.8</v>
      </c>
      <c r="U408">
        <v>83.62</v>
      </c>
      <c r="V408" t="b">
        <v>1</v>
      </c>
      <c r="W408" t="s">
        <v>31</v>
      </c>
    </row>
    <row r="409" spans="1:23" x14ac:dyDescent="0.25">
      <c r="A409" t="s">
        <v>61</v>
      </c>
      <c r="B409" t="s">
        <v>42</v>
      </c>
      <c r="C409">
        <v>79.83</v>
      </c>
      <c r="D409">
        <v>372</v>
      </c>
      <c r="E409" t="b">
        <v>0</v>
      </c>
      <c r="F409" t="b">
        <v>1</v>
      </c>
      <c r="G409" t="b">
        <v>1</v>
      </c>
      <c r="H409" t="s">
        <v>34</v>
      </c>
      <c r="I409" t="s">
        <v>63</v>
      </c>
      <c r="J409" t="s">
        <v>54</v>
      </c>
      <c r="K409" t="s">
        <v>39</v>
      </c>
      <c r="L409" t="s">
        <v>29</v>
      </c>
      <c r="M409" t="s">
        <v>46</v>
      </c>
      <c r="N409" t="s">
        <v>28</v>
      </c>
      <c r="O409" t="b">
        <v>1</v>
      </c>
      <c r="P409" t="b">
        <v>0</v>
      </c>
      <c r="Q409">
        <v>9</v>
      </c>
      <c r="R409" t="b">
        <v>1</v>
      </c>
      <c r="S409" t="s">
        <v>65</v>
      </c>
      <c r="T409">
        <v>44.1</v>
      </c>
      <c r="U409">
        <v>76.650000000000006</v>
      </c>
      <c r="V409" t="b">
        <v>1</v>
      </c>
      <c r="W409" t="s">
        <v>31</v>
      </c>
    </row>
    <row r="410" spans="1:23" x14ac:dyDescent="0.25">
      <c r="A410" t="s">
        <v>32</v>
      </c>
      <c r="B410" t="s">
        <v>60</v>
      </c>
      <c r="C410">
        <v>61.02</v>
      </c>
      <c r="D410">
        <v>62</v>
      </c>
      <c r="E410" t="b">
        <v>1</v>
      </c>
      <c r="F410" t="b">
        <v>0</v>
      </c>
      <c r="G410" t="b">
        <v>1</v>
      </c>
      <c r="H410" t="s">
        <v>53</v>
      </c>
      <c r="I410" t="s">
        <v>57</v>
      </c>
      <c r="J410" t="s">
        <v>36</v>
      </c>
      <c r="K410" t="s">
        <v>37</v>
      </c>
      <c r="L410" t="s">
        <v>29</v>
      </c>
      <c r="M410" t="s">
        <v>28</v>
      </c>
      <c r="N410" t="s">
        <v>39</v>
      </c>
      <c r="O410" t="b">
        <v>1</v>
      </c>
      <c r="P410" t="b">
        <v>0</v>
      </c>
      <c r="Q410">
        <v>9</v>
      </c>
      <c r="R410" t="b">
        <v>1</v>
      </c>
      <c r="S410" t="s">
        <v>48</v>
      </c>
      <c r="T410">
        <v>13.7</v>
      </c>
      <c r="U410">
        <v>68.87</v>
      </c>
      <c r="V410" t="b">
        <v>0</v>
      </c>
      <c r="W410" t="s">
        <v>31</v>
      </c>
    </row>
    <row r="411" spans="1:23" x14ac:dyDescent="0.25">
      <c r="A411" t="s">
        <v>23</v>
      </c>
      <c r="B411" t="s">
        <v>71</v>
      </c>
      <c r="C411">
        <v>57.46</v>
      </c>
      <c r="D411">
        <v>623</v>
      </c>
      <c r="E411" t="b">
        <v>0</v>
      </c>
      <c r="F411" t="b">
        <v>0</v>
      </c>
      <c r="G411" t="b">
        <v>1</v>
      </c>
      <c r="H411" t="s">
        <v>34</v>
      </c>
      <c r="I411" t="s">
        <v>44</v>
      </c>
      <c r="J411" t="s">
        <v>27</v>
      </c>
      <c r="K411" t="s">
        <v>39</v>
      </c>
      <c r="L411" t="s">
        <v>37</v>
      </c>
      <c r="M411" t="s">
        <v>39</v>
      </c>
      <c r="N411" t="s">
        <v>46</v>
      </c>
      <c r="P411" t="b">
        <v>1</v>
      </c>
      <c r="Q411">
        <v>5.2</v>
      </c>
      <c r="R411" t="b">
        <v>1</v>
      </c>
      <c r="S411" t="s">
        <v>64</v>
      </c>
      <c r="T411">
        <v>7.3</v>
      </c>
      <c r="U411">
        <v>56.22</v>
      </c>
      <c r="V411" t="b">
        <v>1</v>
      </c>
      <c r="W411" t="s">
        <v>41</v>
      </c>
    </row>
    <row r="412" spans="1:23" x14ac:dyDescent="0.25">
      <c r="A412" t="s">
        <v>32</v>
      </c>
      <c r="B412" t="s">
        <v>60</v>
      </c>
      <c r="C412">
        <v>63.19</v>
      </c>
      <c r="D412">
        <v>462</v>
      </c>
      <c r="E412" t="b">
        <v>1</v>
      </c>
      <c r="F412" t="b">
        <v>0</v>
      </c>
      <c r="G412" t="b">
        <v>0</v>
      </c>
      <c r="H412" t="s">
        <v>34</v>
      </c>
      <c r="I412" t="s">
        <v>63</v>
      </c>
      <c r="J412" t="s">
        <v>54</v>
      </c>
      <c r="K412" t="s">
        <v>46</v>
      </c>
      <c r="L412" t="s">
        <v>37</v>
      </c>
      <c r="M412" t="s">
        <v>39</v>
      </c>
      <c r="O412" t="b">
        <v>0</v>
      </c>
      <c r="P412" t="b">
        <v>0</v>
      </c>
      <c r="Q412">
        <v>6.2</v>
      </c>
      <c r="R412" t="b">
        <v>1</v>
      </c>
      <c r="S412" t="s">
        <v>75</v>
      </c>
      <c r="T412">
        <v>8.5</v>
      </c>
      <c r="U412">
        <v>53.13</v>
      </c>
      <c r="V412" t="b">
        <v>1</v>
      </c>
      <c r="W412" t="s">
        <v>41</v>
      </c>
    </row>
    <row r="413" spans="1:23" x14ac:dyDescent="0.25">
      <c r="A413" t="s">
        <v>23</v>
      </c>
      <c r="B413" t="s">
        <v>33</v>
      </c>
      <c r="C413">
        <v>83.79</v>
      </c>
      <c r="D413">
        <v>478</v>
      </c>
      <c r="E413" t="b">
        <v>1</v>
      </c>
      <c r="F413" t="b">
        <v>1</v>
      </c>
      <c r="G413" t="b">
        <v>1</v>
      </c>
      <c r="H413" t="s">
        <v>34</v>
      </c>
      <c r="I413" t="s">
        <v>44</v>
      </c>
      <c r="J413" t="s">
        <v>36</v>
      </c>
      <c r="K413" t="s">
        <v>37</v>
      </c>
      <c r="L413" t="s">
        <v>29</v>
      </c>
      <c r="M413" t="s">
        <v>39</v>
      </c>
      <c r="N413" t="s">
        <v>46</v>
      </c>
      <c r="P413" t="b">
        <v>0</v>
      </c>
      <c r="Q413">
        <v>8.6</v>
      </c>
      <c r="R413" t="b">
        <v>0</v>
      </c>
      <c r="T413">
        <v>0</v>
      </c>
      <c r="U413">
        <v>92.94</v>
      </c>
      <c r="V413" t="b">
        <v>1</v>
      </c>
      <c r="W413" t="s">
        <v>58</v>
      </c>
    </row>
    <row r="414" spans="1:23" x14ac:dyDescent="0.25">
      <c r="A414" t="s">
        <v>23</v>
      </c>
      <c r="B414" t="s">
        <v>42</v>
      </c>
      <c r="C414">
        <v>70.61</v>
      </c>
      <c r="D414">
        <v>215</v>
      </c>
      <c r="E414" t="b">
        <v>1</v>
      </c>
      <c r="F414" t="b">
        <v>0</v>
      </c>
      <c r="G414" t="b">
        <v>1</v>
      </c>
      <c r="H414" t="s">
        <v>25</v>
      </c>
      <c r="I414" t="s">
        <v>44</v>
      </c>
      <c r="J414" t="s">
        <v>36</v>
      </c>
      <c r="K414" t="s">
        <v>28</v>
      </c>
      <c r="L414" t="s">
        <v>29</v>
      </c>
      <c r="M414" t="s">
        <v>28</v>
      </c>
      <c r="N414" t="s">
        <v>46</v>
      </c>
      <c r="O414" t="b">
        <v>0</v>
      </c>
      <c r="P414" t="b">
        <v>1</v>
      </c>
      <c r="Q414">
        <v>7.8</v>
      </c>
      <c r="R414" t="b">
        <v>1</v>
      </c>
      <c r="S414" t="s">
        <v>65</v>
      </c>
      <c r="T414">
        <v>37.6</v>
      </c>
      <c r="U414">
        <v>65.819999999999993</v>
      </c>
      <c r="V414" t="b">
        <v>1</v>
      </c>
      <c r="W414" t="s">
        <v>41</v>
      </c>
    </row>
    <row r="415" spans="1:23" x14ac:dyDescent="0.25">
      <c r="A415" t="s">
        <v>32</v>
      </c>
      <c r="B415" t="s">
        <v>71</v>
      </c>
      <c r="C415">
        <v>59.39</v>
      </c>
      <c r="D415">
        <v>599</v>
      </c>
      <c r="E415" t="b">
        <v>1</v>
      </c>
      <c r="F415" t="b">
        <v>1</v>
      </c>
      <c r="G415" t="b">
        <v>1</v>
      </c>
      <c r="H415" t="s">
        <v>34</v>
      </c>
      <c r="I415" t="s">
        <v>67</v>
      </c>
      <c r="J415" t="s">
        <v>54</v>
      </c>
      <c r="K415" t="s">
        <v>28</v>
      </c>
      <c r="L415" t="s">
        <v>51</v>
      </c>
      <c r="M415" t="s">
        <v>46</v>
      </c>
      <c r="O415" t="b">
        <v>1</v>
      </c>
      <c r="P415" t="b">
        <v>1</v>
      </c>
      <c r="Q415">
        <v>8.1</v>
      </c>
      <c r="R415" t="b">
        <v>0</v>
      </c>
      <c r="T415">
        <v>0</v>
      </c>
      <c r="U415">
        <v>56.53</v>
      </c>
      <c r="V415" t="b">
        <v>0</v>
      </c>
      <c r="W415" t="s">
        <v>58</v>
      </c>
    </row>
    <row r="416" spans="1:23" x14ac:dyDescent="0.25">
      <c r="A416" t="s">
        <v>74</v>
      </c>
      <c r="B416" t="s">
        <v>66</v>
      </c>
      <c r="C416">
        <v>67.7</v>
      </c>
      <c r="D416">
        <v>254</v>
      </c>
      <c r="E416" t="b">
        <v>0</v>
      </c>
      <c r="F416" t="b">
        <v>0</v>
      </c>
      <c r="G416" t="b">
        <v>0</v>
      </c>
      <c r="H416" t="s">
        <v>53</v>
      </c>
      <c r="I416" t="s">
        <v>44</v>
      </c>
      <c r="J416" t="s">
        <v>27</v>
      </c>
      <c r="K416" t="s">
        <v>28</v>
      </c>
      <c r="L416" t="s">
        <v>51</v>
      </c>
      <c r="M416" t="s">
        <v>28</v>
      </c>
      <c r="O416" t="b">
        <v>1</v>
      </c>
      <c r="P416" t="b">
        <v>1</v>
      </c>
      <c r="Q416">
        <v>9.5</v>
      </c>
      <c r="R416" t="b">
        <v>0</v>
      </c>
      <c r="T416">
        <v>0</v>
      </c>
      <c r="U416">
        <v>67.69</v>
      </c>
      <c r="V416" t="b">
        <v>0</v>
      </c>
      <c r="W416" t="s">
        <v>58</v>
      </c>
    </row>
    <row r="417" spans="1:23" x14ac:dyDescent="0.25">
      <c r="A417" t="s">
        <v>23</v>
      </c>
      <c r="B417" t="s">
        <v>60</v>
      </c>
      <c r="C417">
        <v>49.49</v>
      </c>
      <c r="D417">
        <v>458</v>
      </c>
      <c r="E417" t="b">
        <v>1</v>
      </c>
      <c r="F417" t="b">
        <v>0</v>
      </c>
      <c r="G417" t="b">
        <v>0</v>
      </c>
      <c r="H417" t="s">
        <v>43</v>
      </c>
      <c r="I417" t="s">
        <v>26</v>
      </c>
      <c r="J417" t="s">
        <v>54</v>
      </c>
      <c r="K417" t="s">
        <v>39</v>
      </c>
      <c r="L417" t="s">
        <v>29</v>
      </c>
      <c r="M417" t="s">
        <v>28</v>
      </c>
      <c r="N417" t="s">
        <v>39</v>
      </c>
      <c r="O417" t="b">
        <v>0</v>
      </c>
      <c r="P417" t="b">
        <v>0</v>
      </c>
      <c r="Q417">
        <v>6.3</v>
      </c>
      <c r="R417" t="b">
        <v>1</v>
      </c>
      <c r="S417" t="s">
        <v>30</v>
      </c>
      <c r="T417">
        <v>2.1</v>
      </c>
      <c r="U417">
        <v>59.44</v>
      </c>
      <c r="V417" t="b">
        <v>1</v>
      </c>
      <c r="W417" t="s">
        <v>41</v>
      </c>
    </row>
    <row r="418" spans="1:23" x14ac:dyDescent="0.25">
      <c r="A418" t="s">
        <v>56</v>
      </c>
      <c r="B418" t="s">
        <v>70</v>
      </c>
      <c r="C418">
        <v>74.19</v>
      </c>
      <c r="D418">
        <v>756</v>
      </c>
      <c r="E418" t="b">
        <v>1</v>
      </c>
      <c r="F418" t="b">
        <v>1</v>
      </c>
      <c r="G418" t="b">
        <v>1</v>
      </c>
      <c r="H418" t="s">
        <v>25</v>
      </c>
      <c r="I418" t="s">
        <v>57</v>
      </c>
      <c r="J418" t="s">
        <v>54</v>
      </c>
      <c r="K418" t="s">
        <v>46</v>
      </c>
      <c r="L418" t="s">
        <v>38</v>
      </c>
      <c r="M418" t="s">
        <v>28</v>
      </c>
      <c r="N418" t="s">
        <v>39</v>
      </c>
      <c r="O418" t="b">
        <v>1</v>
      </c>
      <c r="P418" t="b">
        <v>0</v>
      </c>
      <c r="Q418">
        <v>10</v>
      </c>
      <c r="R418" t="b">
        <v>0</v>
      </c>
      <c r="T418">
        <v>0</v>
      </c>
      <c r="U418">
        <v>74.650000000000006</v>
      </c>
      <c r="V418" t="b">
        <v>0</v>
      </c>
      <c r="W418" t="s">
        <v>58</v>
      </c>
    </row>
    <row r="419" spans="1:23" x14ac:dyDescent="0.25">
      <c r="A419" t="s">
        <v>68</v>
      </c>
      <c r="B419" t="s">
        <v>66</v>
      </c>
      <c r="C419">
        <v>74.540000000000006</v>
      </c>
      <c r="D419">
        <v>664</v>
      </c>
      <c r="E419" t="b">
        <v>1</v>
      </c>
      <c r="F419" t="b">
        <v>1</v>
      </c>
      <c r="G419" t="b">
        <v>1</v>
      </c>
      <c r="H419" t="s">
        <v>53</v>
      </c>
      <c r="I419" t="s">
        <v>35</v>
      </c>
      <c r="J419" t="s">
        <v>50</v>
      </c>
      <c r="K419" t="s">
        <v>37</v>
      </c>
      <c r="L419" t="s">
        <v>37</v>
      </c>
      <c r="M419" t="s">
        <v>28</v>
      </c>
      <c r="N419" t="s">
        <v>28</v>
      </c>
      <c r="O419" t="b">
        <v>0</v>
      </c>
      <c r="P419" t="b">
        <v>0</v>
      </c>
      <c r="Q419">
        <v>7.1</v>
      </c>
      <c r="R419" t="b">
        <v>1</v>
      </c>
      <c r="S419" t="s">
        <v>55</v>
      </c>
      <c r="T419">
        <v>20.399999999999999</v>
      </c>
      <c r="U419">
        <v>50.2</v>
      </c>
      <c r="V419" t="b">
        <v>0</v>
      </c>
      <c r="W419" t="s">
        <v>41</v>
      </c>
    </row>
    <row r="420" spans="1:23" x14ac:dyDescent="0.25">
      <c r="A420" t="s">
        <v>56</v>
      </c>
      <c r="B420" t="s">
        <v>70</v>
      </c>
      <c r="C420">
        <v>72.97</v>
      </c>
      <c r="D420">
        <v>228</v>
      </c>
      <c r="E420" t="b">
        <v>0</v>
      </c>
      <c r="F420" t="b">
        <v>0</v>
      </c>
      <c r="G420" t="b">
        <v>1</v>
      </c>
      <c r="H420" t="s">
        <v>43</v>
      </c>
      <c r="I420" t="s">
        <v>63</v>
      </c>
      <c r="J420" t="s">
        <v>27</v>
      </c>
      <c r="K420" t="s">
        <v>39</v>
      </c>
      <c r="L420" t="s">
        <v>37</v>
      </c>
      <c r="M420" t="s">
        <v>28</v>
      </c>
      <c r="N420" t="s">
        <v>46</v>
      </c>
      <c r="O420" t="b">
        <v>1</v>
      </c>
      <c r="P420" t="b">
        <v>1</v>
      </c>
      <c r="Q420">
        <v>8.9</v>
      </c>
      <c r="R420" t="b">
        <v>0</v>
      </c>
      <c r="T420">
        <v>0</v>
      </c>
      <c r="U420">
        <v>84.67</v>
      </c>
      <c r="V420" t="b">
        <v>1</v>
      </c>
      <c r="W420" t="s">
        <v>58</v>
      </c>
    </row>
    <row r="421" spans="1:23" x14ac:dyDescent="0.25">
      <c r="A421" t="s">
        <v>32</v>
      </c>
      <c r="B421" t="s">
        <v>70</v>
      </c>
      <c r="C421">
        <v>94.41</v>
      </c>
      <c r="D421">
        <v>359</v>
      </c>
      <c r="E421" t="b">
        <v>0</v>
      </c>
      <c r="F421" t="b">
        <v>1</v>
      </c>
      <c r="G421" t="b">
        <v>1</v>
      </c>
      <c r="H421" t="s">
        <v>25</v>
      </c>
      <c r="I421" t="s">
        <v>57</v>
      </c>
      <c r="J421" t="s">
        <v>50</v>
      </c>
      <c r="K421" t="s">
        <v>37</v>
      </c>
      <c r="L421" t="s">
        <v>37</v>
      </c>
      <c r="M421" t="s">
        <v>47</v>
      </c>
      <c r="O421" t="b">
        <v>1</v>
      </c>
      <c r="P421" t="b">
        <v>1</v>
      </c>
      <c r="Q421">
        <v>8.9</v>
      </c>
      <c r="R421" t="b">
        <v>1</v>
      </c>
      <c r="S421" t="s">
        <v>52</v>
      </c>
      <c r="T421">
        <v>27.7</v>
      </c>
      <c r="U421">
        <v>93.62</v>
      </c>
      <c r="V421" t="b">
        <v>1</v>
      </c>
      <c r="W421" t="s">
        <v>31</v>
      </c>
    </row>
    <row r="422" spans="1:23" x14ac:dyDescent="0.25">
      <c r="A422" t="s">
        <v>56</v>
      </c>
      <c r="B422" t="s">
        <v>49</v>
      </c>
      <c r="C422">
        <v>64.17</v>
      </c>
      <c r="D422">
        <v>580</v>
      </c>
      <c r="E422" t="b">
        <v>1</v>
      </c>
      <c r="F422" t="b">
        <v>1</v>
      </c>
      <c r="G422" t="b">
        <v>1</v>
      </c>
      <c r="H422" t="s">
        <v>25</v>
      </c>
      <c r="I422" t="s">
        <v>35</v>
      </c>
      <c r="J422" t="s">
        <v>45</v>
      </c>
      <c r="K422" t="s">
        <v>39</v>
      </c>
      <c r="L422" t="s">
        <v>38</v>
      </c>
      <c r="M422" t="s">
        <v>39</v>
      </c>
      <c r="N422" t="s">
        <v>39</v>
      </c>
      <c r="O422" t="b">
        <v>0</v>
      </c>
      <c r="P422" t="b">
        <v>0</v>
      </c>
      <c r="Q422">
        <v>6.5</v>
      </c>
      <c r="R422" t="b">
        <v>0</v>
      </c>
      <c r="T422">
        <v>0</v>
      </c>
      <c r="U422">
        <v>68.52</v>
      </c>
      <c r="V422" t="b">
        <v>1</v>
      </c>
      <c r="W422" t="s">
        <v>31</v>
      </c>
    </row>
    <row r="423" spans="1:23" x14ac:dyDescent="0.25">
      <c r="A423" t="s">
        <v>74</v>
      </c>
      <c r="B423" t="s">
        <v>73</v>
      </c>
      <c r="C423">
        <v>64.11</v>
      </c>
      <c r="D423">
        <v>617</v>
      </c>
      <c r="E423" t="b">
        <v>0</v>
      </c>
      <c r="F423" t="b">
        <v>0</v>
      </c>
      <c r="G423" t="b">
        <v>0</v>
      </c>
      <c r="H423" t="s">
        <v>25</v>
      </c>
      <c r="I423" t="s">
        <v>44</v>
      </c>
      <c r="J423" t="s">
        <v>54</v>
      </c>
      <c r="K423" t="s">
        <v>28</v>
      </c>
      <c r="L423" t="s">
        <v>29</v>
      </c>
      <c r="M423" t="s">
        <v>39</v>
      </c>
      <c r="N423" t="s">
        <v>39</v>
      </c>
      <c r="O423" t="b">
        <v>1</v>
      </c>
      <c r="P423" t="b">
        <v>1</v>
      </c>
      <c r="Q423">
        <v>8.1</v>
      </c>
      <c r="R423" t="b">
        <v>1</v>
      </c>
      <c r="S423" t="s">
        <v>64</v>
      </c>
      <c r="T423">
        <v>27</v>
      </c>
      <c r="U423">
        <v>75.42</v>
      </c>
      <c r="V423" t="b">
        <v>1</v>
      </c>
      <c r="W423" t="s">
        <v>31</v>
      </c>
    </row>
    <row r="424" spans="1:23" x14ac:dyDescent="0.25">
      <c r="A424" t="s">
        <v>61</v>
      </c>
      <c r="B424" t="s">
        <v>59</v>
      </c>
      <c r="C424">
        <v>79.69</v>
      </c>
      <c r="D424">
        <v>558</v>
      </c>
      <c r="E424" t="b">
        <v>1</v>
      </c>
      <c r="F424" t="b">
        <v>0</v>
      </c>
      <c r="G424" t="b">
        <v>1</v>
      </c>
      <c r="H424" t="s">
        <v>53</v>
      </c>
      <c r="I424" t="s">
        <v>67</v>
      </c>
      <c r="J424" t="s">
        <v>27</v>
      </c>
      <c r="K424" t="s">
        <v>39</v>
      </c>
      <c r="L424" t="s">
        <v>37</v>
      </c>
      <c r="M424" t="s">
        <v>28</v>
      </c>
      <c r="P424" t="b">
        <v>0</v>
      </c>
      <c r="Q424">
        <v>9.9</v>
      </c>
      <c r="R424" t="b">
        <v>1</v>
      </c>
      <c r="S424" t="s">
        <v>65</v>
      </c>
      <c r="T424">
        <v>43.1</v>
      </c>
      <c r="U424">
        <v>82.2</v>
      </c>
      <c r="V424" t="b">
        <v>1</v>
      </c>
      <c r="W424" t="s">
        <v>31</v>
      </c>
    </row>
    <row r="425" spans="1:23" x14ac:dyDescent="0.25">
      <c r="A425" t="s">
        <v>68</v>
      </c>
      <c r="B425" t="s">
        <v>73</v>
      </c>
      <c r="C425">
        <v>50.91</v>
      </c>
      <c r="D425">
        <v>218</v>
      </c>
      <c r="E425" t="b">
        <v>1</v>
      </c>
      <c r="F425" t="b">
        <v>1</v>
      </c>
      <c r="G425" t="b">
        <v>1</v>
      </c>
      <c r="H425" t="s">
        <v>43</v>
      </c>
      <c r="I425" t="s">
        <v>63</v>
      </c>
      <c r="J425" t="s">
        <v>36</v>
      </c>
      <c r="K425" t="s">
        <v>37</v>
      </c>
      <c r="L425" t="s">
        <v>51</v>
      </c>
      <c r="M425" t="s">
        <v>39</v>
      </c>
      <c r="N425" t="s">
        <v>28</v>
      </c>
      <c r="P425" t="b">
        <v>1</v>
      </c>
      <c r="Q425">
        <v>5.3</v>
      </c>
      <c r="R425" t="b">
        <v>1</v>
      </c>
      <c r="S425" t="s">
        <v>75</v>
      </c>
      <c r="T425">
        <v>29.7</v>
      </c>
      <c r="U425">
        <v>43.49</v>
      </c>
      <c r="V425" t="b">
        <v>1</v>
      </c>
      <c r="W425" t="s">
        <v>41</v>
      </c>
    </row>
    <row r="426" spans="1:23" x14ac:dyDescent="0.25">
      <c r="A426" t="s">
        <v>23</v>
      </c>
      <c r="B426" t="s">
        <v>71</v>
      </c>
      <c r="C426">
        <v>54.67</v>
      </c>
      <c r="D426">
        <v>283</v>
      </c>
      <c r="E426" t="b">
        <v>1</v>
      </c>
      <c r="F426" t="b">
        <v>0</v>
      </c>
      <c r="G426" t="b">
        <v>1</v>
      </c>
      <c r="H426" t="s">
        <v>43</v>
      </c>
      <c r="I426" t="s">
        <v>57</v>
      </c>
      <c r="J426" t="s">
        <v>27</v>
      </c>
      <c r="K426" t="s">
        <v>46</v>
      </c>
      <c r="L426" t="s">
        <v>38</v>
      </c>
      <c r="M426" t="s">
        <v>28</v>
      </c>
      <c r="N426" t="s">
        <v>28</v>
      </c>
      <c r="O426" t="b">
        <v>0</v>
      </c>
      <c r="P426" t="b">
        <v>0</v>
      </c>
      <c r="Q426">
        <v>7.4</v>
      </c>
      <c r="R426" t="b">
        <v>0</v>
      </c>
      <c r="T426">
        <v>0</v>
      </c>
      <c r="U426">
        <v>46.76</v>
      </c>
      <c r="V426" t="b">
        <v>0</v>
      </c>
      <c r="W426" t="s">
        <v>31</v>
      </c>
    </row>
    <row r="427" spans="1:23" x14ac:dyDescent="0.25">
      <c r="A427" t="s">
        <v>68</v>
      </c>
      <c r="B427" t="s">
        <v>71</v>
      </c>
      <c r="C427">
        <v>57.6</v>
      </c>
      <c r="D427">
        <v>89</v>
      </c>
      <c r="E427" t="b">
        <v>1</v>
      </c>
      <c r="F427" t="b">
        <v>1</v>
      </c>
      <c r="G427" t="b">
        <v>0</v>
      </c>
      <c r="H427" t="s">
        <v>34</v>
      </c>
      <c r="I427" t="s">
        <v>44</v>
      </c>
      <c r="J427" t="s">
        <v>45</v>
      </c>
      <c r="K427" t="s">
        <v>37</v>
      </c>
      <c r="L427" t="s">
        <v>38</v>
      </c>
      <c r="M427" t="s">
        <v>39</v>
      </c>
      <c r="N427" t="s">
        <v>39</v>
      </c>
      <c r="O427" t="b">
        <v>0</v>
      </c>
      <c r="P427" t="b">
        <v>0</v>
      </c>
      <c r="Q427">
        <v>5.0999999999999996</v>
      </c>
      <c r="R427" t="b">
        <v>0</v>
      </c>
      <c r="T427">
        <v>0</v>
      </c>
      <c r="U427">
        <v>46.63</v>
      </c>
      <c r="V427" t="b">
        <v>1</v>
      </c>
      <c r="W427" t="s">
        <v>41</v>
      </c>
    </row>
    <row r="428" spans="1:23" x14ac:dyDescent="0.25">
      <c r="A428" t="s">
        <v>74</v>
      </c>
      <c r="B428" t="s">
        <v>42</v>
      </c>
      <c r="C428">
        <v>81.05</v>
      </c>
      <c r="D428">
        <v>123</v>
      </c>
      <c r="E428" t="b">
        <v>1</v>
      </c>
      <c r="F428" t="b">
        <v>1</v>
      </c>
      <c r="G428" t="b">
        <v>1</v>
      </c>
      <c r="H428" t="s">
        <v>43</v>
      </c>
      <c r="I428" t="s">
        <v>67</v>
      </c>
      <c r="J428" t="s">
        <v>27</v>
      </c>
      <c r="K428" t="s">
        <v>28</v>
      </c>
      <c r="L428" t="s">
        <v>38</v>
      </c>
      <c r="M428" t="s">
        <v>28</v>
      </c>
      <c r="N428" t="s">
        <v>28</v>
      </c>
      <c r="O428" t="b">
        <v>0</v>
      </c>
      <c r="P428" t="b">
        <v>1</v>
      </c>
      <c r="Q428">
        <v>9.3000000000000007</v>
      </c>
      <c r="R428" t="b">
        <v>1</v>
      </c>
      <c r="S428" t="s">
        <v>52</v>
      </c>
      <c r="T428">
        <v>41</v>
      </c>
      <c r="U428">
        <v>92.23</v>
      </c>
      <c r="V428" t="b">
        <v>1</v>
      </c>
      <c r="W428" t="s">
        <v>31</v>
      </c>
    </row>
    <row r="429" spans="1:23" x14ac:dyDescent="0.25">
      <c r="A429" t="s">
        <v>56</v>
      </c>
      <c r="B429" t="s">
        <v>66</v>
      </c>
      <c r="C429">
        <v>60.3</v>
      </c>
      <c r="D429">
        <v>281</v>
      </c>
      <c r="E429" t="b">
        <v>1</v>
      </c>
      <c r="F429" t="b">
        <v>0</v>
      </c>
      <c r="G429" t="b">
        <v>0</v>
      </c>
      <c r="H429" t="s">
        <v>25</v>
      </c>
      <c r="I429" t="s">
        <v>44</v>
      </c>
      <c r="J429" t="s">
        <v>36</v>
      </c>
      <c r="K429" t="s">
        <v>46</v>
      </c>
      <c r="L429" t="s">
        <v>69</v>
      </c>
      <c r="M429" t="s">
        <v>39</v>
      </c>
      <c r="N429" t="s">
        <v>46</v>
      </c>
      <c r="P429" t="b">
        <v>1</v>
      </c>
      <c r="Q429">
        <v>8.1</v>
      </c>
      <c r="R429" t="b">
        <v>1</v>
      </c>
      <c r="S429" t="s">
        <v>48</v>
      </c>
      <c r="T429">
        <v>8.8000000000000007</v>
      </c>
      <c r="U429">
        <v>56.11</v>
      </c>
      <c r="V429" t="b">
        <v>0</v>
      </c>
      <c r="W429" t="s">
        <v>31</v>
      </c>
    </row>
    <row r="430" spans="1:23" x14ac:dyDescent="0.25">
      <c r="A430" t="s">
        <v>61</v>
      </c>
      <c r="B430" t="s">
        <v>76</v>
      </c>
      <c r="C430">
        <v>74.98</v>
      </c>
      <c r="D430">
        <v>253</v>
      </c>
      <c r="E430" t="b">
        <v>1</v>
      </c>
      <c r="F430" t="b">
        <v>0</v>
      </c>
      <c r="G430" t="b">
        <v>0</v>
      </c>
      <c r="H430" t="s">
        <v>25</v>
      </c>
      <c r="I430" t="s">
        <v>35</v>
      </c>
      <c r="J430" t="s">
        <v>50</v>
      </c>
      <c r="K430" t="s">
        <v>39</v>
      </c>
      <c r="L430" t="s">
        <v>51</v>
      </c>
      <c r="M430" t="s">
        <v>47</v>
      </c>
      <c r="N430" t="s">
        <v>46</v>
      </c>
      <c r="O430" t="b">
        <v>1</v>
      </c>
      <c r="P430" t="b">
        <v>0</v>
      </c>
      <c r="Q430">
        <v>9.1999999999999993</v>
      </c>
      <c r="R430" t="b">
        <v>1</v>
      </c>
      <c r="S430" t="s">
        <v>52</v>
      </c>
      <c r="T430">
        <v>38.5</v>
      </c>
      <c r="U430">
        <v>76.61</v>
      </c>
      <c r="V430" t="b">
        <v>1</v>
      </c>
      <c r="W430" t="s">
        <v>31</v>
      </c>
    </row>
    <row r="431" spans="1:23" x14ac:dyDescent="0.25">
      <c r="A431" t="s">
        <v>61</v>
      </c>
      <c r="B431" t="s">
        <v>76</v>
      </c>
      <c r="C431">
        <v>85.68</v>
      </c>
      <c r="D431">
        <v>435</v>
      </c>
      <c r="E431" t="b">
        <v>1</v>
      </c>
      <c r="F431" t="b">
        <v>0</v>
      </c>
      <c r="G431" t="b">
        <v>1</v>
      </c>
      <c r="H431" t="s">
        <v>43</v>
      </c>
      <c r="I431" t="s">
        <v>35</v>
      </c>
      <c r="J431" t="s">
        <v>54</v>
      </c>
      <c r="K431" t="s">
        <v>39</v>
      </c>
      <c r="L431" t="s">
        <v>38</v>
      </c>
      <c r="M431" t="s">
        <v>39</v>
      </c>
      <c r="N431" t="s">
        <v>28</v>
      </c>
      <c r="O431" t="b">
        <v>1</v>
      </c>
      <c r="P431" t="b">
        <v>0</v>
      </c>
      <c r="Q431">
        <v>10</v>
      </c>
      <c r="R431" t="b">
        <v>1</v>
      </c>
      <c r="S431" t="s">
        <v>30</v>
      </c>
      <c r="T431">
        <v>11.5</v>
      </c>
      <c r="U431">
        <v>91.07</v>
      </c>
      <c r="V431" t="b">
        <v>1</v>
      </c>
      <c r="W431" t="s">
        <v>31</v>
      </c>
    </row>
    <row r="432" spans="1:23" x14ac:dyDescent="0.25">
      <c r="A432" t="s">
        <v>32</v>
      </c>
      <c r="B432" t="s">
        <v>73</v>
      </c>
      <c r="C432">
        <v>64.8</v>
      </c>
      <c r="D432">
        <v>340</v>
      </c>
      <c r="E432" t="b">
        <v>1</v>
      </c>
      <c r="F432" t="b">
        <v>1</v>
      </c>
      <c r="G432" t="b">
        <v>0</v>
      </c>
      <c r="H432" t="s">
        <v>25</v>
      </c>
      <c r="I432" t="s">
        <v>63</v>
      </c>
      <c r="J432" t="s">
        <v>50</v>
      </c>
      <c r="K432" t="s">
        <v>39</v>
      </c>
      <c r="L432" t="s">
        <v>51</v>
      </c>
      <c r="M432" t="s">
        <v>47</v>
      </c>
      <c r="O432" t="b">
        <v>0</v>
      </c>
      <c r="P432" t="b">
        <v>1</v>
      </c>
      <c r="Q432">
        <v>5.3</v>
      </c>
      <c r="R432" t="b">
        <v>1</v>
      </c>
      <c r="S432" t="s">
        <v>52</v>
      </c>
      <c r="T432">
        <v>10.3</v>
      </c>
      <c r="U432">
        <v>52.55</v>
      </c>
      <c r="V432" t="b">
        <v>1</v>
      </c>
      <c r="W432" t="s">
        <v>41</v>
      </c>
    </row>
    <row r="433" spans="1:23" x14ac:dyDescent="0.25">
      <c r="A433" t="s">
        <v>74</v>
      </c>
      <c r="B433" t="s">
        <v>24</v>
      </c>
      <c r="C433">
        <v>86.3</v>
      </c>
      <c r="D433">
        <v>305</v>
      </c>
      <c r="E433" t="b">
        <v>0</v>
      </c>
      <c r="F433" t="b">
        <v>1</v>
      </c>
      <c r="G433" t="b">
        <v>0</v>
      </c>
      <c r="H433" t="s">
        <v>25</v>
      </c>
      <c r="I433" t="s">
        <v>44</v>
      </c>
      <c r="J433" t="s">
        <v>36</v>
      </c>
      <c r="K433" t="s">
        <v>37</v>
      </c>
      <c r="L433" t="s">
        <v>69</v>
      </c>
      <c r="M433" t="s">
        <v>28</v>
      </c>
      <c r="N433" t="s">
        <v>39</v>
      </c>
      <c r="O433" t="b">
        <v>1</v>
      </c>
      <c r="P433" t="b">
        <v>0</v>
      </c>
      <c r="Q433">
        <v>10</v>
      </c>
      <c r="R433" t="b">
        <v>0</v>
      </c>
      <c r="T433">
        <v>0</v>
      </c>
      <c r="U433">
        <v>99.83</v>
      </c>
      <c r="V433" t="b">
        <v>1</v>
      </c>
      <c r="W433" t="s">
        <v>58</v>
      </c>
    </row>
    <row r="434" spans="1:23" x14ac:dyDescent="0.25">
      <c r="A434" t="s">
        <v>61</v>
      </c>
      <c r="B434" t="s">
        <v>70</v>
      </c>
      <c r="C434">
        <v>85.04</v>
      </c>
      <c r="D434">
        <v>797</v>
      </c>
      <c r="E434" t="b">
        <v>0</v>
      </c>
      <c r="F434" t="b">
        <v>1</v>
      </c>
      <c r="G434" t="b">
        <v>1</v>
      </c>
      <c r="H434" t="s">
        <v>43</v>
      </c>
      <c r="I434" t="s">
        <v>57</v>
      </c>
      <c r="J434" t="s">
        <v>45</v>
      </c>
      <c r="K434" t="s">
        <v>37</v>
      </c>
      <c r="L434" t="s">
        <v>69</v>
      </c>
      <c r="M434" t="s">
        <v>28</v>
      </c>
      <c r="N434" t="s">
        <v>28</v>
      </c>
      <c r="O434" t="b">
        <v>0</v>
      </c>
      <c r="P434" t="b">
        <v>1</v>
      </c>
      <c r="Q434">
        <v>8.4</v>
      </c>
      <c r="R434" t="b">
        <v>0</v>
      </c>
      <c r="T434">
        <v>0</v>
      </c>
      <c r="U434">
        <v>88.94</v>
      </c>
      <c r="V434" t="b">
        <v>1</v>
      </c>
      <c r="W434" t="s">
        <v>58</v>
      </c>
    </row>
    <row r="435" spans="1:23" x14ac:dyDescent="0.25">
      <c r="A435" t="s">
        <v>68</v>
      </c>
      <c r="B435" t="s">
        <v>62</v>
      </c>
      <c r="C435">
        <v>65.44</v>
      </c>
      <c r="D435">
        <v>703</v>
      </c>
      <c r="E435" t="b">
        <v>1</v>
      </c>
      <c r="F435" t="b">
        <v>0</v>
      </c>
      <c r="G435" t="b">
        <v>0</v>
      </c>
      <c r="H435" t="s">
        <v>25</v>
      </c>
      <c r="I435" t="s">
        <v>26</v>
      </c>
      <c r="J435" t="s">
        <v>27</v>
      </c>
      <c r="K435" t="s">
        <v>46</v>
      </c>
      <c r="L435" t="s">
        <v>37</v>
      </c>
      <c r="M435" t="s">
        <v>28</v>
      </c>
      <c r="N435" t="s">
        <v>28</v>
      </c>
      <c r="O435" t="b">
        <v>1</v>
      </c>
      <c r="P435" t="b">
        <v>0</v>
      </c>
      <c r="Q435">
        <v>9.8000000000000007</v>
      </c>
      <c r="R435" t="b">
        <v>0</v>
      </c>
      <c r="T435">
        <v>0</v>
      </c>
      <c r="U435">
        <v>56.25</v>
      </c>
      <c r="V435" t="b">
        <v>0</v>
      </c>
      <c r="W435" t="s">
        <v>58</v>
      </c>
    </row>
    <row r="436" spans="1:23" x14ac:dyDescent="0.25">
      <c r="A436" t="s">
        <v>56</v>
      </c>
      <c r="B436" t="s">
        <v>70</v>
      </c>
      <c r="C436">
        <v>76.45</v>
      </c>
      <c r="D436">
        <v>628</v>
      </c>
      <c r="E436" t="b">
        <v>1</v>
      </c>
      <c r="F436" t="b">
        <v>1</v>
      </c>
      <c r="G436" t="b">
        <v>0</v>
      </c>
      <c r="H436" t="s">
        <v>43</v>
      </c>
      <c r="I436" t="s">
        <v>26</v>
      </c>
      <c r="J436" t="s">
        <v>54</v>
      </c>
      <c r="K436" t="s">
        <v>46</v>
      </c>
      <c r="L436" t="s">
        <v>38</v>
      </c>
      <c r="M436" t="s">
        <v>28</v>
      </c>
      <c r="N436" t="s">
        <v>46</v>
      </c>
      <c r="P436" t="b">
        <v>1</v>
      </c>
      <c r="Q436">
        <v>10</v>
      </c>
      <c r="R436" t="b">
        <v>0</v>
      </c>
      <c r="T436">
        <v>0</v>
      </c>
      <c r="U436">
        <v>68.209999999999994</v>
      </c>
      <c r="V436" t="b">
        <v>0</v>
      </c>
      <c r="W436" t="s">
        <v>58</v>
      </c>
    </row>
    <row r="437" spans="1:23" x14ac:dyDescent="0.25">
      <c r="A437" t="s">
        <v>32</v>
      </c>
      <c r="B437" t="s">
        <v>42</v>
      </c>
      <c r="C437">
        <v>83.87</v>
      </c>
      <c r="D437">
        <v>310</v>
      </c>
      <c r="E437" t="b">
        <v>0</v>
      </c>
      <c r="F437" t="b">
        <v>1</v>
      </c>
      <c r="G437" t="b">
        <v>0</v>
      </c>
      <c r="H437" t="s">
        <v>34</v>
      </c>
      <c r="I437" t="s">
        <v>35</v>
      </c>
      <c r="J437" t="s">
        <v>45</v>
      </c>
      <c r="K437" t="s">
        <v>39</v>
      </c>
      <c r="L437" t="s">
        <v>51</v>
      </c>
      <c r="M437" t="s">
        <v>47</v>
      </c>
      <c r="P437" t="b">
        <v>1</v>
      </c>
      <c r="Q437">
        <v>7.1</v>
      </c>
      <c r="R437" t="b">
        <v>1</v>
      </c>
      <c r="S437" t="s">
        <v>30</v>
      </c>
      <c r="T437">
        <v>29.4</v>
      </c>
      <c r="U437">
        <v>95.4</v>
      </c>
      <c r="V437" t="b">
        <v>0</v>
      </c>
      <c r="W437" t="s">
        <v>41</v>
      </c>
    </row>
    <row r="438" spans="1:23" x14ac:dyDescent="0.25">
      <c r="A438" t="s">
        <v>74</v>
      </c>
      <c r="B438" t="s">
        <v>59</v>
      </c>
      <c r="C438">
        <v>79.03</v>
      </c>
      <c r="D438">
        <v>625</v>
      </c>
      <c r="E438" t="b">
        <v>0</v>
      </c>
      <c r="F438" t="b">
        <v>1</v>
      </c>
      <c r="G438" t="b">
        <v>1</v>
      </c>
      <c r="H438" t="s">
        <v>34</v>
      </c>
      <c r="I438" t="s">
        <v>67</v>
      </c>
      <c r="J438" t="s">
        <v>54</v>
      </c>
      <c r="K438" t="s">
        <v>39</v>
      </c>
      <c r="L438" t="s">
        <v>51</v>
      </c>
      <c r="M438" t="s">
        <v>47</v>
      </c>
      <c r="N438" t="s">
        <v>39</v>
      </c>
      <c r="O438" t="b">
        <v>1</v>
      </c>
      <c r="P438" t="b">
        <v>0</v>
      </c>
      <c r="Q438">
        <v>8</v>
      </c>
      <c r="R438" t="b">
        <v>0</v>
      </c>
      <c r="T438">
        <v>0</v>
      </c>
      <c r="U438">
        <v>74.680000000000007</v>
      </c>
      <c r="V438" t="b">
        <v>1</v>
      </c>
      <c r="W438" t="s">
        <v>58</v>
      </c>
    </row>
    <row r="439" spans="1:23" x14ac:dyDescent="0.25">
      <c r="A439" t="s">
        <v>74</v>
      </c>
      <c r="B439" t="s">
        <v>60</v>
      </c>
      <c r="C439">
        <v>59.18</v>
      </c>
      <c r="D439">
        <v>596</v>
      </c>
      <c r="E439" t="b">
        <v>1</v>
      </c>
      <c r="F439" t="b">
        <v>0</v>
      </c>
      <c r="G439" t="b">
        <v>0</v>
      </c>
      <c r="H439" t="s">
        <v>25</v>
      </c>
      <c r="I439" t="s">
        <v>57</v>
      </c>
      <c r="J439" t="s">
        <v>45</v>
      </c>
      <c r="K439" t="s">
        <v>39</v>
      </c>
      <c r="L439" t="s">
        <v>38</v>
      </c>
      <c r="M439" t="s">
        <v>28</v>
      </c>
      <c r="N439" t="s">
        <v>28</v>
      </c>
      <c r="O439" t="b">
        <v>1</v>
      </c>
      <c r="P439" t="b">
        <v>1</v>
      </c>
      <c r="Q439">
        <v>9.6</v>
      </c>
      <c r="R439" t="b">
        <v>0</v>
      </c>
      <c r="T439">
        <v>0</v>
      </c>
      <c r="U439">
        <v>44.83</v>
      </c>
      <c r="V439" t="b">
        <v>0</v>
      </c>
      <c r="W439" t="s">
        <v>58</v>
      </c>
    </row>
    <row r="440" spans="1:23" x14ac:dyDescent="0.25">
      <c r="A440" t="s">
        <v>23</v>
      </c>
      <c r="B440" t="s">
        <v>70</v>
      </c>
      <c r="C440">
        <v>76.02</v>
      </c>
      <c r="D440">
        <v>152</v>
      </c>
      <c r="E440" t="b">
        <v>0</v>
      </c>
      <c r="F440" t="b">
        <v>1</v>
      </c>
      <c r="G440" t="b">
        <v>0</v>
      </c>
      <c r="H440" t="s">
        <v>53</v>
      </c>
      <c r="I440" t="s">
        <v>63</v>
      </c>
      <c r="J440" t="s">
        <v>54</v>
      </c>
      <c r="K440" t="s">
        <v>28</v>
      </c>
      <c r="L440" t="s">
        <v>37</v>
      </c>
      <c r="M440" t="s">
        <v>28</v>
      </c>
      <c r="N440" t="s">
        <v>39</v>
      </c>
      <c r="P440" t="b">
        <v>0</v>
      </c>
      <c r="Q440">
        <v>7.8</v>
      </c>
      <c r="R440" t="b">
        <v>1</v>
      </c>
      <c r="S440" t="s">
        <v>65</v>
      </c>
      <c r="T440">
        <v>30.4</v>
      </c>
      <c r="U440">
        <v>76.02</v>
      </c>
      <c r="V440" t="b">
        <v>1</v>
      </c>
      <c r="W440" t="s">
        <v>41</v>
      </c>
    </row>
    <row r="441" spans="1:23" x14ac:dyDescent="0.25">
      <c r="A441" t="s">
        <v>68</v>
      </c>
      <c r="B441" t="s">
        <v>59</v>
      </c>
      <c r="C441">
        <v>76.599999999999994</v>
      </c>
      <c r="D441">
        <v>263</v>
      </c>
      <c r="E441" t="b">
        <v>0</v>
      </c>
      <c r="F441" t="b">
        <v>1</v>
      </c>
      <c r="G441" t="b">
        <v>1</v>
      </c>
      <c r="H441" t="s">
        <v>53</v>
      </c>
      <c r="I441" t="s">
        <v>44</v>
      </c>
      <c r="J441" t="s">
        <v>27</v>
      </c>
      <c r="K441" t="s">
        <v>46</v>
      </c>
      <c r="L441" t="s">
        <v>29</v>
      </c>
      <c r="M441" t="s">
        <v>28</v>
      </c>
      <c r="N441" t="s">
        <v>46</v>
      </c>
      <c r="O441" t="b">
        <v>1</v>
      </c>
      <c r="P441" t="b">
        <v>0</v>
      </c>
      <c r="Q441">
        <v>9.6</v>
      </c>
      <c r="R441" t="b">
        <v>1</v>
      </c>
      <c r="S441" t="s">
        <v>65</v>
      </c>
      <c r="T441">
        <v>4.2</v>
      </c>
      <c r="U441">
        <v>79.06</v>
      </c>
      <c r="V441" t="b">
        <v>1</v>
      </c>
      <c r="W441" t="s">
        <v>31</v>
      </c>
    </row>
    <row r="442" spans="1:23" x14ac:dyDescent="0.25">
      <c r="A442" t="s">
        <v>68</v>
      </c>
      <c r="B442" t="s">
        <v>71</v>
      </c>
      <c r="C442">
        <v>49.87</v>
      </c>
      <c r="D442">
        <v>728</v>
      </c>
      <c r="E442" t="b">
        <v>0</v>
      </c>
      <c r="F442" t="b">
        <v>1</v>
      </c>
      <c r="G442" t="b">
        <v>0</v>
      </c>
      <c r="H442" t="s">
        <v>25</v>
      </c>
      <c r="I442" t="s">
        <v>26</v>
      </c>
      <c r="J442" t="s">
        <v>36</v>
      </c>
      <c r="K442" t="s">
        <v>46</v>
      </c>
      <c r="L442" t="s">
        <v>38</v>
      </c>
      <c r="M442" t="s">
        <v>46</v>
      </c>
      <c r="O442" t="b">
        <v>0</v>
      </c>
      <c r="P442" t="b">
        <v>1</v>
      </c>
      <c r="Q442">
        <v>4.7</v>
      </c>
      <c r="R442" t="b">
        <v>1</v>
      </c>
      <c r="S442" t="s">
        <v>55</v>
      </c>
      <c r="T442">
        <v>12.7</v>
      </c>
      <c r="U442">
        <v>38.28</v>
      </c>
      <c r="V442" t="b">
        <v>1</v>
      </c>
      <c r="W442" t="s">
        <v>72</v>
      </c>
    </row>
    <row r="443" spans="1:23" x14ac:dyDescent="0.25">
      <c r="A443" t="s">
        <v>68</v>
      </c>
      <c r="B443" t="s">
        <v>59</v>
      </c>
      <c r="C443">
        <v>92.18</v>
      </c>
      <c r="D443">
        <v>670</v>
      </c>
      <c r="E443" t="b">
        <v>1</v>
      </c>
      <c r="F443" t="b">
        <v>1</v>
      </c>
      <c r="G443" t="b">
        <v>0</v>
      </c>
      <c r="H443" t="s">
        <v>43</v>
      </c>
      <c r="I443" t="s">
        <v>35</v>
      </c>
      <c r="J443" t="s">
        <v>54</v>
      </c>
      <c r="K443" t="s">
        <v>39</v>
      </c>
      <c r="L443" t="s">
        <v>69</v>
      </c>
      <c r="M443" t="s">
        <v>47</v>
      </c>
      <c r="P443" t="b">
        <v>1</v>
      </c>
      <c r="Q443">
        <v>9.3000000000000007</v>
      </c>
      <c r="R443" t="b">
        <v>0</v>
      </c>
      <c r="T443">
        <v>0</v>
      </c>
      <c r="U443">
        <v>90.9</v>
      </c>
      <c r="V443" t="b">
        <v>1</v>
      </c>
      <c r="W443" t="s">
        <v>58</v>
      </c>
    </row>
    <row r="444" spans="1:23" x14ac:dyDescent="0.25">
      <c r="A444" t="s">
        <v>68</v>
      </c>
      <c r="B444" t="s">
        <v>71</v>
      </c>
      <c r="C444">
        <v>58.19</v>
      </c>
      <c r="D444">
        <v>643</v>
      </c>
      <c r="E444" t="b">
        <v>1</v>
      </c>
      <c r="F444" t="b">
        <v>1</v>
      </c>
      <c r="G444" t="b">
        <v>0</v>
      </c>
      <c r="H444" t="s">
        <v>43</v>
      </c>
      <c r="I444" t="s">
        <v>26</v>
      </c>
      <c r="J444" t="s">
        <v>45</v>
      </c>
      <c r="K444" t="s">
        <v>28</v>
      </c>
      <c r="L444" t="s">
        <v>37</v>
      </c>
      <c r="M444" t="s">
        <v>47</v>
      </c>
      <c r="N444" t="s">
        <v>46</v>
      </c>
      <c r="O444" t="b">
        <v>0</v>
      </c>
      <c r="P444" t="b">
        <v>1</v>
      </c>
      <c r="Q444">
        <v>4.5999999999999996</v>
      </c>
      <c r="R444" t="b">
        <v>1</v>
      </c>
      <c r="S444" t="s">
        <v>64</v>
      </c>
      <c r="T444">
        <v>32.700000000000003</v>
      </c>
      <c r="U444">
        <v>51.73</v>
      </c>
      <c r="V444" t="b">
        <v>1</v>
      </c>
      <c r="W444" t="s">
        <v>72</v>
      </c>
    </row>
    <row r="445" spans="1:23" x14ac:dyDescent="0.25">
      <c r="A445" t="s">
        <v>61</v>
      </c>
      <c r="B445" t="s">
        <v>42</v>
      </c>
      <c r="C445">
        <v>74.47</v>
      </c>
      <c r="D445">
        <v>83</v>
      </c>
      <c r="E445" t="b">
        <v>0</v>
      </c>
      <c r="F445" t="b">
        <v>0</v>
      </c>
      <c r="G445" t="b">
        <v>1</v>
      </c>
      <c r="H445" t="s">
        <v>53</v>
      </c>
      <c r="I445" t="s">
        <v>67</v>
      </c>
      <c r="J445" t="s">
        <v>36</v>
      </c>
      <c r="K445" t="s">
        <v>46</v>
      </c>
      <c r="L445" t="s">
        <v>51</v>
      </c>
      <c r="M445" t="s">
        <v>39</v>
      </c>
      <c r="N445" t="s">
        <v>28</v>
      </c>
      <c r="P445" t="b">
        <v>1</v>
      </c>
      <c r="Q445">
        <v>7.3</v>
      </c>
      <c r="R445" t="b">
        <v>1</v>
      </c>
      <c r="S445" t="s">
        <v>52</v>
      </c>
      <c r="T445">
        <v>3.2</v>
      </c>
      <c r="U445">
        <v>85.22</v>
      </c>
      <c r="V445" t="b">
        <v>1</v>
      </c>
      <c r="W445" t="s">
        <v>41</v>
      </c>
    </row>
    <row r="446" spans="1:23" x14ac:dyDescent="0.25">
      <c r="A446" t="s">
        <v>74</v>
      </c>
      <c r="B446" t="s">
        <v>24</v>
      </c>
      <c r="C446">
        <v>92.53</v>
      </c>
      <c r="D446">
        <v>417</v>
      </c>
      <c r="E446" t="b">
        <v>1</v>
      </c>
      <c r="F446" t="b">
        <v>1</v>
      </c>
      <c r="G446" t="b">
        <v>1</v>
      </c>
      <c r="H446" t="s">
        <v>53</v>
      </c>
      <c r="I446" t="s">
        <v>57</v>
      </c>
      <c r="J446" t="s">
        <v>27</v>
      </c>
      <c r="K446" t="s">
        <v>46</v>
      </c>
      <c r="L446" t="s">
        <v>69</v>
      </c>
      <c r="M446" t="s">
        <v>39</v>
      </c>
      <c r="N446" t="s">
        <v>28</v>
      </c>
      <c r="P446" t="b">
        <v>1</v>
      </c>
      <c r="Q446">
        <v>10</v>
      </c>
      <c r="R446" t="b">
        <v>0</v>
      </c>
      <c r="T446">
        <v>0</v>
      </c>
      <c r="U446">
        <v>84.11</v>
      </c>
      <c r="V446" t="b">
        <v>1</v>
      </c>
      <c r="W446" t="s">
        <v>58</v>
      </c>
    </row>
    <row r="447" spans="1:23" x14ac:dyDescent="0.25">
      <c r="A447" t="s">
        <v>74</v>
      </c>
      <c r="B447" t="s">
        <v>71</v>
      </c>
      <c r="C447">
        <v>48.21</v>
      </c>
      <c r="D447">
        <v>720</v>
      </c>
      <c r="E447" t="b">
        <v>0</v>
      </c>
      <c r="F447" t="b">
        <v>1</v>
      </c>
      <c r="G447" t="b">
        <v>1</v>
      </c>
      <c r="H447" t="s">
        <v>43</v>
      </c>
      <c r="I447" t="s">
        <v>67</v>
      </c>
      <c r="J447" t="s">
        <v>50</v>
      </c>
      <c r="K447" t="s">
        <v>39</v>
      </c>
      <c r="L447" t="s">
        <v>29</v>
      </c>
      <c r="M447" t="s">
        <v>47</v>
      </c>
      <c r="N447" t="s">
        <v>28</v>
      </c>
      <c r="P447" t="b">
        <v>0</v>
      </c>
      <c r="Q447">
        <v>3.3</v>
      </c>
      <c r="R447" t="b">
        <v>1</v>
      </c>
      <c r="S447" t="s">
        <v>65</v>
      </c>
      <c r="T447">
        <v>13.2</v>
      </c>
      <c r="U447">
        <v>49.33</v>
      </c>
      <c r="V447" t="b">
        <v>1</v>
      </c>
      <c r="W447" t="s">
        <v>72</v>
      </c>
    </row>
    <row r="448" spans="1:23" x14ac:dyDescent="0.25">
      <c r="A448" t="s">
        <v>68</v>
      </c>
      <c r="B448" t="s">
        <v>62</v>
      </c>
      <c r="C448">
        <v>74.760000000000005</v>
      </c>
      <c r="D448">
        <v>698</v>
      </c>
      <c r="E448" t="b">
        <v>1</v>
      </c>
      <c r="F448" t="b">
        <v>0</v>
      </c>
      <c r="G448" t="b">
        <v>0</v>
      </c>
      <c r="H448" t="s">
        <v>34</v>
      </c>
      <c r="I448" t="s">
        <v>63</v>
      </c>
      <c r="J448" t="s">
        <v>54</v>
      </c>
      <c r="K448" t="s">
        <v>46</v>
      </c>
      <c r="L448" t="s">
        <v>69</v>
      </c>
      <c r="M448" t="s">
        <v>47</v>
      </c>
      <c r="N448" t="s">
        <v>39</v>
      </c>
      <c r="O448" t="b">
        <v>0</v>
      </c>
      <c r="P448" t="b">
        <v>0</v>
      </c>
      <c r="Q448">
        <v>8.8000000000000007</v>
      </c>
      <c r="R448" t="b">
        <v>1</v>
      </c>
      <c r="S448" t="s">
        <v>40</v>
      </c>
      <c r="T448">
        <v>43.6</v>
      </c>
      <c r="U448">
        <v>84.8</v>
      </c>
      <c r="V448" t="b">
        <v>1</v>
      </c>
      <c r="W448" t="s">
        <v>31</v>
      </c>
    </row>
    <row r="449" spans="1:23" x14ac:dyDescent="0.25">
      <c r="A449" t="s">
        <v>56</v>
      </c>
      <c r="B449" t="s">
        <v>76</v>
      </c>
      <c r="C449">
        <v>74.069999999999993</v>
      </c>
      <c r="D449">
        <v>728</v>
      </c>
      <c r="E449" t="b">
        <v>1</v>
      </c>
      <c r="F449" t="b">
        <v>1</v>
      </c>
      <c r="G449" t="b">
        <v>0</v>
      </c>
      <c r="H449" t="s">
        <v>53</v>
      </c>
      <c r="I449" t="s">
        <v>57</v>
      </c>
      <c r="J449" t="s">
        <v>27</v>
      </c>
      <c r="K449" t="s">
        <v>39</v>
      </c>
      <c r="L449" t="s">
        <v>29</v>
      </c>
      <c r="M449" t="s">
        <v>46</v>
      </c>
      <c r="O449" t="b">
        <v>0</v>
      </c>
      <c r="P449" t="b">
        <v>0</v>
      </c>
      <c r="Q449">
        <v>7.3</v>
      </c>
      <c r="R449" t="b">
        <v>1</v>
      </c>
      <c r="S449" t="s">
        <v>64</v>
      </c>
      <c r="T449">
        <v>11.1</v>
      </c>
      <c r="U449">
        <v>65.53</v>
      </c>
      <c r="V449" t="b">
        <v>1</v>
      </c>
      <c r="W449" t="s">
        <v>41</v>
      </c>
    </row>
    <row r="450" spans="1:23" x14ac:dyDescent="0.25">
      <c r="A450" t="s">
        <v>61</v>
      </c>
      <c r="B450" t="s">
        <v>49</v>
      </c>
      <c r="C450">
        <v>78.95</v>
      </c>
      <c r="D450">
        <v>297</v>
      </c>
      <c r="E450" t="b">
        <v>1</v>
      </c>
      <c r="F450" t="b">
        <v>0</v>
      </c>
      <c r="G450" t="b">
        <v>0</v>
      </c>
      <c r="H450" t="s">
        <v>34</v>
      </c>
      <c r="I450" t="s">
        <v>63</v>
      </c>
      <c r="J450" t="s">
        <v>54</v>
      </c>
      <c r="K450" t="s">
        <v>28</v>
      </c>
      <c r="L450" t="s">
        <v>38</v>
      </c>
      <c r="M450" t="s">
        <v>46</v>
      </c>
      <c r="N450" t="s">
        <v>39</v>
      </c>
      <c r="O450" t="b">
        <v>1</v>
      </c>
      <c r="P450" t="b">
        <v>0</v>
      </c>
      <c r="Q450">
        <v>10</v>
      </c>
      <c r="R450" t="b">
        <v>0</v>
      </c>
      <c r="T450">
        <v>0</v>
      </c>
      <c r="U450">
        <v>92.56</v>
      </c>
      <c r="V450" t="b">
        <v>1</v>
      </c>
      <c r="W450" t="s">
        <v>58</v>
      </c>
    </row>
    <row r="451" spans="1:23" x14ac:dyDescent="0.25">
      <c r="A451" t="s">
        <v>68</v>
      </c>
      <c r="B451" t="s">
        <v>60</v>
      </c>
      <c r="C451">
        <v>57.61</v>
      </c>
      <c r="D451">
        <v>285</v>
      </c>
      <c r="E451" t="b">
        <v>1</v>
      </c>
      <c r="F451" t="b">
        <v>0</v>
      </c>
      <c r="G451" t="b">
        <v>0</v>
      </c>
      <c r="H451" t="s">
        <v>25</v>
      </c>
      <c r="I451" t="s">
        <v>63</v>
      </c>
      <c r="J451" t="s">
        <v>27</v>
      </c>
      <c r="K451" t="s">
        <v>39</v>
      </c>
      <c r="L451" t="s">
        <v>38</v>
      </c>
      <c r="M451" t="s">
        <v>46</v>
      </c>
      <c r="P451" t="b">
        <v>0</v>
      </c>
      <c r="Q451">
        <v>7.5</v>
      </c>
      <c r="R451" t="b">
        <v>0</v>
      </c>
      <c r="T451">
        <v>0</v>
      </c>
      <c r="U451">
        <v>71.36</v>
      </c>
      <c r="V451" t="b">
        <v>1</v>
      </c>
      <c r="W451" t="s">
        <v>31</v>
      </c>
    </row>
    <row r="452" spans="1:23" x14ac:dyDescent="0.25">
      <c r="A452" t="s">
        <v>68</v>
      </c>
      <c r="B452" t="s">
        <v>66</v>
      </c>
      <c r="C452">
        <v>59.87</v>
      </c>
      <c r="D452">
        <v>600</v>
      </c>
      <c r="E452" t="b">
        <v>1</v>
      </c>
      <c r="F452" t="b">
        <v>1</v>
      </c>
      <c r="G452" t="b">
        <v>0</v>
      </c>
      <c r="H452" t="s">
        <v>34</v>
      </c>
      <c r="I452" t="s">
        <v>63</v>
      </c>
      <c r="J452" t="s">
        <v>50</v>
      </c>
      <c r="K452" t="s">
        <v>39</v>
      </c>
      <c r="L452" t="s">
        <v>69</v>
      </c>
      <c r="M452" t="s">
        <v>46</v>
      </c>
      <c r="N452" t="s">
        <v>28</v>
      </c>
      <c r="O452" t="b">
        <v>1</v>
      </c>
      <c r="P452" t="b">
        <v>0</v>
      </c>
      <c r="Q452">
        <v>8.8000000000000007</v>
      </c>
      <c r="R452" t="b">
        <v>0</v>
      </c>
      <c r="T452">
        <v>0</v>
      </c>
      <c r="U452">
        <v>44.38</v>
      </c>
      <c r="V452" t="b">
        <v>0</v>
      </c>
      <c r="W452" t="s">
        <v>58</v>
      </c>
    </row>
    <row r="453" spans="1:23" x14ac:dyDescent="0.25">
      <c r="A453" t="s">
        <v>74</v>
      </c>
      <c r="B453" t="s">
        <v>49</v>
      </c>
      <c r="C453">
        <v>76.75</v>
      </c>
      <c r="D453">
        <v>630</v>
      </c>
      <c r="E453" t="b">
        <v>1</v>
      </c>
      <c r="F453" t="b">
        <v>0</v>
      </c>
      <c r="G453" t="b">
        <v>1</v>
      </c>
      <c r="H453" t="s">
        <v>53</v>
      </c>
      <c r="I453" t="s">
        <v>44</v>
      </c>
      <c r="J453" t="s">
        <v>45</v>
      </c>
      <c r="K453" t="s">
        <v>46</v>
      </c>
      <c r="L453" t="s">
        <v>29</v>
      </c>
      <c r="M453" t="s">
        <v>46</v>
      </c>
      <c r="N453" t="s">
        <v>28</v>
      </c>
      <c r="O453" t="b">
        <v>1</v>
      </c>
      <c r="P453" t="b">
        <v>1</v>
      </c>
      <c r="Q453">
        <v>10</v>
      </c>
      <c r="R453" t="b">
        <v>0</v>
      </c>
      <c r="T453">
        <v>0</v>
      </c>
      <c r="U453">
        <v>85.95</v>
      </c>
      <c r="V453" t="b">
        <v>1</v>
      </c>
      <c r="W453" t="s">
        <v>58</v>
      </c>
    </row>
    <row r="454" spans="1:23" x14ac:dyDescent="0.25">
      <c r="A454" t="s">
        <v>61</v>
      </c>
      <c r="B454" t="s">
        <v>76</v>
      </c>
      <c r="C454">
        <v>73.88</v>
      </c>
      <c r="D454">
        <v>340</v>
      </c>
      <c r="E454" t="b">
        <v>0</v>
      </c>
      <c r="F454" t="b">
        <v>0</v>
      </c>
      <c r="G454" t="b">
        <v>1</v>
      </c>
      <c r="H454" t="s">
        <v>53</v>
      </c>
      <c r="I454" t="s">
        <v>26</v>
      </c>
      <c r="J454" t="s">
        <v>54</v>
      </c>
      <c r="K454" t="s">
        <v>37</v>
      </c>
      <c r="L454" t="s">
        <v>69</v>
      </c>
      <c r="M454" t="s">
        <v>39</v>
      </c>
      <c r="N454" t="s">
        <v>39</v>
      </c>
      <c r="O454" t="b">
        <v>1</v>
      </c>
      <c r="P454" t="b">
        <v>1</v>
      </c>
      <c r="Q454">
        <v>9.1</v>
      </c>
      <c r="R454" t="b">
        <v>1</v>
      </c>
      <c r="S454" t="s">
        <v>52</v>
      </c>
      <c r="T454">
        <v>35.9</v>
      </c>
      <c r="U454">
        <v>65.22</v>
      </c>
      <c r="V454" t="b">
        <v>0</v>
      </c>
      <c r="W454" t="s">
        <v>31</v>
      </c>
    </row>
    <row r="455" spans="1:23" x14ac:dyDescent="0.25">
      <c r="A455" t="s">
        <v>56</v>
      </c>
      <c r="B455" t="s">
        <v>33</v>
      </c>
      <c r="C455">
        <v>77.31</v>
      </c>
      <c r="D455">
        <v>672</v>
      </c>
      <c r="E455" t="b">
        <v>1</v>
      </c>
      <c r="F455" t="b">
        <v>1</v>
      </c>
      <c r="G455" t="b">
        <v>0</v>
      </c>
      <c r="H455" t="s">
        <v>25</v>
      </c>
      <c r="I455" t="s">
        <v>44</v>
      </c>
      <c r="J455" t="s">
        <v>27</v>
      </c>
      <c r="K455" t="s">
        <v>39</v>
      </c>
      <c r="L455" t="s">
        <v>37</v>
      </c>
      <c r="M455" t="s">
        <v>28</v>
      </c>
      <c r="N455" t="s">
        <v>28</v>
      </c>
      <c r="O455" t="b">
        <v>1</v>
      </c>
      <c r="P455" t="b">
        <v>1</v>
      </c>
      <c r="Q455">
        <v>10</v>
      </c>
      <c r="R455" t="b">
        <v>0</v>
      </c>
      <c r="T455">
        <v>0</v>
      </c>
      <c r="U455">
        <v>63.18</v>
      </c>
      <c r="V455" t="b">
        <v>0</v>
      </c>
      <c r="W455" t="s">
        <v>58</v>
      </c>
    </row>
    <row r="456" spans="1:23" x14ac:dyDescent="0.25">
      <c r="A456" t="s">
        <v>68</v>
      </c>
      <c r="B456" t="s">
        <v>42</v>
      </c>
      <c r="C456">
        <v>76.02</v>
      </c>
      <c r="D456">
        <v>750</v>
      </c>
      <c r="E456" t="b">
        <v>0</v>
      </c>
      <c r="F456" t="b">
        <v>1</v>
      </c>
      <c r="G456" t="b">
        <v>0</v>
      </c>
      <c r="H456" t="s">
        <v>34</v>
      </c>
      <c r="I456" t="s">
        <v>67</v>
      </c>
      <c r="J456" t="s">
        <v>27</v>
      </c>
      <c r="K456" t="s">
        <v>28</v>
      </c>
      <c r="L456" t="s">
        <v>51</v>
      </c>
      <c r="M456" t="s">
        <v>39</v>
      </c>
      <c r="P456" t="b">
        <v>0</v>
      </c>
      <c r="Q456">
        <v>7.2</v>
      </c>
      <c r="R456" t="b">
        <v>1</v>
      </c>
      <c r="S456" t="s">
        <v>55</v>
      </c>
      <c r="T456">
        <v>12.8</v>
      </c>
      <c r="U456">
        <v>88.41</v>
      </c>
      <c r="V456" t="b">
        <v>1</v>
      </c>
      <c r="W456" t="s">
        <v>41</v>
      </c>
    </row>
    <row r="457" spans="1:23" x14ac:dyDescent="0.25">
      <c r="A457" t="s">
        <v>61</v>
      </c>
      <c r="B457" t="s">
        <v>62</v>
      </c>
      <c r="C457">
        <v>69.739999999999995</v>
      </c>
      <c r="D457">
        <v>65</v>
      </c>
      <c r="E457" t="b">
        <v>1</v>
      </c>
      <c r="F457" t="b">
        <v>0</v>
      </c>
      <c r="G457" t="b">
        <v>0</v>
      </c>
      <c r="H457" t="s">
        <v>43</v>
      </c>
      <c r="I457" t="s">
        <v>44</v>
      </c>
      <c r="J457" t="s">
        <v>36</v>
      </c>
      <c r="K457" t="s">
        <v>39</v>
      </c>
      <c r="L457" t="s">
        <v>29</v>
      </c>
      <c r="M457" t="s">
        <v>28</v>
      </c>
      <c r="O457" t="b">
        <v>1</v>
      </c>
      <c r="P457" t="b">
        <v>1</v>
      </c>
      <c r="Q457">
        <v>10</v>
      </c>
      <c r="R457" t="b">
        <v>1</v>
      </c>
      <c r="S457" t="s">
        <v>65</v>
      </c>
      <c r="T457">
        <v>8.1999999999999993</v>
      </c>
      <c r="U457">
        <v>58.93</v>
      </c>
      <c r="V457" t="b">
        <v>0</v>
      </c>
      <c r="W457" t="s">
        <v>31</v>
      </c>
    </row>
    <row r="458" spans="1:23" x14ac:dyDescent="0.25">
      <c r="A458" t="s">
        <v>32</v>
      </c>
      <c r="B458" t="s">
        <v>24</v>
      </c>
      <c r="C458">
        <v>93.21</v>
      </c>
      <c r="D458">
        <v>95</v>
      </c>
      <c r="E458" t="b">
        <v>0</v>
      </c>
      <c r="F458" t="b">
        <v>0</v>
      </c>
      <c r="G458" t="b">
        <v>0</v>
      </c>
      <c r="H458" t="s">
        <v>34</v>
      </c>
      <c r="I458" t="s">
        <v>35</v>
      </c>
      <c r="J458" t="s">
        <v>27</v>
      </c>
      <c r="K458" t="s">
        <v>46</v>
      </c>
      <c r="L458" t="s">
        <v>37</v>
      </c>
      <c r="M458" t="s">
        <v>46</v>
      </c>
      <c r="N458" t="s">
        <v>28</v>
      </c>
      <c r="P458" t="b">
        <v>1</v>
      </c>
      <c r="Q458">
        <v>9.6</v>
      </c>
      <c r="R458" t="b">
        <v>0</v>
      </c>
      <c r="T458">
        <v>0</v>
      </c>
      <c r="U458">
        <v>90.67</v>
      </c>
      <c r="V458" t="b">
        <v>1</v>
      </c>
      <c r="W458" t="s">
        <v>58</v>
      </c>
    </row>
    <row r="459" spans="1:23" x14ac:dyDescent="0.25">
      <c r="A459" t="s">
        <v>56</v>
      </c>
      <c r="B459" t="s">
        <v>33</v>
      </c>
      <c r="C459">
        <v>75.27</v>
      </c>
      <c r="D459">
        <v>230</v>
      </c>
      <c r="E459" t="b">
        <v>0</v>
      </c>
      <c r="F459" t="b">
        <v>0</v>
      </c>
      <c r="G459" t="b">
        <v>1</v>
      </c>
      <c r="H459" t="s">
        <v>34</v>
      </c>
      <c r="I459" t="s">
        <v>67</v>
      </c>
      <c r="J459" t="s">
        <v>54</v>
      </c>
      <c r="K459" t="s">
        <v>28</v>
      </c>
      <c r="L459" t="s">
        <v>37</v>
      </c>
      <c r="M459" t="s">
        <v>39</v>
      </c>
      <c r="N459" t="s">
        <v>39</v>
      </c>
      <c r="P459" t="b">
        <v>1</v>
      </c>
      <c r="Q459">
        <v>7.4</v>
      </c>
      <c r="R459" t="b">
        <v>0</v>
      </c>
      <c r="T459">
        <v>0</v>
      </c>
      <c r="U459">
        <v>71.010000000000005</v>
      </c>
      <c r="V459" t="b">
        <v>1</v>
      </c>
      <c r="W459" t="s">
        <v>31</v>
      </c>
    </row>
    <row r="460" spans="1:23" x14ac:dyDescent="0.25">
      <c r="A460" t="s">
        <v>56</v>
      </c>
      <c r="B460" t="s">
        <v>76</v>
      </c>
      <c r="C460">
        <v>70.06</v>
      </c>
      <c r="D460">
        <v>710</v>
      </c>
      <c r="E460" t="b">
        <v>1</v>
      </c>
      <c r="F460" t="b">
        <v>1</v>
      </c>
      <c r="G460" t="b">
        <v>1</v>
      </c>
      <c r="H460" t="s">
        <v>34</v>
      </c>
      <c r="I460" t="s">
        <v>35</v>
      </c>
      <c r="J460" t="s">
        <v>54</v>
      </c>
      <c r="K460" t="s">
        <v>46</v>
      </c>
      <c r="L460" t="s">
        <v>69</v>
      </c>
      <c r="M460" t="s">
        <v>47</v>
      </c>
      <c r="N460" t="s">
        <v>28</v>
      </c>
      <c r="O460" t="b">
        <v>0</v>
      </c>
      <c r="P460" t="b">
        <v>1</v>
      </c>
      <c r="Q460">
        <v>6.7</v>
      </c>
      <c r="R460" t="b">
        <v>1</v>
      </c>
      <c r="S460" t="s">
        <v>75</v>
      </c>
      <c r="T460">
        <v>10</v>
      </c>
      <c r="U460">
        <v>60.85</v>
      </c>
      <c r="V460" t="b">
        <v>1</v>
      </c>
      <c r="W460" t="s">
        <v>41</v>
      </c>
    </row>
    <row r="461" spans="1:23" x14ac:dyDescent="0.25">
      <c r="A461" t="s">
        <v>32</v>
      </c>
      <c r="B461" t="s">
        <v>76</v>
      </c>
      <c r="C461">
        <v>71.83</v>
      </c>
      <c r="D461">
        <v>660</v>
      </c>
      <c r="E461" t="b">
        <v>0</v>
      </c>
      <c r="F461" t="b">
        <v>0</v>
      </c>
      <c r="G461" t="b">
        <v>0</v>
      </c>
      <c r="H461" t="s">
        <v>25</v>
      </c>
      <c r="I461" t="s">
        <v>35</v>
      </c>
      <c r="J461" t="s">
        <v>27</v>
      </c>
      <c r="K461" t="s">
        <v>37</v>
      </c>
      <c r="L461" t="s">
        <v>38</v>
      </c>
      <c r="M461" t="s">
        <v>28</v>
      </c>
      <c r="N461" t="s">
        <v>39</v>
      </c>
      <c r="O461" t="b">
        <v>1</v>
      </c>
      <c r="P461" t="b">
        <v>1</v>
      </c>
      <c r="Q461">
        <v>10</v>
      </c>
      <c r="R461" t="b">
        <v>1</v>
      </c>
      <c r="S461" t="s">
        <v>75</v>
      </c>
      <c r="T461">
        <v>12.7</v>
      </c>
      <c r="U461">
        <v>66.3</v>
      </c>
      <c r="V461" t="b">
        <v>0</v>
      </c>
      <c r="W461" t="s">
        <v>31</v>
      </c>
    </row>
    <row r="462" spans="1:23" x14ac:dyDescent="0.25">
      <c r="A462" t="s">
        <v>74</v>
      </c>
      <c r="B462" t="s">
        <v>24</v>
      </c>
      <c r="C462">
        <v>88.49</v>
      </c>
      <c r="D462">
        <v>789</v>
      </c>
      <c r="E462" t="b">
        <v>0</v>
      </c>
      <c r="F462" t="b">
        <v>0</v>
      </c>
      <c r="G462" t="b">
        <v>0</v>
      </c>
      <c r="H462" t="s">
        <v>34</v>
      </c>
      <c r="I462" t="s">
        <v>63</v>
      </c>
      <c r="J462" t="s">
        <v>36</v>
      </c>
      <c r="K462" t="s">
        <v>46</v>
      </c>
      <c r="L462" t="s">
        <v>37</v>
      </c>
      <c r="M462" t="s">
        <v>39</v>
      </c>
      <c r="N462" t="s">
        <v>39</v>
      </c>
      <c r="O462" t="b">
        <v>0</v>
      </c>
      <c r="P462" t="b">
        <v>1</v>
      </c>
      <c r="Q462">
        <v>7.9</v>
      </c>
      <c r="R462" t="b">
        <v>0</v>
      </c>
      <c r="T462">
        <v>0</v>
      </c>
      <c r="U462">
        <v>73.78</v>
      </c>
      <c r="V462" t="b">
        <v>1</v>
      </c>
      <c r="W462" t="s">
        <v>31</v>
      </c>
    </row>
    <row r="463" spans="1:23" x14ac:dyDescent="0.25">
      <c r="A463" t="s">
        <v>23</v>
      </c>
      <c r="B463" t="s">
        <v>33</v>
      </c>
      <c r="C463">
        <v>80.599999999999994</v>
      </c>
      <c r="D463">
        <v>291</v>
      </c>
      <c r="E463" t="b">
        <v>0</v>
      </c>
      <c r="F463" t="b">
        <v>1</v>
      </c>
      <c r="G463" t="b">
        <v>0</v>
      </c>
      <c r="H463" t="s">
        <v>25</v>
      </c>
      <c r="I463" t="s">
        <v>57</v>
      </c>
      <c r="J463" t="s">
        <v>54</v>
      </c>
      <c r="K463" t="s">
        <v>28</v>
      </c>
      <c r="L463" t="s">
        <v>37</v>
      </c>
      <c r="M463" t="s">
        <v>39</v>
      </c>
      <c r="N463" t="s">
        <v>28</v>
      </c>
      <c r="O463" t="b">
        <v>1</v>
      </c>
      <c r="P463" t="b">
        <v>1</v>
      </c>
      <c r="Q463">
        <v>9.5</v>
      </c>
      <c r="R463" t="b">
        <v>0</v>
      </c>
      <c r="T463">
        <v>0</v>
      </c>
      <c r="U463">
        <v>93.68</v>
      </c>
      <c r="V463" t="b">
        <v>1</v>
      </c>
      <c r="W463" t="s">
        <v>58</v>
      </c>
    </row>
    <row r="464" spans="1:23" x14ac:dyDescent="0.25">
      <c r="A464" t="s">
        <v>56</v>
      </c>
      <c r="B464" t="s">
        <v>59</v>
      </c>
      <c r="C464">
        <v>94.17</v>
      </c>
      <c r="D464">
        <v>637</v>
      </c>
      <c r="E464" t="b">
        <v>1</v>
      </c>
      <c r="F464" t="b">
        <v>1</v>
      </c>
      <c r="G464" t="b">
        <v>1</v>
      </c>
      <c r="H464" t="s">
        <v>43</v>
      </c>
      <c r="I464" t="s">
        <v>35</v>
      </c>
      <c r="J464" t="s">
        <v>50</v>
      </c>
      <c r="K464" t="s">
        <v>28</v>
      </c>
      <c r="L464" t="s">
        <v>38</v>
      </c>
      <c r="M464" t="s">
        <v>28</v>
      </c>
      <c r="N464" t="s">
        <v>46</v>
      </c>
      <c r="O464" t="b">
        <v>1</v>
      </c>
      <c r="P464" t="b">
        <v>1</v>
      </c>
      <c r="Q464">
        <v>10</v>
      </c>
      <c r="R464" t="b">
        <v>1</v>
      </c>
      <c r="S464" t="s">
        <v>64</v>
      </c>
      <c r="T464">
        <v>34.799999999999997</v>
      </c>
      <c r="U464">
        <v>96.63</v>
      </c>
      <c r="V464" t="b">
        <v>1</v>
      </c>
      <c r="W464" t="s">
        <v>31</v>
      </c>
    </row>
    <row r="465" spans="1:23" x14ac:dyDescent="0.25">
      <c r="A465" t="s">
        <v>32</v>
      </c>
      <c r="B465" t="s">
        <v>24</v>
      </c>
      <c r="C465">
        <v>94.45</v>
      </c>
      <c r="D465">
        <v>519</v>
      </c>
      <c r="E465" t="b">
        <v>1</v>
      </c>
      <c r="F465" t="b">
        <v>0</v>
      </c>
      <c r="G465" t="b">
        <v>1</v>
      </c>
      <c r="H465" t="s">
        <v>34</v>
      </c>
      <c r="I465" t="s">
        <v>57</v>
      </c>
      <c r="J465" t="s">
        <v>36</v>
      </c>
      <c r="K465" t="s">
        <v>46</v>
      </c>
      <c r="L465" t="s">
        <v>29</v>
      </c>
      <c r="M465" t="s">
        <v>28</v>
      </c>
      <c r="N465" t="s">
        <v>46</v>
      </c>
      <c r="P465" t="b">
        <v>0</v>
      </c>
      <c r="Q465">
        <v>10</v>
      </c>
      <c r="R465" t="b">
        <v>0</v>
      </c>
      <c r="T465">
        <v>0</v>
      </c>
      <c r="U465">
        <v>100</v>
      </c>
      <c r="V465" t="b">
        <v>1</v>
      </c>
      <c r="W465" t="s">
        <v>58</v>
      </c>
    </row>
    <row r="466" spans="1:23" x14ac:dyDescent="0.25">
      <c r="A466" t="s">
        <v>61</v>
      </c>
      <c r="B466" t="s">
        <v>62</v>
      </c>
      <c r="C466">
        <v>67.56</v>
      </c>
      <c r="D466">
        <v>424</v>
      </c>
      <c r="E466" t="b">
        <v>0</v>
      </c>
      <c r="F466" t="b">
        <v>0</v>
      </c>
      <c r="G466" t="b">
        <v>0</v>
      </c>
      <c r="H466" t="s">
        <v>53</v>
      </c>
      <c r="I466" t="s">
        <v>35</v>
      </c>
      <c r="J466" t="s">
        <v>27</v>
      </c>
      <c r="K466" t="s">
        <v>39</v>
      </c>
      <c r="L466" t="s">
        <v>29</v>
      </c>
      <c r="M466" t="s">
        <v>28</v>
      </c>
      <c r="N466" t="s">
        <v>46</v>
      </c>
      <c r="O466" t="b">
        <v>0</v>
      </c>
      <c r="P466" t="b">
        <v>0</v>
      </c>
      <c r="Q466">
        <v>6.3</v>
      </c>
      <c r="R466" t="b">
        <v>0</v>
      </c>
      <c r="T466">
        <v>0</v>
      </c>
      <c r="U466">
        <v>81.41</v>
      </c>
      <c r="V466" t="b">
        <v>1</v>
      </c>
      <c r="W466" t="s">
        <v>31</v>
      </c>
    </row>
    <row r="467" spans="1:23" x14ac:dyDescent="0.25">
      <c r="A467" t="s">
        <v>32</v>
      </c>
      <c r="B467" t="s">
        <v>42</v>
      </c>
      <c r="C467">
        <v>75.72</v>
      </c>
      <c r="D467">
        <v>465</v>
      </c>
      <c r="E467" t="b">
        <v>1</v>
      </c>
      <c r="F467" t="b">
        <v>0</v>
      </c>
      <c r="G467" t="b">
        <v>0</v>
      </c>
      <c r="H467" t="s">
        <v>25</v>
      </c>
      <c r="I467" t="s">
        <v>44</v>
      </c>
      <c r="J467" t="s">
        <v>50</v>
      </c>
      <c r="K467" t="s">
        <v>28</v>
      </c>
      <c r="L467" t="s">
        <v>51</v>
      </c>
      <c r="M467" t="s">
        <v>47</v>
      </c>
      <c r="N467" t="s">
        <v>28</v>
      </c>
      <c r="O467" t="b">
        <v>0</v>
      </c>
      <c r="P467" t="b">
        <v>1</v>
      </c>
      <c r="Q467">
        <v>7</v>
      </c>
      <c r="R467" t="b">
        <v>1</v>
      </c>
      <c r="S467" t="s">
        <v>40</v>
      </c>
      <c r="T467">
        <v>29.5</v>
      </c>
      <c r="U467">
        <v>73.180000000000007</v>
      </c>
      <c r="V467" t="b">
        <v>1</v>
      </c>
      <c r="W467" t="s">
        <v>41</v>
      </c>
    </row>
    <row r="468" spans="1:23" x14ac:dyDescent="0.25">
      <c r="A468" t="s">
        <v>61</v>
      </c>
      <c r="B468" t="s">
        <v>60</v>
      </c>
      <c r="C468">
        <v>43.33</v>
      </c>
      <c r="D468">
        <v>538</v>
      </c>
      <c r="E468" t="b">
        <v>1</v>
      </c>
      <c r="F468" t="b">
        <v>0</v>
      </c>
      <c r="G468" t="b">
        <v>0</v>
      </c>
      <c r="H468" t="s">
        <v>53</v>
      </c>
      <c r="I468" t="s">
        <v>63</v>
      </c>
      <c r="J468" t="s">
        <v>36</v>
      </c>
      <c r="K468" t="s">
        <v>37</v>
      </c>
      <c r="L468" t="s">
        <v>51</v>
      </c>
      <c r="M468" t="s">
        <v>39</v>
      </c>
      <c r="N468" t="s">
        <v>28</v>
      </c>
      <c r="P468" t="b">
        <v>0</v>
      </c>
      <c r="Q468">
        <v>5.0999999999999996</v>
      </c>
      <c r="R468" t="b">
        <v>1</v>
      </c>
      <c r="S468" t="s">
        <v>55</v>
      </c>
      <c r="T468">
        <v>36.9</v>
      </c>
      <c r="U468">
        <v>30.33</v>
      </c>
      <c r="V468" t="b">
        <v>0</v>
      </c>
      <c r="W468" t="s">
        <v>41</v>
      </c>
    </row>
    <row r="469" spans="1:23" x14ac:dyDescent="0.25">
      <c r="A469" t="s">
        <v>61</v>
      </c>
      <c r="B469" t="s">
        <v>33</v>
      </c>
      <c r="C469">
        <v>78.13</v>
      </c>
      <c r="D469">
        <v>700</v>
      </c>
      <c r="E469" t="b">
        <v>0</v>
      </c>
      <c r="F469" t="b">
        <v>0</v>
      </c>
      <c r="G469" t="b">
        <v>0</v>
      </c>
      <c r="H469" t="s">
        <v>53</v>
      </c>
      <c r="I469" t="s">
        <v>44</v>
      </c>
      <c r="J469" t="s">
        <v>50</v>
      </c>
      <c r="K469" t="s">
        <v>39</v>
      </c>
      <c r="L469" t="s">
        <v>69</v>
      </c>
      <c r="M469" t="s">
        <v>47</v>
      </c>
      <c r="O469" t="b">
        <v>1</v>
      </c>
      <c r="P469" t="b">
        <v>0</v>
      </c>
      <c r="Q469">
        <v>9.5</v>
      </c>
      <c r="R469" t="b">
        <v>1</v>
      </c>
      <c r="S469" t="s">
        <v>75</v>
      </c>
      <c r="T469">
        <v>4.2</v>
      </c>
      <c r="U469">
        <v>68.69</v>
      </c>
      <c r="V469" t="b">
        <v>0</v>
      </c>
      <c r="W469" t="s">
        <v>31</v>
      </c>
    </row>
    <row r="470" spans="1:23" x14ac:dyDescent="0.25">
      <c r="A470" t="s">
        <v>32</v>
      </c>
      <c r="B470" t="s">
        <v>76</v>
      </c>
      <c r="C470">
        <v>88.26</v>
      </c>
      <c r="D470">
        <v>324</v>
      </c>
      <c r="E470" t="b">
        <v>0</v>
      </c>
      <c r="F470" t="b">
        <v>1</v>
      </c>
      <c r="G470" t="b">
        <v>1</v>
      </c>
      <c r="H470" t="s">
        <v>34</v>
      </c>
      <c r="I470" t="s">
        <v>44</v>
      </c>
      <c r="J470" t="s">
        <v>27</v>
      </c>
      <c r="K470" t="s">
        <v>37</v>
      </c>
      <c r="L470" t="s">
        <v>29</v>
      </c>
      <c r="M470" t="s">
        <v>39</v>
      </c>
      <c r="N470" t="s">
        <v>39</v>
      </c>
      <c r="P470" t="b">
        <v>0</v>
      </c>
      <c r="Q470">
        <v>7.9</v>
      </c>
      <c r="R470" t="b">
        <v>0</v>
      </c>
      <c r="T470">
        <v>0</v>
      </c>
      <c r="U470">
        <v>82.94</v>
      </c>
      <c r="V470" t="b">
        <v>1</v>
      </c>
      <c r="W470" t="s">
        <v>31</v>
      </c>
    </row>
    <row r="471" spans="1:23" x14ac:dyDescent="0.25">
      <c r="A471" t="s">
        <v>68</v>
      </c>
      <c r="B471" t="s">
        <v>59</v>
      </c>
      <c r="C471">
        <v>90.06</v>
      </c>
      <c r="D471">
        <v>478</v>
      </c>
      <c r="E471" t="b">
        <v>0</v>
      </c>
      <c r="F471" t="b">
        <v>1</v>
      </c>
      <c r="G471" t="b">
        <v>1</v>
      </c>
      <c r="H471" t="s">
        <v>53</v>
      </c>
      <c r="I471" t="s">
        <v>26</v>
      </c>
      <c r="J471" t="s">
        <v>54</v>
      </c>
      <c r="K471" t="s">
        <v>37</v>
      </c>
      <c r="L471" t="s">
        <v>38</v>
      </c>
      <c r="M471" t="s">
        <v>28</v>
      </c>
      <c r="N471" t="s">
        <v>28</v>
      </c>
      <c r="O471" t="b">
        <v>1</v>
      </c>
      <c r="P471" t="b">
        <v>1</v>
      </c>
      <c r="Q471">
        <v>10</v>
      </c>
      <c r="R471" t="b">
        <v>1</v>
      </c>
      <c r="S471" t="s">
        <v>64</v>
      </c>
      <c r="T471">
        <v>41.3</v>
      </c>
      <c r="U471">
        <v>92.8</v>
      </c>
      <c r="V471" t="b">
        <v>1</v>
      </c>
      <c r="W471" t="s">
        <v>31</v>
      </c>
    </row>
    <row r="472" spans="1:23" x14ac:dyDescent="0.25">
      <c r="A472" t="s">
        <v>61</v>
      </c>
      <c r="B472" t="s">
        <v>62</v>
      </c>
      <c r="C472">
        <v>50.1</v>
      </c>
      <c r="D472">
        <v>427</v>
      </c>
      <c r="E472" t="b">
        <v>1</v>
      </c>
      <c r="F472" t="b">
        <v>0</v>
      </c>
      <c r="G472" t="b">
        <v>0</v>
      </c>
      <c r="H472" t="s">
        <v>43</v>
      </c>
      <c r="I472" t="s">
        <v>67</v>
      </c>
      <c r="J472" t="s">
        <v>45</v>
      </c>
      <c r="K472" t="s">
        <v>28</v>
      </c>
      <c r="L472" t="s">
        <v>69</v>
      </c>
      <c r="M472" t="s">
        <v>47</v>
      </c>
      <c r="O472" t="b">
        <v>0</v>
      </c>
      <c r="P472" t="b">
        <v>1</v>
      </c>
      <c r="Q472">
        <v>5.4</v>
      </c>
      <c r="R472" t="b">
        <v>1</v>
      </c>
      <c r="S472" t="s">
        <v>30</v>
      </c>
      <c r="T472">
        <v>24.9</v>
      </c>
      <c r="U472">
        <v>57.02</v>
      </c>
      <c r="V472" t="b">
        <v>1</v>
      </c>
      <c r="W472" t="s">
        <v>41</v>
      </c>
    </row>
    <row r="473" spans="1:23" x14ac:dyDescent="0.25">
      <c r="A473" t="s">
        <v>23</v>
      </c>
      <c r="B473" t="s">
        <v>42</v>
      </c>
      <c r="C473">
        <v>65.78</v>
      </c>
      <c r="D473">
        <v>405</v>
      </c>
      <c r="E473" t="b">
        <v>0</v>
      </c>
      <c r="F473" t="b">
        <v>0</v>
      </c>
      <c r="G473" t="b">
        <v>1</v>
      </c>
      <c r="H473" t="s">
        <v>25</v>
      </c>
      <c r="I473" t="s">
        <v>26</v>
      </c>
      <c r="J473" t="s">
        <v>45</v>
      </c>
      <c r="K473" t="s">
        <v>28</v>
      </c>
      <c r="L473" t="s">
        <v>29</v>
      </c>
      <c r="M473" t="s">
        <v>46</v>
      </c>
      <c r="N473" t="s">
        <v>46</v>
      </c>
      <c r="P473" t="b">
        <v>1</v>
      </c>
      <c r="Q473">
        <v>7.2</v>
      </c>
      <c r="R473" t="b">
        <v>0</v>
      </c>
      <c r="T473">
        <v>0</v>
      </c>
      <c r="U473">
        <v>70.7</v>
      </c>
      <c r="V473" t="b">
        <v>1</v>
      </c>
      <c r="W473" t="s">
        <v>31</v>
      </c>
    </row>
    <row r="474" spans="1:23" x14ac:dyDescent="0.25">
      <c r="A474" t="s">
        <v>56</v>
      </c>
      <c r="B474" t="s">
        <v>42</v>
      </c>
      <c r="C474">
        <v>73.709999999999994</v>
      </c>
      <c r="D474">
        <v>172</v>
      </c>
      <c r="E474" t="b">
        <v>0</v>
      </c>
      <c r="F474" t="b">
        <v>0</v>
      </c>
      <c r="G474" t="b">
        <v>0</v>
      </c>
      <c r="H474" t="s">
        <v>34</v>
      </c>
      <c r="I474" t="s">
        <v>63</v>
      </c>
      <c r="J474" t="s">
        <v>50</v>
      </c>
      <c r="K474" t="s">
        <v>28</v>
      </c>
      <c r="L474" t="s">
        <v>69</v>
      </c>
      <c r="M474" t="s">
        <v>47</v>
      </c>
      <c r="N474" t="s">
        <v>46</v>
      </c>
      <c r="P474" t="b">
        <v>1</v>
      </c>
      <c r="Q474">
        <v>8.3000000000000007</v>
      </c>
      <c r="R474" t="b">
        <v>1</v>
      </c>
      <c r="S474" t="s">
        <v>65</v>
      </c>
      <c r="T474">
        <v>13.9</v>
      </c>
      <c r="U474">
        <v>64.86</v>
      </c>
      <c r="V474" t="b">
        <v>1</v>
      </c>
      <c r="W474" t="s">
        <v>31</v>
      </c>
    </row>
    <row r="475" spans="1:23" x14ac:dyDescent="0.25">
      <c r="A475" t="s">
        <v>68</v>
      </c>
      <c r="B475" t="s">
        <v>73</v>
      </c>
      <c r="C475">
        <v>52.26</v>
      </c>
      <c r="D475">
        <v>107</v>
      </c>
      <c r="E475" t="b">
        <v>1</v>
      </c>
      <c r="F475" t="b">
        <v>1</v>
      </c>
      <c r="G475" t="b">
        <v>0</v>
      </c>
      <c r="H475" t="s">
        <v>25</v>
      </c>
      <c r="I475" t="s">
        <v>35</v>
      </c>
      <c r="J475" t="s">
        <v>45</v>
      </c>
      <c r="K475" t="s">
        <v>37</v>
      </c>
      <c r="L475" t="s">
        <v>38</v>
      </c>
      <c r="M475" t="s">
        <v>28</v>
      </c>
      <c r="N475" t="s">
        <v>46</v>
      </c>
      <c r="O475" t="b">
        <v>1</v>
      </c>
      <c r="P475" t="b">
        <v>1</v>
      </c>
      <c r="Q475">
        <v>8.3000000000000007</v>
      </c>
      <c r="R475" t="b">
        <v>0</v>
      </c>
      <c r="T475">
        <v>0</v>
      </c>
      <c r="U475">
        <v>41.46</v>
      </c>
      <c r="V475" t="b">
        <v>0</v>
      </c>
      <c r="W475" t="s">
        <v>58</v>
      </c>
    </row>
    <row r="476" spans="1:23" x14ac:dyDescent="0.25">
      <c r="A476" t="s">
        <v>32</v>
      </c>
      <c r="B476" t="s">
        <v>70</v>
      </c>
      <c r="C476">
        <v>74</v>
      </c>
      <c r="D476">
        <v>425</v>
      </c>
      <c r="E476" t="b">
        <v>0</v>
      </c>
      <c r="F476" t="b">
        <v>0</v>
      </c>
      <c r="G476" t="b">
        <v>0</v>
      </c>
      <c r="H476" t="s">
        <v>25</v>
      </c>
      <c r="I476" t="s">
        <v>26</v>
      </c>
      <c r="J476" t="s">
        <v>27</v>
      </c>
      <c r="K476" t="s">
        <v>37</v>
      </c>
      <c r="L476" t="s">
        <v>51</v>
      </c>
      <c r="M476" t="s">
        <v>39</v>
      </c>
      <c r="N476" t="s">
        <v>39</v>
      </c>
      <c r="P476" t="b">
        <v>1</v>
      </c>
      <c r="Q476">
        <v>6.9</v>
      </c>
      <c r="R476" t="b">
        <v>0</v>
      </c>
      <c r="T476">
        <v>0</v>
      </c>
      <c r="U476">
        <v>66.709999999999994</v>
      </c>
      <c r="V476" t="b">
        <v>1</v>
      </c>
      <c r="W476" t="s">
        <v>31</v>
      </c>
    </row>
    <row r="477" spans="1:23" x14ac:dyDescent="0.25">
      <c r="A477" t="s">
        <v>68</v>
      </c>
      <c r="B477" t="s">
        <v>33</v>
      </c>
      <c r="C477">
        <v>89.47</v>
      </c>
      <c r="D477">
        <v>102</v>
      </c>
      <c r="E477" t="b">
        <v>1</v>
      </c>
      <c r="F477" t="b">
        <v>0</v>
      </c>
      <c r="G477" t="b">
        <v>1</v>
      </c>
      <c r="H477" t="s">
        <v>25</v>
      </c>
      <c r="I477" t="s">
        <v>63</v>
      </c>
      <c r="J477" t="s">
        <v>54</v>
      </c>
      <c r="K477" t="s">
        <v>28</v>
      </c>
      <c r="L477" t="s">
        <v>29</v>
      </c>
      <c r="M477" t="s">
        <v>28</v>
      </c>
      <c r="N477" t="s">
        <v>39</v>
      </c>
      <c r="P477" t="b">
        <v>1</v>
      </c>
      <c r="Q477">
        <v>10</v>
      </c>
      <c r="R477" t="b">
        <v>0</v>
      </c>
      <c r="T477">
        <v>0</v>
      </c>
      <c r="U477">
        <v>74.94</v>
      </c>
      <c r="V477" t="b">
        <v>0</v>
      </c>
      <c r="W477" t="s">
        <v>58</v>
      </c>
    </row>
    <row r="478" spans="1:23" x14ac:dyDescent="0.25">
      <c r="A478" t="s">
        <v>32</v>
      </c>
      <c r="B478" t="s">
        <v>49</v>
      </c>
      <c r="C478">
        <v>66.53</v>
      </c>
      <c r="D478">
        <v>76</v>
      </c>
      <c r="E478" t="b">
        <v>0</v>
      </c>
      <c r="F478" t="b">
        <v>1</v>
      </c>
      <c r="G478" t="b">
        <v>0</v>
      </c>
      <c r="H478" t="s">
        <v>25</v>
      </c>
      <c r="I478" t="s">
        <v>67</v>
      </c>
      <c r="J478" t="s">
        <v>27</v>
      </c>
      <c r="K478" t="s">
        <v>39</v>
      </c>
      <c r="L478" t="s">
        <v>51</v>
      </c>
      <c r="M478" t="s">
        <v>39</v>
      </c>
      <c r="N478" t="s">
        <v>46</v>
      </c>
      <c r="P478" t="b">
        <v>1</v>
      </c>
      <c r="Q478">
        <v>5.9</v>
      </c>
      <c r="R478" t="b">
        <v>0</v>
      </c>
      <c r="T478">
        <v>0</v>
      </c>
      <c r="U478">
        <v>60.82</v>
      </c>
      <c r="V478" t="b">
        <v>1</v>
      </c>
      <c r="W478" t="s">
        <v>41</v>
      </c>
    </row>
    <row r="479" spans="1:23" x14ac:dyDescent="0.25">
      <c r="A479" t="s">
        <v>68</v>
      </c>
      <c r="B479" t="s">
        <v>76</v>
      </c>
      <c r="C479">
        <v>80.72</v>
      </c>
      <c r="D479">
        <v>550</v>
      </c>
      <c r="E479" t="b">
        <v>1</v>
      </c>
      <c r="F479" t="b">
        <v>0</v>
      </c>
      <c r="G479" t="b">
        <v>0</v>
      </c>
      <c r="H479" t="s">
        <v>25</v>
      </c>
      <c r="I479" t="s">
        <v>57</v>
      </c>
      <c r="J479" t="s">
        <v>36</v>
      </c>
      <c r="K479" t="s">
        <v>28</v>
      </c>
      <c r="L479" t="s">
        <v>69</v>
      </c>
      <c r="M479" t="s">
        <v>46</v>
      </c>
      <c r="N479" t="s">
        <v>28</v>
      </c>
      <c r="O479" t="b">
        <v>1</v>
      </c>
      <c r="P479" t="b">
        <v>0</v>
      </c>
      <c r="Q479">
        <v>10</v>
      </c>
      <c r="R479" t="b">
        <v>1</v>
      </c>
      <c r="S479" t="s">
        <v>52</v>
      </c>
      <c r="T479">
        <v>20</v>
      </c>
      <c r="U479">
        <v>88.02</v>
      </c>
      <c r="V479" t="b">
        <v>1</v>
      </c>
      <c r="W479" t="s">
        <v>31</v>
      </c>
    </row>
    <row r="480" spans="1:23" x14ac:dyDescent="0.25">
      <c r="A480" t="s">
        <v>56</v>
      </c>
      <c r="B480" t="s">
        <v>33</v>
      </c>
      <c r="C480">
        <v>89.5</v>
      </c>
      <c r="D480">
        <v>100</v>
      </c>
      <c r="E480" t="b">
        <v>1</v>
      </c>
      <c r="F480" t="b">
        <v>0</v>
      </c>
      <c r="G480" t="b">
        <v>1</v>
      </c>
      <c r="H480" t="s">
        <v>53</v>
      </c>
      <c r="I480" t="s">
        <v>63</v>
      </c>
      <c r="J480" t="s">
        <v>27</v>
      </c>
      <c r="K480" t="s">
        <v>39</v>
      </c>
      <c r="L480" t="s">
        <v>37</v>
      </c>
      <c r="M480" t="s">
        <v>47</v>
      </c>
      <c r="P480" t="b">
        <v>1</v>
      </c>
      <c r="Q480">
        <v>8.9</v>
      </c>
      <c r="R480" t="b">
        <v>0</v>
      </c>
      <c r="T480">
        <v>0</v>
      </c>
      <c r="U480">
        <v>94.86</v>
      </c>
      <c r="V480" t="b">
        <v>1</v>
      </c>
      <c r="W480" t="s">
        <v>58</v>
      </c>
    </row>
    <row r="481" spans="1:23" x14ac:dyDescent="0.25">
      <c r="A481" t="s">
        <v>56</v>
      </c>
      <c r="B481" t="s">
        <v>60</v>
      </c>
      <c r="C481">
        <v>41.35</v>
      </c>
      <c r="D481">
        <v>247</v>
      </c>
      <c r="E481" t="b">
        <v>0</v>
      </c>
      <c r="F481" t="b">
        <v>0</v>
      </c>
      <c r="G481" t="b">
        <v>1</v>
      </c>
      <c r="H481" t="s">
        <v>25</v>
      </c>
      <c r="I481" t="s">
        <v>57</v>
      </c>
      <c r="J481" t="s">
        <v>27</v>
      </c>
      <c r="K481" t="s">
        <v>39</v>
      </c>
      <c r="L481" t="s">
        <v>69</v>
      </c>
      <c r="M481" t="s">
        <v>47</v>
      </c>
      <c r="N481" t="s">
        <v>39</v>
      </c>
      <c r="O481" t="b">
        <v>0</v>
      </c>
      <c r="P481" t="b">
        <v>0</v>
      </c>
      <c r="Q481">
        <v>2.9</v>
      </c>
      <c r="R481" t="b">
        <v>1</v>
      </c>
      <c r="S481" t="s">
        <v>30</v>
      </c>
      <c r="T481">
        <v>39.5</v>
      </c>
      <c r="U481">
        <v>31.16</v>
      </c>
      <c r="V481" t="b">
        <v>1</v>
      </c>
      <c r="W481" t="s">
        <v>72</v>
      </c>
    </row>
    <row r="482" spans="1:23" x14ac:dyDescent="0.25">
      <c r="A482" t="s">
        <v>23</v>
      </c>
      <c r="B482" t="s">
        <v>49</v>
      </c>
      <c r="C482">
        <v>71.599999999999994</v>
      </c>
      <c r="D482">
        <v>748</v>
      </c>
      <c r="E482" t="b">
        <v>0</v>
      </c>
      <c r="F482" t="b">
        <v>1</v>
      </c>
      <c r="G482" t="b">
        <v>0</v>
      </c>
      <c r="H482" t="s">
        <v>34</v>
      </c>
      <c r="I482" t="s">
        <v>35</v>
      </c>
      <c r="J482" t="s">
        <v>45</v>
      </c>
      <c r="K482" t="s">
        <v>37</v>
      </c>
      <c r="L482" t="s">
        <v>29</v>
      </c>
      <c r="M482" t="s">
        <v>39</v>
      </c>
      <c r="O482" t="b">
        <v>1</v>
      </c>
      <c r="P482" t="b">
        <v>0</v>
      </c>
      <c r="Q482">
        <v>7.6</v>
      </c>
      <c r="R482" t="b">
        <v>1</v>
      </c>
      <c r="S482" t="s">
        <v>64</v>
      </c>
      <c r="T482">
        <v>42.4</v>
      </c>
      <c r="U482">
        <v>77.819999999999993</v>
      </c>
      <c r="V482" t="b">
        <v>1</v>
      </c>
      <c r="W482" t="s">
        <v>41</v>
      </c>
    </row>
    <row r="483" spans="1:23" x14ac:dyDescent="0.25">
      <c r="A483" t="s">
        <v>23</v>
      </c>
      <c r="B483" t="s">
        <v>24</v>
      </c>
      <c r="C483">
        <v>88.21</v>
      </c>
      <c r="D483">
        <v>661</v>
      </c>
      <c r="E483" t="b">
        <v>0</v>
      </c>
      <c r="F483" t="b">
        <v>1</v>
      </c>
      <c r="G483" t="b">
        <v>1</v>
      </c>
      <c r="H483" t="s">
        <v>53</v>
      </c>
      <c r="I483" t="s">
        <v>35</v>
      </c>
      <c r="J483" t="s">
        <v>36</v>
      </c>
      <c r="K483" t="s">
        <v>37</v>
      </c>
      <c r="L483" t="s">
        <v>51</v>
      </c>
      <c r="M483" t="s">
        <v>46</v>
      </c>
      <c r="N483" t="s">
        <v>28</v>
      </c>
      <c r="O483" t="b">
        <v>0</v>
      </c>
      <c r="P483" t="b">
        <v>1</v>
      </c>
      <c r="Q483">
        <v>7</v>
      </c>
      <c r="R483" t="b">
        <v>1</v>
      </c>
      <c r="S483" t="s">
        <v>64</v>
      </c>
      <c r="T483">
        <v>14.6</v>
      </c>
      <c r="U483">
        <v>76.31</v>
      </c>
      <c r="V483" t="b">
        <v>1</v>
      </c>
      <c r="W483" t="s">
        <v>41</v>
      </c>
    </row>
    <row r="484" spans="1:23" x14ac:dyDescent="0.25">
      <c r="A484" t="s">
        <v>61</v>
      </c>
      <c r="B484" t="s">
        <v>76</v>
      </c>
      <c r="C484">
        <v>72.09</v>
      </c>
      <c r="D484">
        <v>770</v>
      </c>
      <c r="E484" t="b">
        <v>1</v>
      </c>
      <c r="F484" t="b">
        <v>1</v>
      </c>
      <c r="G484" t="b">
        <v>1</v>
      </c>
      <c r="H484" t="s">
        <v>34</v>
      </c>
      <c r="I484" t="s">
        <v>57</v>
      </c>
      <c r="J484" t="s">
        <v>45</v>
      </c>
      <c r="K484" t="s">
        <v>28</v>
      </c>
      <c r="L484" t="s">
        <v>29</v>
      </c>
      <c r="M484" t="s">
        <v>28</v>
      </c>
      <c r="N484" t="s">
        <v>39</v>
      </c>
      <c r="O484" t="b">
        <v>1</v>
      </c>
      <c r="P484" t="b">
        <v>1</v>
      </c>
      <c r="Q484">
        <v>9.9</v>
      </c>
      <c r="R484" t="b">
        <v>0</v>
      </c>
      <c r="T484">
        <v>0</v>
      </c>
      <c r="U484">
        <v>70.5</v>
      </c>
      <c r="V484" t="b">
        <v>0</v>
      </c>
      <c r="W484" t="s">
        <v>58</v>
      </c>
    </row>
    <row r="485" spans="1:23" x14ac:dyDescent="0.25">
      <c r="A485" t="s">
        <v>61</v>
      </c>
      <c r="B485" t="s">
        <v>71</v>
      </c>
      <c r="C485">
        <v>52.4</v>
      </c>
      <c r="D485">
        <v>437</v>
      </c>
      <c r="E485" t="b">
        <v>1</v>
      </c>
      <c r="F485" t="b">
        <v>0</v>
      </c>
      <c r="G485" t="b">
        <v>1</v>
      </c>
      <c r="H485" t="s">
        <v>43</v>
      </c>
      <c r="I485" t="s">
        <v>35</v>
      </c>
      <c r="J485" t="s">
        <v>50</v>
      </c>
      <c r="K485" t="s">
        <v>28</v>
      </c>
      <c r="L485" t="s">
        <v>38</v>
      </c>
      <c r="M485" t="s">
        <v>28</v>
      </c>
      <c r="N485" t="s">
        <v>39</v>
      </c>
      <c r="O485" t="b">
        <v>0</v>
      </c>
      <c r="P485" t="b">
        <v>1</v>
      </c>
      <c r="Q485">
        <v>7.4</v>
      </c>
      <c r="R485" t="b">
        <v>0</v>
      </c>
      <c r="T485">
        <v>0</v>
      </c>
      <c r="U485">
        <v>48.39</v>
      </c>
      <c r="V485" t="b">
        <v>0</v>
      </c>
      <c r="W485" t="s">
        <v>31</v>
      </c>
    </row>
    <row r="486" spans="1:23" x14ac:dyDescent="0.25">
      <c r="A486" t="s">
        <v>23</v>
      </c>
      <c r="B486" t="s">
        <v>33</v>
      </c>
      <c r="C486">
        <v>84.1</v>
      </c>
      <c r="D486">
        <v>473</v>
      </c>
      <c r="E486" t="b">
        <v>1</v>
      </c>
      <c r="F486" t="b">
        <v>0</v>
      </c>
      <c r="G486" t="b">
        <v>1</v>
      </c>
      <c r="H486" t="s">
        <v>43</v>
      </c>
      <c r="I486" t="s">
        <v>44</v>
      </c>
      <c r="J486" t="s">
        <v>27</v>
      </c>
      <c r="K486" t="s">
        <v>46</v>
      </c>
      <c r="L486" t="s">
        <v>69</v>
      </c>
      <c r="M486" t="s">
        <v>47</v>
      </c>
      <c r="N486" t="s">
        <v>46</v>
      </c>
      <c r="O486" t="b">
        <v>0</v>
      </c>
      <c r="P486" t="b">
        <v>0</v>
      </c>
      <c r="Q486">
        <v>8.9</v>
      </c>
      <c r="R486" t="b">
        <v>1</v>
      </c>
      <c r="S486" t="s">
        <v>55</v>
      </c>
      <c r="T486">
        <v>37.700000000000003</v>
      </c>
      <c r="U486">
        <v>92.89</v>
      </c>
      <c r="V486" t="b">
        <v>1</v>
      </c>
      <c r="W486" t="s">
        <v>31</v>
      </c>
    </row>
    <row r="487" spans="1:23" x14ac:dyDescent="0.25">
      <c r="A487" t="s">
        <v>68</v>
      </c>
      <c r="B487" t="s">
        <v>70</v>
      </c>
      <c r="C487">
        <v>75.209999999999994</v>
      </c>
      <c r="D487">
        <v>180</v>
      </c>
      <c r="E487" t="b">
        <v>0</v>
      </c>
      <c r="F487" t="b">
        <v>1</v>
      </c>
      <c r="G487" t="b">
        <v>0</v>
      </c>
      <c r="H487" t="s">
        <v>34</v>
      </c>
      <c r="I487" t="s">
        <v>67</v>
      </c>
      <c r="J487" t="s">
        <v>50</v>
      </c>
      <c r="K487" t="s">
        <v>46</v>
      </c>
      <c r="L487" t="s">
        <v>37</v>
      </c>
      <c r="M487" t="s">
        <v>46</v>
      </c>
      <c r="N487" t="s">
        <v>46</v>
      </c>
      <c r="P487" t="b">
        <v>0</v>
      </c>
      <c r="Q487">
        <v>7.5</v>
      </c>
      <c r="R487" t="b">
        <v>1</v>
      </c>
      <c r="S487" t="s">
        <v>64</v>
      </c>
      <c r="T487">
        <v>22</v>
      </c>
      <c r="U487">
        <v>74.069999999999993</v>
      </c>
      <c r="V487" t="b">
        <v>1</v>
      </c>
      <c r="W487" t="s">
        <v>41</v>
      </c>
    </row>
    <row r="488" spans="1:23" x14ac:dyDescent="0.25">
      <c r="A488" t="s">
        <v>74</v>
      </c>
      <c r="B488" t="s">
        <v>70</v>
      </c>
      <c r="C488">
        <v>88.69</v>
      </c>
      <c r="D488">
        <v>101</v>
      </c>
      <c r="E488" t="b">
        <v>1</v>
      </c>
      <c r="F488" t="b">
        <v>0</v>
      </c>
      <c r="G488" t="b">
        <v>1</v>
      </c>
      <c r="H488" t="s">
        <v>43</v>
      </c>
      <c r="I488" t="s">
        <v>44</v>
      </c>
      <c r="J488" t="s">
        <v>27</v>
      </c>
      <c r="K488" t="s">
        <v>28</v>
      </c>
      <c r="L488" t="s">
        <v>69</v>
      </c>
      <c r="M488" t="s">
        <v>46</v>
      </c>
      <c r="N488" t="s">
        <v>39</v>
      </c>
      <c r="O488" t="b">
        <v>0</v>
      </c>
      <c r="P488" t="b">
        <v>0</v>
      </c>
      <c r="Q488">
        <v>10</v>
      </c>
      <c r="R488" t="b">
        <v>0</v>
      </c>
      <c r="T488">
        <v>0</v>
      </c>
      <c r="U488">
        <v>88.9</v>
      </c>
      <c r="V488" t="b">
        <v>1</v>
      </c>
      <c r="W488" t="s">
        <v>58</v>
      </c>
    </row>
    <row r="489" spans="1:23" x14ac:dyDescent="0.25">
      <c r="A489" t="s">
        <v>68</v>
      </c>
      <c r="B489" t="s">
        <v>62</v>
      </c>
      <c r="C489">
        <v>72.12</v>
      </c>
      <c r="D489">
        <v>345</v>
      </c>
      <c r="E489" t="b">
        <v>1</v>
      </c>
      <c r="F489" t="b">
        <v>1</v>
      </c>
      <c r="G489" t="b">
        <v>1</v>
      </c>
      <c r="H489" t="s">
        <v>25</v>
      </c>
      <c r="I489" t="s">
        <v>67</v>
      </c>
      <c r="J489" t="s">
        <v>36</v>
      </c>
      <c r="K489" t="s">
        <v>39</v>
      </c>
      <c r="L489" t="s">
        <v>29</v>
      </c>
      <c r="M489" t="s">
        <v>47</v>
      </c>
      <c r="O489" t="b">
        <v>0</v>
      </c>
      <c r="P489" t="b">
        <v>1</v>
      </c>
      <c r="Q489">
        <v>6</v>
      </c>
      <c r="R489" t="b">
        <v>1</v>
      </c>
      <c r="S489" t="s">
        <v>30</v>
      </c>
      <c r="T489">
        <v>43.1</v>
      </c>
      <c r="U489">
        <v>77.569999999999993</v>
      </c>
      <c r="V489" t="b">
        <v>1</v>
      </c>
      <c r="W489" t="s">
        <v>41</v>
      </c>
    </row>
    <row r="490" spans="1:23" x14ac:dyDescent="0.25">
      <c r="A490" t="s">
        <v>68</v>
      </c>
      <c r="B490" t="s">
        <v>33</v>
      </c>
      <c r="C490">
        <v>85.75</v>
      </c>
      <c r="D490">
        <v>180</v>
      </c>
      <c r="E490" t="b">
        <v>1</v>
      </c>
      <c r="F490" t="b">
        <v>0</v>
      </c>
      <c r="G490" t="b">
        <v>0</v>
      </c>
      <c r="H490" t="s">
        <v>43</v>
      </c>
      <c r="I490" t="s">
        <v>57</v>
      </c>
      <c r="J490" t="s">
        <v>36</v>
      </c>
      <c r="K490" t="s">
        <v>39</v>
      </c>
      <c r="L490" t="s">
        <v>69</v>
      </c>
      <c r="M490" t="s">
        <v>39</v>
      </c>
      <c r="N490" t="s">
        <v>39</v>
      </c>
      <c r="P490" t="b">
        <v>1</v>
      </c>
      <c r="Q490">
        <v>10</v>
      </c>
      <c r="R490" t="b">
        <v>1</v>
      </c>
      <c r="S490" t="s">
        <v>75</v>
      </c>
      <c r="T490">
        <v>41.8</v>
      </c>
      <c r="U490">
        <v>94.56</v>
      </c>
      <c r="V490" t="b">
        <v>1</v>
      </c>
      <c r="W490" t="s">
        <v>31</v>
      </c>
    </row>
    <row r="491" spans="1:23" x14ac:dyDescent="0.25">
      <c r="A491" t="s">
        <v>23</v>
      </c>
      <c r="B491" t="s">
        <v>73</v>
      </c>
      <c r="C491">
        <v>62.51</v>
      </c>
      <c r="D491">
        <v>377</v>
      </c>
      <c r="E491" t="b">
        <v>0</v>
      </c>
      <c r="F491" t="b">
        <v>1</v>
      </c>
      <c r="G491" t="b">
        <v>1</v>
      </c>
      <c r="H491" t="s">
        <v>34</v>
      </c>
      <c r="I491" t="s">
        <v>35</v>
      </c>
      <c r="J491" t="s">
        <v>36</v>
      </c>
      <c r="K491" t="s">
        <v>46</v>
      </c>
      <c r="L491" t="s">
        <v>38</v>
      </c>
      <c r="M491" t="s">
        <v>28</v>
      </c>
      <c r="N491" t="s">
        <v>28</v>
      </c>
      <c r="P491" t="b">
        <v>0</v>
      </c>
      <c r="Q491">
        <v>7.6</v>
      </c>
      <c r="R491" t="b">
        <v>1</v>
      </c>
      <c r="S491" t="s">
        <v>75</v>
      </c>
      <c r="T491">
        <v>15.6</v>
      </c>
      <c r="U491">
        <v>76.48</v>
      </c>
      <c r="V491" t="b">
        <v>1</v>
      </c>
      <c r="W491" t="s">
        <v>41</v>
      </c>
    </row>
    <row r="492" spans="1:23" x14ac:dyDescent="0.25">
      <c r="A492" t="s">
        <v>74</v>
      </c>
      <c r="B492" t="s">
        <v>49</v>
      </c>
      <c r="C492">
        <v>67.11</v>
      </c>
      <c r="D492">
        <v>653</v>
      </c>
      <c r="E492" t="b">
        <v>1</v>
      </c>
      <c r="F492" t="b">
        <v>1</v>
      </c>
      <c r="G492" t="b">
        <v>0</v>
      </c>
      <c r="H492" t="s">
        <v>25</v>
      </c>
      <c r="I492" t="s">
        <v>44</v>
      </c>
      <c r="J492" t="s">
        <v>45</v>
      </c>
      <c r="K492" t="s">
        <v>28</v>
      </c>
      <c r="L492" t="s">
        <v>29</v>
      </c>
      <c r="M492" t="s">
        <v>39</v>
      </c>
      <c r="N492" t="s">
        <v>28</v>
      </c>
      <c r="O492" t="b">
        <v>1</v>
      </c>
      <c r="P492" t="b">
        <v>0</v>
      </c>
      <c r="Q492">
        <v>8.4</v>
      </c>
      <c r="R492" t="b">
        <v>0</v>
      </c>
      <c r="T492">
        <v>0</v>
      </c>
      <c r="U492">
        <v>82.11</v>
      </c>
      <c r="V492" t="b">
        <v>1</v>
      </c>
      <c r="W492" t="s">
        <v>58</v>
      </c>
    </row>
    <row r="493" spans="1:23" x14ac:dyDescent="0.25">
      <c r="A493" t="s">
        <v>32</v>
      </c>
      <c r="B493" t="s">
        <v>24</v>
      </c>
      <c r="C493">
        <v>94.14</v>
      </c>
      <c r="D493">
        <v>767</v>
      </c>
      <c r="E493" t="b">
        <v>1</v>
      </c>
      <c r="F493" t="b">
        <v>1</v>
      </c>
      <c r="G493" t="b">
        <v>1</v>
      </c>
      <c r="H493" t="s">
        <v>34</v>
      </c>
      <c r="I493" t="s">
        <v>57</v>
      </c>
      <c r="J493" t="s">
        <v>36</v>
      </c>
      <c r="K493" t="s">
        <v>39</v>
      </c>
      <c r="L493" t="s">
        <v>69</v>
      </c>
      <c r="M493" t="s">
        <v>28</v>
      </c>
      <c r="O493" t="b">
        <v>1</v>
      </c>
      <c r="P493" t="b">
        <v>0</v>
      </c>
      <c r="Q493">
        <v>10</v>
      </c>
      <c r="R493" t="b">
        <v>1</v>
      </c>
      <c r="S493" t="s">
        <v>55</v>
      </c>
      <c r="T493">
        <v>38.6</v>
      </c>
      <c r="U493">
        <v>80.930000000000007</v>
      </c>
      <c r="V493" t="b">
        <v>1</v>
      </c>
      <c r="W493" t="s">
        <v>31</v>
      </c>
    </row>
    <row r="494" spans="1:23" x14ac:dyDescent="0.25">
      <c r="A494" t="s">
        <v>74</v>
      </c>
      <c r="B494" t="s">
        <v>66</v>
      </c>
      <c r="C494">
        <v>74.849999999999994</v>
      </c>
      <c r="D494">
        <v>664</v>
      </c>
      <c r="E494" t="b">
        <v>0</v>
      </c>
      <c r="F494" t="b">
        <v>1</v>
      </c>
      <c r="G494" t="b">
        <v>1</v>
      </c>
      <c r="H494" t="s">
        <v>25</v>
      </c>
      <c r="I494" t="s">
        <v>35</v>
      </c>
      <c r="J494" t="s">
        <v>45</v>
      </c>
      <c r="K494" t="s">
        <v>28</v>
      </c>
      <c r="L494" t="s">
        <v>51</v>
      </c>
      <c r="M494" t="s">
        <v>46</v>
      </c>
      <c r="N494" t="s">
        <v>46</v>
      </c>
      <c r="O494" t="b">
        <v>1</v>
      </c>
      <c r="P494" t="b">
        <v>0</v>
      </c>
      <c r="Q494">
        <v>9.1</v>
      </c>
      <c r="R494" t="b">
        <v>0</v>
      </c>
      <c r="T494">
        <v>0</v>
      </c>
      <c r="U494">
        <v>55.61</v>
      </c>
      <c r="V494" t="b">
        <v>0</v>
      </c>
      <c r="W494" t="s">
        <v>58</v>
      </c>
    </row>
    <row r="495" spans="1:23" x14ac:dyDescent="0.25">
      <c r="A495" t="s">
        <v>61</v>
      </c>
      <c r="B495" t="s">
        <v>42</v>
      </c>
      <c r="C495">
        <v>70.92</v>
      </c>
      <c r="D495">
        <v>532</v>
      </c>
      <c r="E495" t="b">
        <v>1</v>
      </c>
      <c r="F495" t="b">
        <v>0</v>
      </c>
      <c r="G495" t="b">
        <v>0</v>
      </c>
      <c r="H495" t="s">
        <v>53</v>
      </c>
      <c r="I495" t="s">
        <v>44</v>
      </c>
      <c r="J495" t="s">
        <v>45</v>
      </c>
      <c r="K495" t="s">
        <v>37</v>
      </c>
      <c r="L495" t="s">
        <v>38</v>
      </c>
      <c r="M495" t="s">
        <v>39</v>
      </c>
      <c r="O495" t="b">
        <v>1</v>
      </c>
      <c r="P495" t="b">
        <v>1</v>
      </c>
      <c r="Q495">
        <v>9.3000000000000007</v>
      </c>
      <c r="R495" t="b">
        <v>0</v>
      </c>
      <c r="T495">
        <v>0</v>
      </c>
      <c r="U495">
        <v>84.48</v>
      </c>
      <c r="V495" t="b">
        <v>1</v>
      </c>
      <c r="W495" t="s">
        <v>58</v>
      </c>
    </row>
    <row r="496" spans="1:23" x14ac:dyDescent="0.25">
      <c r="A496" t="s">
        <v>74</v>
      </c>
      <c r="B496" t="s">
        <v>24</v>
      </c>
      <c r="C496">
        <v>95.07</v>
      </c>
      <c r="D496">
        <v>540</v>
      </c>
      <c r="E496" t="b">
        <v>1</v>
      </c>
      <c r="F496" t="b">
        <v>0</v>
      </c>
      <c r="G496" t="b">
        <v>1</v>
      </c>
      <c r="H496" t="s">
        <v>34</v>
      </c>
      <c r="I496" t="s">
        <v>63</v>
      </c>
      <c r="J496" t="s">
        <v>27</v>
      </c>
      <c r="K496" t="s">
        <v>28</v>
      </c>
      <c r="L496" t="s">
        <v>38</v>
      </c>
      <c r="M496" t="s">
        <v>28</v>
      </c>
      <c r="N496" t="s">
        <v>28</v>
      </c>
      <c r="O496" t="b">
        <v>1</v>
      </c>
      <c r="P496" t="b">
        <v>0</v>
      </c>
      <c r="Q496">
        <v>10</v>
      </c>
      <c r="R496" t="b">
        <v>0</v>
      </c>
      <c r="T496">
        <v>0</v>
      </c>
      <c r="U496">
        <v>94.86</v>
      </c>
      <c r="V496" t="b">
        <v>1</v>
      </c>
      <c r="W496" t="s">
        <v>58</v>
      </c>
    </row>
    <row r="497" spans="1:23" x14ac:dyDescent="0.25">
      <c r="A497" t="s">
        <v>68</v>
      </c>
      <c r="B497" t="s">
        <v>59</v>
      </c>
      <c r="C497">
        <v>87.83</v>
      </c>
      <c r="D497">
        <v>532</v>
      </c>
      <c r="E497" t="b">
        <v>0</v>
      </c>
      <c r="F497" t="b">
        <v>1</v>
      </c>
      <c r="G497" t="b">
        <v>1</v>
      </c>
      <c r="H497" t="s">
        <v>34</v>
      </c>
      <c r="I497" t="s">
        <v>57</v>
      </c>
      <c r="J497" t="s">
        <v>36</v>
      </c>
      <c r="K497" t="s">
        <v>39</v>
      </c>
      <c r="L497" t="s">
        <v>29</v>
      </c>
      <c r="M497" t="s">
        <v>39</v>
      </c>
      <c r="N497" t="s">
        <v>28</v>
      </c>
      <c r="O497" t="b">
        <v>1</v>
      </c>
      <c r="P497" t="b">
        <v>0</v>
      </c>
      <c r="Q497">
        <v>9.1999999999999993</v>
      </c>
      <c r="R497" t="b">
        <v>1</v>
      </c>
      <c r="S497" t="s">
        <v>75</v>
      </c>
      <c r="T497">
        <v>33.9</v>
      </c>
      <c r="U497">
        <v>98.06</v>
      </c>
      <c r="V497" t="b">
        <v>1</v>
      </c>
      <c r="W497" t="s">
        <v>31</v>
      </c>
    </row>
    <row r="498" spans="1:23" x14ac:dyDescent="0.25">
      <c r="A498" t="s">
        <v>61</v>
      </c>
      <c r="B498" t="s">
        <v>60</v>
      </c>
      <c r="C498">
        <v>40.96</v>
      </c>
      <c r="D498">
        <v>56</v>
      </c>
      <c r="E498" t="b">
        <v>1</v>
      </c>
      <c r="F498" t="b">
        <v>0</v>
      </c>
      <c r="G498" t="b">
        <v>1</v>
      </c>
      <c r="H498" t="s">
        <v>53</v>
      </c>
      <c r="I498" t="s">
        <v>57</v>
      </c>
      <c r="J498" t="s">
        <v>36</v>
      </c>
      <c r="K498" t="s">
        <v>39</v>
      </c>
      <c r="L498" t="s">
        <v>51</v>
      </c>
      <c r="M498" t="s">
        <v>39</v>
      </c>
      <c r="N498" t="s">
        <v>46</v>
      </c>
      <c r="O498" t="b">
        <v>1</v>
      </c>
      <c r="P498" t="b">
        <v>1</v>
      </c>
      <c r="Q498">
        <v>5.4</v>
      </c>
      <c r="R498" t="b">
        <v>1</v>
      </c>
      <c r="S498" t="s">
        <v>55</v>
      </c>
      <c r="T498">
        <v>30.7</v>
      </c>
      <c r="U498">
        <v>27.51</v>
      </c>
      <c r="V498" t="b">
        <v>0</v>
      </c>
      <c r="W498" t="s">
        <v>41</v>
      </c>
    </row>
    <row r="499" spans="1:23" x14ac:dyDescent="0.25">
      <c r="A499" t="s">
        <v>74</v>
      </c>
      <c r="B499" t="s">
        <v>66</v>
      </c>
      <c r="C499">
        <v>78.08</v>
      </c>
      <c r="D499">
        <v>530</v>
      </c>
      <c r="E499" t="b">
        <v>0</v>
      </c>
      <c r="F499" t="b">
        <v>0</v>
      </c>
      <c r="G499" t="b">
        <v>0</v>
      </c>
      <c r="H499" t="s">
        <v>53</v>
      </c>
      <c r="I499" t="s">
        <v>26</v>
      </c>
      <c r="J499" t="s">
        <v>27</v>
      </c>
      <c r="K499" t="s">
        <v>39</v>
      </c>
      <c r="L499" t="s">
        <v>37</v>
      </c>
      <c r="M499" t="s">
        <v>39</v>
      </c>
      <c r="N499" t="s">
        <v>46</v>
      </c>
      <c r="O499" t="b">
        <v>1</v>
      </c>
      <c r="P499" t="b">
        <v>0</v>
      </c>
      <c r="Q499">
        <v>9.1</v>
      </c>
      <c r="R499" t="b">
        <v>1</v>
      </c>
      <c r="S499" t="s">
        <v>55</v>
      </c>
      <c r="T499">
        <v>21.8</v>
      </c>
      <c r="U499">
        <v>77.349999999999994</v>
      </c>
      <c r="V499" t="b">
        <v>1</v>
      </c>
      <c r="W499" t="s">
        <v>31</v>
      </c>
    </row>
    <row r="500" spans="1:23" x14ac:dyDescent="0.25">
      <c r="A500" t="s">
        <v>61</v>
      </c>
      <c r="B500" t="s">
        <v>71</v>
      </c>
      <c r="C500">
        <v>43.74</v>
      </c>
      <c r="D500">
        <v>581</v>
      </c>
      <c r="E500" t="b">
        <v>1</v>
      </c>
      <c r="F500" t="b">
        <v>1</v>
      </c>
      <c r="G500" t="b">
        <v>1</v>
      </c>
      <c r="H500" t="s">
        <v>34</v>
      </c>
      <c r="I500" t="s">
        <v>44</v>
      </c>
      <c r="J500" t="s">
        <v>45</v>
      </c>
      <c r="K500" t="s">
        <v>28</v>
      </c>
      <c r="L500" t="s">
        <v>37</v>
      </c>
      <c r="M500" t="s">
        <v>28</v>
      </c>
      <c r="P500" t="b">
        <v>0</v>
      </c>
      <c r="Q500">
        <v>5.7</v>
      </c>
      <c r="R500" t="b">
        <v>1</v>
      </c>
      <c r="S500" t="s">
        <v>64</v>
      </c>
      <c r="T500">
        <v>20.5</v>
      </c>
      <c r="U500">
        <v>39.21</v>
      </c>
      <c r="V500" t="b">
        <v>1</v>
      </c>
      <c r="W500" t="s">
        <v>41</v>
      </c>
    </row>
    <row r="501" spans="1:23" x14ac:dyDescent="0.25">
      <c r="A501" t="s">
        <v>56</v>
      </c>
      <c r="B501" t="s">
        <v>76</v>
      </c>
      <c r="C501">
        <v>70.739999999999995</v>
      </c>
      <c r="D501">
        <v>363</v>
      </c>
      <c r="E501" t="b">
        <v>0</v>
      </c>
      <c r="F501" t="b">
        <v>0</v>
      </c>
      <c r="G501" t="b">
        <v>1</v>
      </c>
      <c r="H501" t="s">
        <v>34</v>
      </c>
      <c r="I501" t="s">
        <v>35</v>
      </c>
      <c r="J501" t="s">
        <v>50</v>
      </c>
      <c r="K501" t="s">
        <v>37</v>
      </c>
      <c r="L501" t="s">
        <v>51</v>
      </c>
      <c r="M501" t="s">
        <v>47</v>
      </c>
      <c r="N501" t="s">
        <v>46</v>
      </c>
      <c r="P501" t="b">
        <v>1</v>
      </c>
      <c r="Q501">
        <v>6.1</v>
      </c>
      <c r="R501" t="b">
        <v>1</v>
      </c>
      <c r="S501" t="s">
        <v>40</v>
      </c>
      <c r="T501">
        <v>43.9</v>
      </c>
      <c r="U501">
        <v>62.62</v>
      </c>
      <c r="V501" t="b">
        <v>1</v>
      </c>
      <c r="W501" t="s">
        <v>41</v>
      </c>
    </row>
    <row r="502" spans="1:23" x14ac:dyDescent="0.25">
      <c r="A502" t="s">
        <v>61</v>
      </c>
      <c r="B502" t="s">
        <v>62</v>
      </c>
      <c r="C502">
        <v>62.68</v>
      </c>
      <c r="D502">
        <v>407</v>
      </c>
      <c r="E502" t="b">
        <v>0</v>
      </c>
      <c r="F502" t="b">
        <v>0</v>
      </c>
      <c r="G502" t="b">
        <v>0</v>
      </c>
      <c r="H502" t="s">
        <v>53</v>
      </c>
      <c r="I502" t="s">
        <v>44</v>
      </c>
      <c r="J502" t="s">
        <v>36</v>
      </c>
      <c r="K502" t="s">
        <v>37</v>
      </c>
      <c r="L502" t="s">
        <v>37</v>
      </c>
      <c r="M502" t="s">
        <v>47</v>
      </c>
      <c r="N502" t="s">
        <v>39</v>
      </c>
      <c r="O502" t="b">
        <v>1</v>
      </c>
      <c r="P502" t="b">
        <v>1</v>
      </c>
      <c r="Q502">
        <v>6.9</v>
      </c>
      <c r="R502" t="b">
        <v>1</v>
      </c>
      <c r="S502" t="s">
        <v>75</v>
      </c>
      <c r="T502">
        <v>21.8</v>
      </c>
      <c r="U502">
        <v>59.41</v>
      </c>
      <c r="V502" t="b">
        <v>1</v>
      </c>
      <c r="W502" t="s">
        <v>41</v>
      </c>
    </row>
    <row r="503" spans="1:23" x14ac:dyDescent="0.25">
      <c r="A503" t="s">
        <v>74</v>
      </c>
      <c r="B503" t="s">
        <v>76</v>
      </c>
      <c r="C503">
        <v>89.61</v>
      </c>
      <c r="D503">
        <v>780</v>
      </c>
      <c r="E503" t="b">
        <v>1</v>
      </c>
      <c r="F503" t="b">
        <v>0</v>
      </c>
      <c r="G503" t="b">
        <v>0</v>
      </c>
      <c r="H503" t="s">
        <v>25</v>
      </c>
      <c r="I503" t="s">
        <v>35</v>
      </c>
      <c r="J503" t="s">
        <v>36</v>
      </c>
      <c r="K503" t="s">
        <v>28</v>
      </c>
      <c r="L503" t="s">
        <v>37</v>
      </c>
      <c r="M503" t="s">
        <v>46</v>
      </c>
      <c r="N503" t="s">
        <v>28</v>
      </c>
      <c r="O503" t="b">
        <v>0</v>
      </c>
      <c r="P503" t="b">
        <v>1</v>
      </c>
      <c r="Q503">
        <v>9.5</v>
      </c>
      <c r="R503" t="b">
        <v>1</v>
      </c>
      <c r="S503" t="s">
        <v>75</v>
      </c>
      <c r="T503">
        <v>29.5</v>
      </c>
      <c r="U503">
        <v>80.5</v>
      </c>
      <c r="V503" t="b">
        <v>1</v>
      </c>
      <c r="W503" t="s">
        <v>31</v>
      </c>
    </row>
    <row r="504" spans="1:23" x14ac:dyDescent="0.25">
      <c r="A504" t="s">
        <v>56</v>
      </c>
      <c r="B504" t="s">
        <v>76</v>
      </c>
      <c r="C504">
        <v>78.69</v>
      </c>
      <c r="D504">
        <v>211</v>
      </c>
      <c r="E504" t="b">
        <v>1</v>
      </c>
      <c r="F504" t="b">
        <v>0</v>
      </c>
      <c r="G504" t="b">
        <v>1</v>
      </c>
      <c r="H504" t="s">
        <v>53</v>
      </c>
      <c r="I504" t="s">
        <v>44</v>
      </c>
      <c r="J504" t="s">
        <v>45</v>
      </c>
      <c r="K504" t="s">
        <v>46</v>
      </c>
      <c r="L504" t="s">
        <v>29</v>
      </c>
      <c r="M504" t="s">
        <v>46</v>
      </c>
      <c r="N504" t="s">
        <v>39</v>
      </c>
      <c r="O504" t="b">
        <v>1</v>
      </c>
      <c r="P504" t="b">
        <v>1</v>
      </c>
      <c r="Q504">
        <v>10</v>
      </c>
      <c r="R504" t="b">
        <v>0</v>
      </c>
      <c r="T504">
        <v>0</v>
      </c>
      <c r="U504">
        <v>91.86</v>
      </c>
      <c r="V504" t="b">
        <v>1</v>
      </c>
      <c r="W504" t="s">
        <v>58</v>
      </c>
    </row>
    <row r="505" spans="1:23" x14ac:dyDescent="0.25">
      <c r="A505" t="s">
        <v>68</v>
      </c>
      <c r="B505" t="s">
        <v>73</v>
      </c>
      <c r="C505">
        <v>55.46</v>
      </c>
      <c r="D505">
        <v>249</v>
      </c>
      <c r="E505" t="b">
        <v>0</v>
      </c>
      <c r="F505" t="b">
        <v>0</v>
      </c>
      <c r="G505" t="b">
        <v>1</v>
      </c>
      <c r="H505" t="s">
        <v>53</v>
      </c>
      <c r="I505" t="s">
        <v>26</v>
      </c>
      <c r="J505" t="s">
        <v>50</v>
      </c>
      <c r="K505" t="s">
        <v>39</v>
      </c>
      <c r="L505" t="s">
        <v>38</v>
      </c>
      <c r="M505" t="s">
        <v>39</v>
      </c>
      <c r="N505" t="s">
        <v>39</v>
      </c>
      <c r="O505" t="b">
        <v>1</v>
      </c>
      <c r="P505" t="b">
        <v>0</v>
      </c>
      <c r="Q505">
        <v>7.4</v>
      </c>
      <c r="R505" t="b">
        <v>1</v>
      </c>
      <c r="S505" t="s">
        <v>52</v>
      </c>
      <c r="T505">
        <v>30.3</v>
      </c>
      <c r="U505">
        <v>56.58</v>
      </c>
      <c r="V505" t="b">
        <v>1</v>
      </c>
      <c r="W505" t="s">
        <v>41</v>
      </c>
    </row>
    <row r="506" spans="1:23" x14ac:dyDescent="0.25">
      <c r="A506" t="s">
        <v>56</v>
      </c>
      <c r="B506" t="s">
        <v>24</v>
      </c>
      <c r="C506">
        <v>87.84</v>
      </c>
      <c r="D506">
        <v>753</v>
      </c>
      <c r="E506" t="b">
        <v>1</v>
      </c>
      <c r="F506" t="b">
        <v>1</v>
      </c>
      <c r="G506" t="b">
        <v>1</v>
      </c>
      <c r="H506" t="s">
        <v>34</v>
      </c>
      <c r="I506" t="s">
        <v>57</v>
      </c>
      <c r="J506" t="s">
        <v>36</v>
      </c>
      <c r="K506" t="s">
        <v>46</v>
      </c>
      <c r="L506" t="s">
        <v>29</v>
      </c>
      <c r="M506" t="s">
        <v>28</v>
      </c>
      <c r="N506" t="s">
        <v>46</v>
      </c>
      <c r="O506" t="b">
        <v>1</v>
      </c>
      <c r="P506" t="b">
        <v>0</v>
      </c>
      <c r="Q506">
        <v>10</v>
      </c>
      <c r="R506" t="b">
        <v>0</v>
      </c>
      <c r="T506">
        <v>0</v>
      </c>
      <c r="U506">
        <v>73.02</v>
      </c>
      <c r="V506" t="b">
        <v>0</v>
      </c>
      <c r="W506" t="s">
        <v>58</v>
      </c>
    </row>
    <row r="507" spans="1:23" x14ac:dyDescent="0.25">
      <c r="A507" t="s">
        <v>23</v>
      </c>
      <c r="B507" t="s">
        <v>62</v>
      </c>
      <c r="C507">
        <v>71.73</v>
      </c>
      <c r="D507">
        <v>750</v>
      </c>
      <c r="E507" t="b">
        <v>1</v>
      </c>
      <c r="F507" t="b">
        <v>1</v>
      </c>
      <c r="G507" t="b">
        <v>1</v>
      </c>
      <c r="H507" t="s">
        <v>25</v>
      </c>
      <c r="I507" t="s">
        <v>63</v>
      </c>
      <c r="J507" t="s">
        <v>50</v>
      </c>
      <c r="K507" t="s">
        <v>46</v>
      </c>
      <c r="L507" t="s">
        <v>69</v>
      </c>
      <c r="M507" t="s">
        <v>47</v>
      </c>
      <c r="N507" t="s">
        <v>28</v>
      </c>
      <c r="O507" t="b">
        <v>1</v>
      </c>
      <c r="P507" t="b">
        <v>1</v>
      </c>
      <c r="Q507">
        <v>9.8000000000000007</v>
      </c>
      <c r="R507" t="b">
        <v>1</v>
      </c>
      <c r="S507" t="s">
        <v>30</v>
      </c>
      <c r="T507">
        <v>28.8</v>
      </c>
      <c r="U507">
        <v>59.76</v>
      </c>
      <c r="V507" t="b">
        <v>0</v>
      </c>
      <c r="W507" t="s">
        <v>31</v>
      </c>
    </row>
    <row r="508" spans="1:23" x14ac:dyDescent="0.25">
      <c r="A508" t="s">
        <v>32</v>
      </c>
      <c r="B508" t="s">
        <v>71</v>
      </c>
      <c r="C508">
        <v>49.26</v>
      </c>
      <c r="D508">
        <v>510</v>
      </c>
      <c r="E508" t="b">
        <v>1</v>
      </c>
      <c r="F508" t="b">
        <v>0</v>
      </c>
      <c r="G508" t="b">
        <v>0</v>
      </c>
      <c r="H508" t="s">
        <v>25</v>
      </c>
      <c r="I508" t="s">
        <v>44</v>
      </c>
      <c r="J508" t="s">
        <v>54</v>
      </c>
      <c r="K508" t="s">
        <v>37</v>
      </c>
      <c r="L508" t="s">
        <v>38</v>
      </c>
      <c r="M508" t="s">
        <v>47</v>
      </c>
      <c r="N508" t="s">
        <v>46</v>
      </c>
      <c r="O508" t="b">
        <v>1</v>
      </c>
      <c r="P508" t="b">
        <v>0</v>
      </c>
      <c r="Q508">
        <v>7.7</v>
      </c>
      <c r="R508" t="b">
        <v>1</v>
      </c>
      <c r="S508" t="s">
        <v>55</v>
      </c>
      <c r="T508">
        <v>18.399999999999999</v>
      </c>
      <c r="U508">
        <v>25.18</v>
      </c>
      <c r="V508" t="b">
        <v>0</v>
      </c>
      <c r="W508" t="s">
        <v>41</v>
      </c>
    </row>
    <row r="509" spans="1:23" x14ac:dyDescent="0.25">
      <c r="A509" t="s">
        <v>74</v>
      </c>
      <c r="B509" t="s">
        <v>71</v>
      </c>
      <c r="C509">
        <v>40.659999999999997</v>
      </c>
      <c r="D509">
        <v>797</v>
      </c>
      <c r="E509" t="b">
        <v>0</v>
      </c>
      <c r="F509" t="b">
        <v>1</v>
      </c>
      <c r="G509" t="b">
        <v>1</v>
      </c>
      <c r="H509" t="s">
        <v>53</v>
      </c>
      <c r="I509" t="s">
        <v>67</v>
      </c>
      <c r="J509" t="s">
        <v>54</v>
      </c>
      <c r="K509" t="s">
        <v>28</v>
      </c>
      <c r="L509" t="s">
        <v>37</v>
      </c>
      <c r="M509" t="s">
        <v>39</v>
      </c>
      <c r="N509" t="s">
        <v>28</v>
      </c>
      <c r="O509" t="b">
        <v>0</v>
      </c>
      <c r="P509" t="b">
        <v>1</v>
      </c>
      <c r="Q509">
        <v>2.7</v>
      </c>
      <c r="R509" t="b">
        <v>1</v>
      </c>
      <c r="S509" t="s">
        <v>64</v>
      </c>
      <c r="T509">
        <v>36.700000000000003</v>
      </c>
      <c r="U509">
        <v>21.7</v>
      </c>
      <c r="V509" t="b">
        <v>1</v>
      </c>
      <c r="W509" t="s">
        <v>72</v>
      </c>
    </row>
    <row r="510" spans="1:23" x14ac:dyDescent="0.25">
      <c r="A510" t="s">
        <v>23</v>
      </c>
      <c r="B510" t="s">
        <v>24</v>
      </c>
      <c r="C510">
        <v>93.72</v>
      </c>
      <c r="D510">
        <v>498</v>
      </c>
      <c r="E510" t="b">
        <v>1</v>
      </c>
      <c r="F510" t="b">
        <v>0</v>
      </c>
      <c r="G510" t="b">
        <v>1</v>
      </c>
      <c r="H510" t="s">
        <v>53</v>
      </c>
      <c r="I510" t="s">
        <v>35</v>
      </c>
      <c r="J510" t="s">
        <v>27</v>
      </c>
      <c r="K510" t="s">
        <v>46</v>
      </c>
      <c r="L510" t="s">
        <v>51</v>
      </c>
      <c r="M510" t="s">
        <v>28</v>
      </c>
      <c r="N510" t="s">
        <v>46</v>
      </c>
      <c r="O510" t="b">
        <v>0</v>
      </c>
      <c r="P510" t="b">
        <v>1</v>
      </c>
      <c r="Q510">
        <v>10</v>
      </c>
      <c r="R510" t="b">
        <v>1</v>
      </c>
      <c r="S510" t="s">
        <v>52</v>
      </c>
      <c r="T510">
        <v>14.5</v>
      </c>
      <c r="U510">
        <v>84.93</v>
      </c>
      <c r="V510" t="b">
        <v>1</v>
      </c>
      <c r="W510" t="s">
        <v>31</v>
      </c>
    </row>
    <row r="511" spans="1:23" x14ac:dyDescent="0.25">
      <c r="A511" t="s">
        <v>68</v>
      </c>
      <c r="B511" t="s">
        <v>66</v>
      </c>
      <c r="C511">
        <v>60.62</v>
      </c>
      <c r="D511">
        <v>122</v>
      </c>
      <c r="E511" t="b">
        <v>1</v>
      </c>
      <c r="F511" t="b">
        <v>0</v>
      </c>
      <c r="G511" t="b">
        <v>1</v>
      </c>
      <c r="H511" t="s">
        <v>53</v>
      </c>
      <c r="I511" t="s">
        <v>35</v>
      </c>
      <c r="J511" t="s">
        <v>27</v>
      </c>
      <c r="K511" t="s">
        <v>39</v>
      </c>
      <c r="L511" t="s">
        <v>38</v>
      </c>
      <c r="M511" t="s">
        <v>39</v>
      </c>
      <c r="N511" t="s">
        <v>28</v>
      </c>
      <c r="P511" t="b">
        <v>1</v>
      </c>
      <c r="Q511">
        <v>7.4</v>
      </c>
      <c r="R511" t="b">
        <v>0</v>
      </c>
      <c r="T511">
        <v>0</v>
      </c>
      <c r="U511">
        <v>41.7</v>
      </c>
      <c r="V511" t="b">
        <v>0</v>
      </c>
      <c r="W511" t="s">
        <v>31</v>
      </c>
    </row>
    <row r="512" spans="1:23" x14ac:dyDescent="0.25">
      <c r="A512" t="s">
        <v>56</v>
      </c>
      <c r="B512" t="s">
        <v>66</v>
      </c>
      <c r="C512">
        <v>60.03</v>
      </c>
      <c r="D512">
        <v>773</v>
      </c>
      <c r="E512" t="b">
        <v>0</v>
      </c>
      <c r="F512" t="b">
        <v>1</v>
      </c>
      <c r="G512" t="b">
        <v>0</v>
      </c>
      <c r="H512" t="s">
        <v>43</v>
      </c>
      <c r="I512" t="s">
        <v>57</v>
      </c>
      <c r="J512" t="s">
        <v>36</v>
      </c>
      <c r="K512" t="s">
        <v>39</v>
      </c>
      <c r="L512" t="s">
        <v>29</v>
      </c>
      <c r="M512" t="s">
        <v>46</v>
      </c>
      <c r="N512" t="s">
        <v>39</v>
      </c>
      <c r="P512" t="b">
        <v>1</v>
      </c>
      <c r="Q512">
        <v>5.8</v>
      </c>
      <c r="R512" t="b">
        <v>0</v>
      </c>
      <c r="T512">
        <v>0</v>
      </c>
      <c r="U512">
        <v>53.96</v>
      </c>
      <c r="V512" t="b">
        <v>1</v>
      </c>
      <c r="W512" t="s">
        <v>41</v>
      </c>
    </row>
    <row r="513" spans="1:23" x14ac:dyDescent="0.25">
      <c r="A513" t="s">
        <v>32</v>
      </c>
      <c r="B513" t="s">
        <v>33</v>
      </c>
      <c r="C513">
        <v>88.13</v>
      </c>
      <c r="D513">
        <v>371</v>
      </c>
      <c r="E513" t="b">
        <v>1</v>
      </c>
      <c r="F513" t="b">
        <v>1</v>
      </c>
      <c r="G513" t="b">
        <v>1</v>
      </c>
      <c r="H513" t="s">
        <v>34</v>
      </c>
      <c r="I513" t="s">
        <v>63</v>
      </c>
      <c r="J513" t="s">
        <v>45</v>
      </c>
      <c r="K513" t="s">
        <v>28</v>
      </c>
      <c r="L513" t="s">
        <v>38</v>
      </c>
      <c r="M513" t="s">
        <v>28</v>
      </c>
      <c r="N513" t="s">
        <v>28</v>
      </c>
      <c r="O513" t="b">
        <v>1</v>
      </c>
      <c r="P513" t="b">
        <v>1</v>
      </c>
      <c r="Q513">
        <v>10</v>
      </c>
      <c r="R513" t="b">
        <v>0</v>
      </c>
      <c r="T513">
        <v>0</v>
      </c>
      <c r="U513">
        <v>81.650000000000006</v>
      </c>
      <c r="V513" t="b">
        <v>1</v>
      </c>
      <c r="W513" t="s">
        <v>58</v>
      </c>
    </row>
    <row r="514" spans="1:23" x14ac:dyDescent="0.25">
      <c r="A514" t="s">
        <v>61</v>
      </c>
      <c r="B514" t="s">
        <v>42</v>
      </c>
      <c r="C514">
        <v>79.459999999999994</v>
      </c>
      <c r="D514">
        <v>749</v>
      </c>
      <c r="E514" t="b">
        <v>0</v>
      </c>
      <c r="F514" t="b">
        <v>0</v>
      </c>
      <c r="G514" t="b">
        <v>0</v>
      </c>
      <c r="H514" t="s">
        <v>43</v>
      </c>
      <c r="I514" t="s">
        <v>57</v>
      </c>
      <c r="J514" t="s">
        <v>27</v>
      </c>
      <c r="K514" t="s">
        <v>39</v>
      </c>
      <c r="L514" t="s">
        <v>38</v>
      </c>
      <c r="M514" t="s">
        <v>39</v>
      </c>
      <c r="O514" t="b">
        <v>0</v>
      </c>
      <c r="P514" t="b">
        <v>1</v>
      </c>
      <c r="Q514">
        <v>7.2</v>
      </c>
      <c r="R514" t="b">
        <v>1</v>
      </c>
      <c r="S514" t="s">
        <v>52</v>
      </c>
      <c r="T514">
        <v>13.5</v>
      </c>
      <c r="U514">
        <v>85.81</v>
      </c>
      <c r="V514" t="b">
        <v>1</v>
      </c>
      <c r="W514" t="s">
        <v>41</v>
      </c>
    </row>
    <row r="515" spans="1:23" x14ac:dyDescent="0.25">
      <c r="A515" t="s">
        <v>32</v>
      </c>
      <c r="B515" t="s">
        <v>66</v>
      </c>
      <c r="C515">
        <v>73.11</v>
      </c>
      <c r="D515">
        <v>261</v>
      </c>
      <c r="E515" t="b">
        <v>1</v>
      </c>
      <c r="F515" t="b">
        <v>1</v>
      </c>
      <c r="G515" t="b">
        <v>0</v>
      </c>
      <c r="H515" t="s">
        <v>53</v>
      </c>
      <c r="I515" t="s">
        <v>63</v>
      </c>
      <c r="J515" t="s">
        <v>27</v>
      </c>
      <c r="K515" t="s">
        <v>46</v>
      </c>
      <c r="L515" t="s">
        <v>69</v>
      </c>
      <c r="M515" t="s">
        <v>28</v>
      </c>
      <c r="O515" t="b">
        <v>1</v>
      </c>
      <c r="P515" t="b">
        <v>1</v>
      </c>
      <c r="Q515">
        <v>10</v>
      </c>
      <c r="R515" t="b">
        <v>0</v>
      </c>
      <c r="T515">
        <v>0</v>
      </c>
      <c r="U515">
        <v>57.98</v>
      </c>
      <c r="V515" t="b">
        <v>0</v>
      </c>
      <c r="W515" t="s">
        <v>58</v>
      </c>
    </row>
    <row r="516" spans="1:23" x14ac:dyDescent="0.25">
      <c r="A516" t="s">
        <v>74</v>
      </c>
      <c r="B516" t="s">
        <v>59</v>
      </c>
      <c r="C516">
        <v>90.86</v>
      </c>
      <c r="D516">
        <v>708</v>
      </c>
      <c r="E516" t="b">
        <v>0</v>
      </c>
      <c r="F516" t="b">
        <v>1</v>
      </c>
      <c r="G516" t="b">
        <v>0</v>
      </c>
      <c r="H516" t="s">
        <v>25</v>
      </c>
      <c r="I516" t="s">
        <v>44</v>
      </c>
      <c r="J516" t="s">
        <v>50</v>
      </c>
      <c r="K516" t="s">
        <v>39</v>
      </c>
      <c r="L516" t="s">
        <v>69</v>
      </c>
      <c r="M516" t="s">
        <v>28</v>
      </c>
      <c r="N516" t="s">
        <v>28</v>
      </c>
      <c r="O516" t="b">
        <v>0</v>
      </c>
      <c r="P516" t="b">
        <v>0</v>
      </c>
      <c r="Q516">
        <v>8.8000000000000007</v>
      </c>
      <c r="R516" t="b">
        <v>1</v>
      </c>
      <c r="S516" t="s">
        <v>64</v>
      </c>
      <c r="T516">
        <v>29.8</v>
      </c>
      <c r="U516">
        <v>90.28</v>
      </c>
      <c r="V516" t="b">
        <v>1</v>
      </c>
      <c r="W516" t="s">
        <v>31</v>
      </c>
    </row>
    <row r="517" spans="1:23" x14ac:dyDescent="0.25">
      <c r="A517" t="s">
        <v>68</v>
      </c>
      <c r="B517" t="s">
        <v>49</v>
      </c>
      <c r="C517">
        <v>72.59</v>
      </c>
      <c r="D517">
        <v>551</v>
      </c>
      <c r="E517" t="b">
        <v>1</v>
      </c>
      <c r="F517" t="b">
        <v>0</v>
      </c>
      <c r="G517" t="b">
        <v>0</v>
      </c>
      <c r="H517" t="s">
        <v>43</v>
      </c>
      <c r="I517" t="s">
        <v>67</v>
      </c>
      <c r="J517" t="s">
        <v>45</v>
      </c>
      <c r="K517" t="s">
        <v>46</v>
      </c>
      <c r="L517" t="s">
        <v>29</v>
      </c>
      <c r="M517" t="s">
        <v>46</v>
      </c>
      <c r="N517" t="s">
        <v>28</v>
      </c>
      <c r="O517" t="b">
        <v>1</v>
      </c>
      <c r="P517" t="b">
        <v>0</v>
      </c>
      <c r="Q517">
        <v>10</v>
      </c>
      <c r="R517" t="b">
        <v>0</v>
      </c>
      <c r="T517">
        <v>0</v>
      </c>
      <c r="U517">
        <v>64.400000000000006</v>
      </c>
      <c r="V517" t="b">
        <v>0</v>
      </c>
      <c r="W517" t="s">
        <v>58</v>
      </c>
    </row>
    <row r="518" spans="1:23" x14ac:dyDescent="0.25">
      <c r="A518" t="s">
        <v>23</v>
      </c>
      <c r="B518" t="s">
        <v>49</v>
      </c>
      <c r="C518">
        <v>78.98</v>
      </c>
      <c r="D518">
        <v>769</v>
      </c>
      <c r="E518" t="b">
        <v>1</v>
      </c>
      <c r="F518" t="b">
        <v>1</v>
      </c>
      <c r="G518" t="b">
        <v>1</v>
      </c>
      <c r="H518" t="s">
        <v>53</v>
      </c>
      <c r="I518" t="s">
        <v>67</v>
      </c>
      <c r="J518" t="s">
        <v>45</v>
      </c>
      <c r="K518" t="s">
        <v>46</v>
      </c>
      <c r="L518" t="s">
        <v>29</v>
      </c>
      <c r="M518" t="s">
        <v>39</v>
      </c>
      <c r="N518" t="s">
        <v>28</v>
      </c>
      <c r="O518" t="b">
        <v>0</v>
      </c>
      <c r="P518" t="b">
        <v>0</v>
      </c>
      <c r="Q518">
        <v>7.9</v>
      </c>
      <c r="R518" t="b">
        <v>1</v>
      </c>
      <c r="S518" t="s">
        <v>52</v>
      </c>
      <c r="T518">
        <v>20.100000000000001</v>
      </c>
      <c r="U518">
        <v>76.12</v>
      </c>
      <c r="V518" t="b">
        <v>1</v>
      </c>
      <c r="W518" t="s">
        <v>41</v>
      </c>
    </row>
    <row r="519" spans="1:23" x14ac:dyDescent="0.25">
      <c r="A519" t="s">
        <v>56</v>
      </c>
      <c r="B519" t="s">
        <v>59</v>
      </c>
      <c r="C519">
        <v>91.2</v>
      </c>
      <c r="D519">
        <v>209</v>
      </c>
      <c r="E519" t="b">
        <v>0</v>
      </c>
      <c r="F519" t="b">
        <v>1</v>
      </c>
      <c r="G519" t="b">
        <v>1</v>
      </c>
      <c r="H519" t="s">
        <v>43</v>
      </c>
      <c r="I519" t="s">
        <v>57</v>
      </c>
      <c r="J519" t="s">
        <v>45</v>
      </c>
      <c r="K519" t="s">
        <v>46</v>
      </c>
      <c r="L519" t="s">
        <v>29</v>
      </c>
      <c r="M519" t="s">
        <v>39</v>
      </c>
      <c r="N519" t="s">
        <v>28</v>
      </c>
      <c r="O519" t="b">
        <v>0</v>
      </c>
      <c r="P519" t="b">
        <v>0</v>
      </c>
      <c r="Q519">
        <v>8.4</v>
      </c>
      <c r="R519" t="b">
        <v>0</v>
      </c>
      <c r="T519">
        <v>0</v>
      </c>
      <c r="U519">
        <v>94.93</v>
      </c>
      <c r="V519" t="b">
        <v>1</v>
      </c>
      <c r="W519" t="s">
        <v>58</v>
      </c>
    </row>
    <row r="520" spans="1:23" x14ac:dyDescent="0.25">
      <c r="A520" t="s">
        <v>61</v>
      </c>
      <c r="B520" t="s">
        <v>24</v>
      </c>
      <c r="C520">
        <v>88.33</v>
      </c>
      <c r="D520">
        <v>66</v>
      </c>
      <c r="E520" t="b">
        <v>0</v>
      </c>
      <c r="F520" t="b">
        <v>1</v>
      </c>
      <c r="G520" t="b">
        <v>1</v>
      </c>
      <c r="H520" t="s">
        <v>25</v>
      </c>
      <c r="I520" t="s">
        <v>67</v>
      </c>
      <c r="J520" t="s">
        <v>45</v>
      </c>
      <c r="K520" t="s">
        <v>46</v>
      </c>
      <c r="L520" t="s">
        <v>51</v>
      </c>
      <c r="M520" t="s">
        <v>39</v>
      </c>
      <c r="N520" t="s">
        <v>28</v>
      </c>
      <c r="O520" t="b">
        <v>0</v>
      </c>
      <c r="P520" t="b">
        <v>1</v>
      </c>
      <c r="Q520">
        <v>7.6</v>
      </c>
      <c r="R520" t="b">
        <v>0</v>
      </c>
      <c r="T520">
        <v>0</v>
      </c>
      <c r="U520">
        <v>96.34</v>
      </c>
      <c r="V520" t="b">
        <v>0</v>
      </c>
      <c r="W520" t="s">
        <v>31</v>
      </c>
    </row>
    <row r="521" spans="1:23" x14ac:dyDescent="0.25">
      <c r="A521" t="s">
        <v>23</v>
      </c>
      <c r="B521" t="s">
        <v>49</v>
      </c>
      <c r="C521">
        <v>65.739999999999995</v>
      </c>
      <c r="D521">
        <v>84</v>
      </c>
      <c r="E521" t="b">
        <v>0</v>
      </c>
      <c r="F521" t="b">
        <v>1</v>
      </c>
      <c r="G521" t="b">
        <v>1</v>
      </c>
      <c r="H521" t="s">
        <v>43</v>
      </c>
      <c r="I521" t="s">
        <v>67</v>
      </c>
      <c r="J521" t="s">
        <v>45</v>
      </c>
      <c r="K521" t="s">
        <v>46</v>
      </c>
      <c r="L521" t="s">
        <v>37</v>
      </c>
      <c r="M521" t="s">
        <v>28</v>
      </c>
      <c r="N521" t="s">
        <v>46</v>
      </c>
      <c r="O521" t="b">
        <v>0</v>
      </c>
      <c r="P521" t="b">
        <v>0</v>
      </c>
      <c r="Q521">
        <v>5.7</v>
      </c>
      <c r="R521" t="b">
        <v>1</v>
      </c>
      <c r="S521" t="s">
        <v>55</v>
      </c>
      <c r="T521">
        <v>44.5</v>
      </c>
      <c r="U521">
        <v>73.33</v>
      </c>
      <c r="V521" t="b">
        <v>1</v>
      </c>
      <c r="W521" t="s">
        <v>41</v>
      </c>
    </row>
    <row r="522" spans="1:23" x14ac:dyDescent="0.25">
      <c r="A522" t="s">
        <v>23</v>
      </c>
      <c r="B522" t="s">
        <v>33</v>
      </c>
      <c r="C522">
        <v>77.58</v>
      </c>
      <c r="D522">
        <v>108</v>
      </c>
      <c r="E522" t="b">
        <v>1</v>
      </c>
      <c r="F522" t="b">
        <v>0</v>
      </c>
      <c r="G522" t="b">
        <v>0</v>
      </c>
      <c r="H522" t="s">
        <v>34</v>
      </c>
      <c r="I522" t="s">
        <v>44</v>
      </c>
      <c r="J522" t="s">
        <v>27</v>
      </c>
      <c r="K522" t="s">
        <v>39</v>
      </c>
      <c r="L522" t="s">
        <v>29</v>
      </c>
      <c r="M522" t="s">
        <v>39</v>
      </c>
      <c r="N522" t="s">
        <v>39</v>
      </c>
      <c r="P522" t="b">
        <v>0</v>
      </c>
      <c r="Q522">
        <v>8.1999999999999993</v>
      </c>
      <c r="R522" t="b">
        <v>1</v>
      </c>
      <c r="S522" t="s">
        <v>30</v>
      </c>
      <c r="T522">
        <v>13.1</v>
      </c>
      <c r="U522">
        <v>62.7</v>
      </c>
      <c r="V522" t="b">
        <v>1</v>
      </c>
      <c r="W522" t="s">
        <v>31</v>
      </c>
    </row>
    <row r="523" spans="1:23" x14ac:dyDescent="0.25">
      <c r="A523" t="s">
        <v>23</v>
      </c>
      <c r="B523" t="s">
        <v>70</v>
      </c>
      <c r="C523">
        <v>94.5</v>
      </c>
      <c r="D523">
        <v>549</v>
      </c>
      <c r="E523" t="b">
        <v>0</v>
      </c>
      <c r="F523" t="b">
        <v>1</v>
      </c>
      <c r="G523" t="b">
        <v>0</v>
      </c>
      <c r="H523" t="s">
        <v>34</v>
      </c>
      <c r="I523" t="s">
        <v>44</v>
      </c>
      <c r="J523" t="s">
        <v>27</v>
      </c>
      <c r="K523" t="s">
        <v>37</v>
      </c>
      <c r="L523" t="s">
        <v>69</v>
      </c>
      <c r="M523" t="s">
        <v>39</v>
      </c>
      <c r="N523" t="s">
        <v>39</v>
      </c>
      <c r="O523" t="b">
        <v>1</v>
      </c>
      <c r="P523" t="b">
        <v>1</v>
      </c>
      <c r="Q523">
        <v>10</v>
      </c>
      <c r="R523" t="b">
        <v>0</v>
      </c>
      <c r="T523">
        <v>0</v>
      </c>
      <c r="U523">
        <v>100</v>
      </c>
      <c r="V523" t="b">
        <v>1</v>
      </c>
      <c r="W523" t="s">
        <v>58</v>
      </c>
    </row>
    <row r="524" spans="1:23" x14ac:dyDescent="0.25">
      <c r="A524" t="s">
        <v>56</v>
      </c>
      <c r="B524" t="s">
        <v>60</v>
      </c>
      <c r="C524">
        <v>40.85</v>
      </c>
      <c r="D524">
        <v>735</v>
      </c>
      <c r="E524" t="b">
        <v>1</v>
      </c>
      <c r="F524" t="b">
        <v>0</v>
      </c>
      <c r="G524" t="b">
        <v>0</v>
      </c>
      <c r="H524" t="s">
        <v>25</v>
      </c>
      <c r="I524" t="s">
        <v>44</v>
      </c>
      <c r="J524" t="s">
        <v>50</v>
      </c>
      <c r="K524" t="s">
        <v>37</v>
      </c>
      <c r="L524" t="s">
        <v>38</v>
      </c>
      <c r="M524" t="s">
        <v>46</v>
      </c>
      <c r="N524" t="s">
        <v>46</v>
      </c>
      <c r="O524" t="b">
        <v>1</v>
      </c>
      <c r="P524" t="b">
        <v>0</v>
      </c>
      <c r="Q524">
        <v>8</v>
      </c>
      <c r="R524" t="b">
        <v>0</v>
      </c>
      <c r="T524">
        <v>0</v>
      </c>
      <c r="U524">
        <v>42.37</v>
      </c>
      <c r="V524" t="b">
        <v>0</v>
      </c>
      <c r="W524" t="s">
        <v>58</v>
      </c>
    </row>
    <row r="525" spans="1:23" x14ac:dyDescent="0.25">
      <c r="A525" t="s">
        <v>74</v>
      </c>
      <c r="B525" t="s">
        <v>62</v>
      </c>
      <c r="C525">
        <v>74.77</v>
      </c>
      <c r="D525">
        <v>472</v>
      </c>
      <c r="E525" t="b">
        <v>1</v>
      </c>
      <c r="F525" t="b">
        <v>1</v>
      </c>
      <c r="G525" t="b">
        <v>1</v>
      </c>
      <c r="H525" t="s">
        <v>34</v>
      </c>
      <c r="I525" t="s">
        <v>26</v>
      </c>
      <c r="J525" t="s">
        <v>54</v>
      </c>
      <c r="K525" t="s">
        <v>37</v>
      </c>
      <c r="L525" t="s">
        <v>38</v>
      </c>
      <c r="M525" t="s">
        <v>47</v>
      </c>
      <c r="N525" t="s">
        <v>39</v>
      </c>
      <c r="O525" t="b">
        <v>0</v>
      </c>
      <c r="P525" t="b">
        <v>1</v>
      </c>
      <c r="Q525">
        <v>6.3</v>
      </c>
      <c r="R525" t="b">
        <v>0</v>
      </c>
      <c r="T525">
        <v>0</v>
      </c>
      <c r="U525">
        <v>76.680000000000007</v>
      </c>
      <c r="V525" t="b">
        <v>1</v>
      </c>
      <c r="W525" t="s">
        <v>31</v>
      </c>
    </row>
    <row r="526" spans="1:23" x14ac:dyDescent="0.25">
      <c r="A526" t="s">
        <v>23</v>
      </c>
      <c r="B526" t="s">
        <v>66</v>
      </c>
      <c r="C526">
        <v>58.96</v>
      </c>
      <c r="D526">
        <v>366</v>
      </c>
      <c r="E526" t="b">
        <v>0</v>
      </c>
      <c r="F526" t="b">
        <v>1</v>
      </c>
      <c r="G526" t="b">
        <v>1</v>
      </c>
      <c r="H526" t="s">
        <v>53</v>
      </c>
      <c r="I526" t="s">
        <v>35</v>
      </c>
      <c r="J526" t="s">
        <v>36</v>
      </c>
      <c r="K526" t="s">
        <v>37</v>
      </c>
      <c r="L526" t="s">
        <v>37</v>
      </c>
      <c r="M526" t="s">
        <v>47</v>
      </c>
      <c r="N526" t="s">
        <v>28</v>
      </c>
      <c r="O526" t="b">
        <v>0</v>
      </c>
      <c r="P526" t="b">
        <v>1</v>
      </c>
      <c r="Q526">
        <v>3.4</v>
      </c>
      <c r="R526" t="b">
        <v>1</v>
      </c>
      <c r="S526" t="s">
        <v>30</v>
      </c>
      <c r="T526">
        <v>28.6</v>
      </c>
      <c r="U526">
        <v>34.86</v>
      </c>
      <c r="V526" t="b">
        <v>1</v>
      </c>
      <c r="W526" t="s">
        <v>72</v>
      </c>
    </row>
    <row r="527" spans="1:23" x14ac:dyDescent="0.25">
      <c r="A527" t="s">
        <v>68</v>
      </c>
      <c r="B527" t="s">
        <v>70</v>
      </c>
      <c r="C527">
        <v>92</v>
      </c>
      <c r="D527">
        <v>286</v>
      </c>
      <c r="E527" t="b">
        <v>0</v>
      </c>
      <c r="F527" t="b">
        <v>0</v>
      </c>
      <c r="G527" t="b">
        <v>1</v>
      </c>
      <c r="H527" t="s">
        <v>25</v>
      </c>
      <c r="I527" t="s">
        <v>67</v>
      </c>
      <c r="J527" t="s">
        <v>36</v>
      </c>
      <c r="K527" t="s">
        <v>28</v>
      </c>
      <c r="L527" t="s">
        <v>51</v>
      </c>
      <c r="M527" t="s">
        <v>46</v>
      </c>
      <c r="P527" t="b">
        <v>0</v>
      </c>
      <c r="Q527">
        <v>9.6</v>
      </c>
      <c r="R527" t="b">
        <v>1</v>
      </c>
      <c r="S527" t="s">
        <v>40</v>
      </c>
      <c r="T527">
        <v>2.1</v>
      </c>
      <c r="U527">
        <v>86.29</v>
      </c>
      <c r="V527" t="b">
        <v>1</v>
      </c>
      <c r="W527" t="s">
        <v>31</v>
      </c>
    </row>
    <row r="528" spans="1:23" x14ac:dyDescent="0.25">
      <c r="A528" t="s">
        <v>61</v>
      </c>
      <c r="B528" t="s">
        <v>49</v>
      </c>
      <c r="C528">
        <v>79.12</v>
      </c>
      <c r="D528">
        <v>306</v>
      </c>
      <c r="E528" t="b">
        <v>0</v>
      </c>
      <c r="F528" t="b">
        <v>1</v>
      </c>
      <c r="G528" t="b">
        <v>1</v>
      </c>
      <c r="H528" t="s">
        <v>43</v>
      </c>
      <c r="I528" t="s">
        <v>63</v>
      </c>
      <c r="J528" t="s">
        <v>54</v>
      </c>
      <c r="K528" t="s">
        <v>28</v>
      </c>
      <c r="L528" t="s">
        <v>37</v>
      </c>
      <c r="M528" t="s">
        <v>47</v>
      </c>
      <c r="N528" t="s">
        <v>46</v>
      </c>
      <c r="P528" t="b">
        <v>0</v>
      </c>
      <c r="Q528">
        <v>6.8</v>
      </c>
      <c r="R528" t="b">
        <v>1</v>
      </c>
      <c r="S528" t="s">
        <v>48</v>
      </c>
      <c r="T528">
        <v>32.1</v>
      </c>
      <c r="U528">
        <v>71.989999999999995</v>
      </c>
      <c r="V528" t="b">
        <v>1</v>
      </c>
      <c r="W528" t="s">
        <v>41</v>
      </c>
    </row>
    <row r="529" spans="1:23" x14ac:dyDescent="0.25">
      <c r="A529" t="s">
        <v>61</v>
      </c>
      <c r="B529" t="s">
        <v>24</v>
      </c>
      <c r="C529">
        <v>87.83</v>
      </c>
      <c r="D529">
        <v>601</v>
      </c>
      <c r="E529" t="b">
        <v>1</v>
      </c>
      <c r="F529" t="b">
        <v>1</v>
      </c>
      <c r="G529" t="b">
        <v>0</v>
      </c>
      <c r="H529" t="s">
        <v>25</v>
      </c>
      <c r="I529" t="s">
        <v>44</v>
      </c>
      <c r="J529" t="s">
        <v>45</v>
      </c>
      <c r="K529" t="s">
        <v>46</v>
      </c>
      <c r="L529" t="s">
        <v>29</v>
      </c>
      <c r="M529" t="s">
        <v>39</v>
      </c>
      <c r="N529" t="s">
        <v>39</v>
      </c>
      <c r="O529" t="b">
        <v>0</v>
      </c>
      <c r="P529" t="b">
        <v>1</v>
      </c>
      <c r="Q529">
        <v>7.3</v>
      </c>
      <c r="R529" t="b">
        <v>0</v>
      </c>
      <c r="T529">
        <v>0</v>
      </c>
      <c r="U529">
        <v>89.17</v>
      </c>
      <c r="V529" t="b">
        <v>1</v>
      </c>
      <c r="W529" t="s">
        <v>31</v>
      </c>
    </row>
    <row r="530" spans="1:23" x14ac:dyDescent="0.25">
      <c r="A530" t="s">
        <v>32</v>
      </c>
      <c r="B530" t="s">
        <v>33</v>
      </c>
      <c r="C530">
        <v>76.97</v>
      </c>
      <c r="D530">
        <v>479</v>
      </c>
      <c r="E530" t="b">
        <v>1</v>
      </c>
      <c r="F530" t="b">
        <v>1</v>
      </c>
      <c r="G530" t="b">
        <v>0</v>
      </c>
      <c r="H530" t="s">
        <v>53</v>
      </c>
      <c r="I530" t="s">
        <v>35</v>
      </c>
      <c r="J530" t="s">
        <v>27</v>
      </c>
      <c r="K530" t="s">
        <v>37</v>
      </c>
      <c r="L530" t="s">
        <v>38</v>
      </c>
      <c r="M530" t="s">
        <v>46</v>
      </c>
      <c r="N530" t="s">
        <v>46</v>
      </c>
      <c r="P530" t="b">
        <v>0</v>
      </c>
      <c r="Q530">
        <v>8.6</v>
      </c>
      <c r="R530" t="b">
        <v>0</v>
      </c>
      <c r="T530">
        <v>0</v>
      </c>
      <c r="U530">
        <v>81.5</v>
      </c>
      <c r="V530" t="b">
        <v>1</v>
      </c>
      <c r="W530" t="s">
        <v>58</v>
      </c>
    </row>
    <row r="531" spans="1:23" x14ac:dyDescent="0.25">
      <c r="A531" t="s">
        <v>61</v>
      </c>
      <c r="B531" t="s">
        <v>76</v>
      </c>
      <c r="C531">
        <v>89.02</v>
      </c>
      <c r="D531">
        <v>70</v>
      </c>
      <c r="E531" t="b">
        <v>1</v>
      </c>
      <c r="F531" t="b">
        <v>1</v>
      </c>
      <c r="G531" t="b">
        <v>1</v>
      </c>
      <c r="H531" t="s">
        <v>34</v>
      </c>
      <c r="I531" t="s">
        <v>35</v>
      </c>
      <c r="J531" t="s">
        <v>54</v>
      </c>
      <c r="K531" t="s">
        <v>39</v>
      </c>
      <c r="L531" t="s">
        <v>29</v>
      </c>
      <c r="M531" t="s">
        <v>39</v>
      </c>
      <c r="N531" t="s">
        <v>46</v>
      </c>
      <c r="O531" t="b">
        <v>1</v>
      </c>
      <c r="P531" t="b">
        <v>0</v>
      </c>
      <c r="Q531">
        <v>10</v>
      </c>
      <c r="R531" t="b">
        <v>1</v>
      </c>
      <c r="S531" t="s">
        <v>64</v>
      </c>
      <c r="T531">
        <v>14.1</v>
      </c>
      <c r="U531">
        <v>80.099999999999994</v>
      </c>
      <c r="V531" t="b">
        <v>1</v>
      </c>
      <c r="W531" t="s">
        <v>31</v>
      </c>
    </row>
    <row r="532" spans="1:23" x14ac:dyDescent="0.25">
      <c r="A532" t="s">
        <v>56</v>
      </c>
      <c r="B532" t="s">
        <v>66</v>
      </c>
      <c r="C532">
        <v>62.35</v>
      </c>
      <c r="D532">
        <v>568</v>
      </c>
      <c r="E532" t="b">
        <v>1</v>
      </c>
      <c r="F532" t="b">
        <v>1</v>
      </c>
      <c r="G532" t="b">
        <v>1</v>
      </c>
      <c r="H532" t="s">
        <v>34</v>
      </c>
      <c r="I532" t="s">
        <v>67</v>
      </c>
      <c r="J532" t="s">
        <v>36</v>
      </c>
      <c r="K532" t="s">
        <v>28</v>
      </c>
      <c r="L532" t="s">
        <v>38</v>
      </c>
      <c r="M532" t="s">
        <v>46</v>
      </c>
      <c r="O532" t="b">
        <v>1</v>
      </c>
      <c r="P532" t="b">
        <v>1</v>
      </c>
      <c r="Q532">
        <v>10</v>
      </c>
      <c r="R532" t="b">
        <v>1</v>
      </c>
      <c r="S532" t="s">
        <v>64</v>
      </c>
      <c r="T532">
        <v>44.6</v>
      </c>
      <c r="U532">
        <v>62.61</v>
      </c>
      <c r="V532" t="b">
        <v>0</v>
      </c>
      <c r="W532" t="s">
        <v>31</v>
      </c>
    </row>
    <row r="533" spans="1:23" x14ac:dyDescent="0.25">
      <c r="A533" t="s">
        <v>61</v>
      </c>
      <c r="B533" t="s">
        <v>73</v>
      </c>
      <c r="C533">
        <v>45.88</v>
      </c>
      <c r="D533">
        <v>389</v>
      </c>
      <c r="E533" t="b">
        <v>0</v>
      </c>
      <c r="F533" t="b">
        <v>0</v>
      </c>
      <c r="G533" t="b">
        <v>1</v>
      </c>
      <c r="H533" t="s">
        <v>34</v>
      </c>
      <c r="I533" t="s">
        <v>35</v>
      </c>
      <c r="J533" t="s">
        <v>45</v>
      </c>
      <c r="K533" t="s">
        <v>39</v>
      </c>
      <c r="L533" t="s">
        <v>37</v>
      </c>
      <c r="M533" t="s">
        <v>47</v>
      </c>
      <c r="N533" t="s">
        <v>28</v>
      </c>
      <c r="O533" t="b">
        <v>0</v>
      </c>
      <c r="P533" t="b">
        <v>1</v>
      </c>
      <c r="Q533">
        <v>2.7</v>
      </c>
      <c r="R533" t="b">
        <v>1</v>
      </c>
      <c r="S533" t="s">
        <v>64</v>
      </c>
      <c r="T533">
        <v>7.8</v>
      </c>
      <c r="U533">
        <v>48.15</v>
      </c>
      <c r="V533" t="b">
        <v>0</v>
      </c>
      <c r="W533" t="s">
        <v>72</v>
      </c>
    </row>
    <row r="534" spans="1:23" x14ac:dyDescent="0.25">
      <c r="A534" t="s">
        <v>56</v>
      </c>
      <c r="B534" t="s">
        <v>59</v>
      </c>
      <c r="C534">
        <v>93.94</v>
      </c>
      <c r="D534">
        <v>162</v>
      </c>
      <c r="E534" t="b">
        <v>1</v>
      </c>
      <c r="F534" t="b">
        <v>1</v>
      </c>
      <c r="G534" t="b">
        <v>1</v>
      </c>
      <c r="H534" t="s">
        <v>34</v>
      </c>
      <c r="I534" t="s">
        <v>44</v>
      </c>
      <c r="J534" t="s">
        <v>54</v>
      </c>
      <c r="K534" t="s">
        <v>39</v>
      </c>
      <c r="L534" t="s">
        <v>37</v>
      </c>
      <c r="M534" t="s">
        <v>47</v>
      </c>
      <c r="N534" t="s">
        <v>46</v>
      </c>
      <c r="P534" t="b">
        <v>0</v>
      </c>
      <c r="Q534">
        <v>9.5</v>
      </c>
      <c r="R534" t="b">
        <v>1</v>
      </c>
      <c r="S534" t="s">
        <v>75</v>
      </c>
      <c r="T534">
        <v>14.6</v>
      </c>
      <c r="U534">
        <v>100</v>
      </c>
      <c r="V534" t="b">
        <v>1</v>
      </c>
      <c r="W534" t="s">
        <v>31</v>
      </c>
    </row>
    <row r="535" spans="1:23" x14ac:dyDescent="0.25">
      <c r="A535" t="s">
        <v>32</v>
      </c>
      <c r="B535" t="s">
        <v>71</v>
      </c>
      <c r="C535">
        <v>42.39</v>
      </c>
      <c r="D535">
        <v>365</v>
      </c>
      <c r="E535" t="b">
        <v>1</v>
      </c>
      <c r="F535" t="b">
        <v>0</v>
      </c>
      <c r="G535" t="b">
        <v>1</v>
      </c>
      <c r="H535" t="s">
        <v>43</v>
      </c>
      <c r="I535" t="s">
        <v>44</v>
      </c>
      <c r="J535" t="s">
        <v>27</v>
      </c>
      <c r="K535" t="s">
        <v>46</v>
      </c>
      <c r="L535" t="s">
        <v>51</v>
      </c>
      <c r="M535" t="s">
        <v>47</v>
      </c>
      <c r="N535" t="s">
        <v>28</v>
      </c>
      <c r="P535" t="b">
        <v>1</v>
      </c>
      <c r="Q535">
        <v>5</v>
      </c>
      <c r="R535" t="b">
        <v>1</v>
      </c>
      <c r="S535" t="s">
        <v>52</v>
      </c>
      <c r="T535">
        <v>11.3</v>
      </c>
      <c r="U535">
        <v>32.159999999999997</v>
      </c>
      <c r="V535" t="b">
        <v>1</v>
      </c>
      <c r="W535" t="s">
        <v>41</v>
      </c>
    </row>
    <row r="536" spans="1:23" x14ac:dyDescent="0.25">
      <c r="A536" t="s">
        <v>74</v>
      </c>
      <c r="B536" t="s">
        <v>60</v>
      </c>
      <c r="C536">
        <v>48.21</v>
      </c>
      <c r="D536">
        <v>215</v>
      </c>
      <c r="E536" t="b">
        <v>1</v>
      </c>
      <c r="F536" t="b">
        <v>1</v>
      </c>
      <c r="G536" t="b">
        <v>0</v>
      </c>
      <c r="H536" t="s">
        <v>43</v>
      </c>
      <c r="I536" t="s">
        <v>44</v>
      </c>
      <c r="J536" t="s">
        <v>50</v>
      </c>
      <c r="K536" t="s">
        <v>37</v>
      </c>
      <c r="L536" t="s">
        <v>69</v>
      </c>
      <c r="M536" t="s">
        <v>46</v>
      </c>
      <c r="N536" t="s">
        <v>39</v>
      </c>
      <c r="O536" t="b">
        <v>1</v>
      </c>
      <c r="P536" t="b">
        <v>0</v>
      </c>
      <c r="Q536">
        <v>7.3</v>
      </c>
      <c r="R536" t="b">
        <v>0</v>
      </c>
      <c r="T536">
        <v>0</v>
      </c>
      <c r="U536">
        <v>57.08</v>
      </c>
      <c r="V536" t="b">
        <v>1</v>
      </c>
      <c r="W536" t="s">
        <v>31</v>
      </c>
    </row>
    <row r="537" spans="1:23" x14ac:dyDescent="0.25">
      <c r="A537" t="s">
        <v>32</v>
      </c>
      <c r="B537" t="s">
        <v>71</v>
      </c>
      <c r="C537">
        <v>53.59</v>
      </c>
      <c r="D537">
        <v>322</v>
      </c>
      <c r="E537" t="b">
        <v>1</v>
      </c>
      <c r="F537" t="b">
        <v>0</v>
      </c>
      <c r="G537" t="b">
        <v>1</v>
      </c>
      <c r="H537" t="s">
        <v>53</v>
      </c>
      <c r="I537" t="s">
        <v>26</v>
      </c>
      <c r="J537" t="s">
        <v>54</v>
      </c>
      <c r="K537" t="s">
        <v>28</v>
      </c>
      <c r="L537" t="s">
        <v>69</v>
      </c>
      <c r="M537" t="s">
        <v>39</v>
      </c>
      <c r="N537" t="s">
        <v>39</v>
      </c>
      <c r="O537" t="b">
        <v>0</v>
      </c>
      <c r="P537" t="b">
        <v>1</v>
      </c>
      <c r="Q537">
        <v>6.6</v>
      </c>
      <c r="R537" t="b">
        <v>0</v>
      </c>
      <c r="T537">
        <v>0</v>
      </c>
      <c r="U537">
        <v>36.29</v>
      </c>
      <c r="V537" t="b">
        <v>0</v>
      </c>
      <c r="W537" t="s">
        <v>31</v>
      </c>
    </row>
    <row r="538" spans="1:23" x14ac:dyDescent="0.25">
      <c r="A538" t="s">
        <v>68</v>
      </c>
      <c r="B538" t="s">
        <v>59</v>
      </c>
      <c r="C538">
        <v>77.34</v>
      </c>
      <c r="D538">
        <v>688</v>
      </c>
      <c r="E538" t="b">
        <v>0</v>
      </c>
      <c r="F538" t="b">
        <v>1</v>
      </c>
      <c r="G538" t="b">
        <v>1</v>
      </c>
      <c r="H538" t="s">
        <v>53</v>
      </c>
      <c r="I538" t="s">
        <v>26</v>
      </c>
      <c r="J538" t="s">
        <v>50</v>
      </c>
      <c r="K538" t="s">
        <v>46</v>
      </c>
      <c r="L538" t="s">
        <v>37</v>
      </c>
      <c r="M538" t="s">
        <v>39</v>
      </c>
      <c r="N538" t="s">
        <v>28</v>
      </c>
      <c r="O538" t="b">
        <v>1</v>
      </c>
      <c r="P538" t="b">
        <v>0</v>
      </c>
      <c r="Q538">
        <v>8.3000000000000007</v>
      </c>
      <c r="R538" t="b">
        <v>1</v>
      </c>
      <c r="S538" t="s">
        <v>75</v>
      </c>
      <c r="T538">
        <v>14</v>
      </c>
      <c r="U538">
        <v>85.9</v>
      </c>
      <c r="V538" t="b">
        <v>1</v>
      </c>
      <c r="W538" t="s">
        <v>31</v>
      </c>
    </row>
    <row r="539" spans="1:23" x14ac:dyDescent="0.25">
      <c r="A539" t="s">
        <v>61</v>
      </c>
      <c r="B539" t="s">
        <v>49</v>
      </c>
      <c r="C539">
        <v>64.7</v>
      </c>
      <c r="D539">
        <v>638</v>
      </c>
      <c r="E539" t="b">
        <v>1</v>
      </c>
      <c r="F539" t="b">
        <v>0</v>
      </c>
      <c r="G539" t="b">
        <v>1</v>
      </c>
      <c r="H539" t="s">
        <v>34</v>
      </c>
      <c r="I539" t="s">
        <v>35</v>
      </c>
      <c r="J539" t="s">
        <v>54</v>
      </c>
      <c r="K539" t="s">
        <v>37</v>
      </c>
      <c r="L539" t="s">
        <v>37</v>
      </c>
      <c r="M539" t="s">
        <v>28</v>
      </c>
      <c r="N539" t="s">
        <v>28</v>
      </c>
      <c r="O539" t="b">
        <v>1</v>
      </c>
      <c r="P539" t="b">
        <v>1</v>
      </c>
      <c r="Q539">
        <v>8.6</v>
      </c>
      <c r="R539" t="b">
        <v>1</v>
      </c>
      <c r="S539" t="s">
        <v>40</v>
      </c>
      <c r="T539">
        <v>2.5</v>
      </c>
      <c r="U539">
        <v>77.89</v>
      </c>
      <c r="V539" t="b">
        <v>1</v>
      </c>
      <c r="W539" t="s">
        <v>31</v>
      </c>
    </row>
    <row r="540" spans="1:23" x14ac:dyDescent="0.25">
      <c r="A540" t="s">
        <v>32</v>
      </c>
      <c r="B540" t="s">
        <v>59</v>
      </c>
      <c r="C540">
        <v>89.59</v>
      </c>
      <c r="D540">
        <v>427</v>
      </c>
      <c r="E540" t="b">
        <v>1</v>
      </c>
      <c r="F540" t="b">
        <v>1</v>
      </c>
      <c r="G540" t="b">
        <v>0</v>
      </c>
      <c r="H540" t="s">
        <v>53</v>
      </c>
      <c r="I540" t="s">
        <v>35</v>
      </c>
      <c r="J540" t="s">
        <v>50</v>
      </c>
      <c r="K540" t="s">
        <v>46</v>
      </c>
      <c r="L540" t="s">
        <v>51</v>
      </c>
      <c r="M540" t="s">
        <v>28</v>
      </c>
      <c r="P540" t="b">
        <v>1</v>
      </c>
      <c r="Q540">
        <v>10</v>
      </c>
      <c r="R540" t="b">
        <v>0</v>
      </c>
      <c r="T540">
        <v>0</v>
      </c>
      <c r="U540">
        <v>89.37</v>
      </c>
      <c r="V540" t="b">
        <v>1</v>
      </c>
      <c r="W540" t="s">
        <v>58</v>
      </c>
    </row>
    <row r="541" spans="1:23" x14ac:dyDescent="0.25">
      <c r="A541" t="s">
        <v>32</v>
      </c>
      <c r="B541" t="s">
        <v>33</v>
      </c>
      <c r="C541">
        <v>88.7</v>
      </c>
      <c r="D541">
        <v>797</v>
      </c>
      <c r="E541" t="b">
        <v>1</v>
      </c>
      <c r="F541" t="b">
        <v>1</v>
      </c>
      <c r="G541" t="b">
        <v>1</v>
      </c>
      <c r="H541" t="s">
        <v>43</v>
      </c>
      <c r="I541" t="s">
        <v>63</v>
      </c>
      <c r="J541" t="s">
        <v>54</v>
      </c>
      <c r="K541" t="s">
        <v>46</v>
      </c>
      <c r="L541" t="s">
        <v>51</v>
      </c>
      <c r="M541" t="s">
        <v>28</v>
      </c>
      <c r="P541" t="b">
        <v>1</v>
      </c>
      <c r="Q541">
        <v>10</v>
      </c>
      <c r="R541" t="b">
        <v>1</v>
      </c>
      <c r="S541" t="s">
        <v>40</v>
      </c>
      <c r="T541">
        <v>38.799999999999997</v>
      </c>
      <c r="U541">
        <v>89.05</v>
      </c>
      <c r="V541" t="b">
        <v>1</v>
      </c>
      <c r="W541" t="s">
        <v>31</v>
      </c>
    </row>
    <row r="542" spans="1:23" x14ac:dyDescent="0.25">
      <c r="A542" t="s">
        <v>23</v>
      </c>
      <c r="B542" t="s">
        <v>33</v>
      </c>
      <c r="C542">
        <v>87.01</v>
      </c>
      <c r="D542">
        <v>307</v>
      </c>
      <c r="E542" t="b">
        <v>0</v>
      </c>
      <c r="F542" t="b">
        <v>1</v>
      </c>
      <c r="G542" t="b">
        <v>0</v>
      </c>
      <c r="H542" t="s">
        <v>43</v>
      </c>
      <c r="I542" t="s">
        <v>26</v>
      </c>
      <c r="J542" t="s">
        <v>45</v>
      </c>
      <c r="K542" t="s">
        <v>28</v>
      </c>
      <c r="L542" t="s">
        <v>51</v>
      </c>
      <c r="M542" t="s">
        <v>47</v>
      </c>
      <c r="O542" t="b">
        <v>0</v>
      </c>
      <c r="P542" t="b">
        <v>1</v>
      </c>
      <c r="Q542">
        <v>6.4</v>
      </c>
      <c r="R542" t="b">
        <v>1</v>
      </c>
      <c r="S542" t="s">
        <v>55</v>
      </c>
      <c r="T542">
        <v>30.3</v>
      </c>
      <c r="U542">
        <v>72.08</v>
      </c>
      <c r="V542" t="b">
        <v>1</v>
      </c>
      <c r="W542" t="s">
        <v>41</v>
      </c>
    </row>
    <row r="543" spans="1:23" x14ac:dyDescent="0.25">
      <c r="A543" t="s">
        <v>56</v>
      </c>
      <c r="B543" t="s">
        <v>49</v>
      </c>
      <c r="C543">
        <v>66.349999999999994</v>
      </c>
      <c r="D543">
        <v>322</v>
      </c>
      <c r="E543" t="b">
        <v>1</v>
      </c>
      <c r="F543" t="b">
        <v>1</v>
      </c>
      <c r="G543" t="b">
        <v>1</v>
      </c>
      <c r="H543" t="s">
        <v>43</v>
      </c>
      <c r="I543" t="s">
        <v>67</v>
      </c>
      <c r="J543" t="s">
        <v>50</v>
      </c>
      <c r="K543" t="s">
        <v>46</v>
      </c>
      <c r="L543" t="s">
        <v>37</v>
      </c>
      <c r="M543" t="s">
        <v>28</v>
      </c>
      <c r="N543" t="s">
        <v>39</v>
      </c>
      <c r="P543" t="b">
        <v>1</v>
      </c>
      <c r="Q543">
        <v>8.1999999999999993</v>
      </c>
      <c r="R543" t="b">
        <v>0</v>
      </c>
      <c r="T543">
        <v>0</v>
      </c>
      <c r="U543">
        <v>60.35</v>
      </c>
      <c r="V543" t="b">
        <v>0</v>
      </c>
      <c r="W543" t="s">
        <v>58</v>
      </c>
    </row>
    <row r="544" spans="1:23" x14ac:dyDescent="0.25">
      <c r="A544" t="s">
        <v>68</v>
      </c>
      <c r="B544" t="s">
        <v>42</v>
      </c>
      <c r="C544">
        <v>77.52</v>
      </c>
      <c r="D544">
        <v>357</v>
      </c>
      <c r="E544" t="b">
        <v>0</v>
      </c>
      <c r="F544" t="b">
        <v>0</v>
      </c>
      <c r="G544" t="b">
        <v>1</v>
      </c>
      <c r="H544" t="s">
        <v>53</v>
      </c>
      <c r="I544" t="s">
        <v>63</v>
      </c>
      <c r="J544" t="s">
        <v>36</v>
      </c>
      <c r="K544" t="s">
        <v>39</v>
      </c>
      <c r="L544" t="s">
        <v>38</v>
      </c>
      <c r="M544" t="s">
        <v>28</v>
      </c>
      <c r="N544" t="s">
        <v>28</v>
      </c>
      <c r="O544" t="b">
        <v>0</v>
      </c>
      <c r="P544" t="b">
        <v>1</v>
      </c>
      <c r="Q544">
        <v>8</v>
      </c>
      <c r="R544" t="b">
        <v>0</v>
      </c>
      <c r="T544">
        <v>0</v>
      </c>
      <c r="U544">
        <v>79.260000000000005</v>
      </c>
      <c r="V544" t="b">
        <v>1</v>
      </c>
      <c r="W544" t="s">
        <v>58</v>
      </c>
    </row>
    <row r="545" spans="1:23" x14ac:dyDescent="0.25">
      <c r="A545" t="s">
        <v>23</v>
      </c>
      <c r="B545" t="s">
        <v>59</v>
      </c>
      <c r="C545">
        <v>94.76</v>
      </c>
      <c r="D545">
        <v>595</v>
      </c>
      <c r="E545" t="b">
        <v>0</v>
      </c>
      <c r="F545" t="b">
        <v>0</v>
      </c>
      <c r="G545" t="b">
        <v>1</v>
      </c>
      <c r="H545" t="s">
        <v>43</v>
      </c>
      <c r="I545" t="s">
        <v>67</v>
      </c>
      <c r="J545" t="s">
        <v>54</v>
      </c>
      <c r="K545" t="s">
        <v>28</v>
      </c>
      <c r="L545" t="s">
        <v>37</v>
      </c>
      <c r="M545" t="s">
        <v>28</v>
      </c>
      <c r="N545" t="s">
        <v>46</v>
      </c>
      <c r="O545" t="b">
        <v>1</v>
      </c>
      <c r="P545" t="b">
        <v>0</v>
      </c>
      <c r="Q545">
        <v>10</v>
      </c>
      <c r="R545" t="b">
        <v>0</v>
      </c>
      <c r="T545">
        <v>0</v>
      </c>
      <c r="U545">
        <v>93.69</v>
      </c>
      <c r="V545" t="b">
        <v>1</v>
      </c>
      <c r="W545" t="s">
        <v>58</v>
      </c>
    </row>
    <row r="546" spans="1:23" x14ac:dyDescent="0.25">
      <c r="A546" t="s">
        <v>61</v>
      </c>
      <c r="B546" t="s">
        <v>70</v>
      </c>
      <c r="C546">
        <v>80.42</v>
      </c>
      <c r="D546">
        <v>422</v>
      </c>
      <c r="E546" t="b">
        <v>1</v>
      </c>
      <c r="F546" t="b">
        <v>0</v>
      </c>
      <c r="G546" t="b">
        <v>0</v>
      </c>
      <c r="H546" t="s">
        <v>43</v>
      </c>
      <c r="I546" t="s">
        <v>67</v>
      </c>
      <c r="J546" t="s">
        <v>50</v>
      </c>
      <c r="K546" t="s">
        <v>37</v>
      </c>
      <c r="L546" t="s">
        <v>29</v>
      </c>
      <c r="M546" t="s">
        <v>39</v>
      </c>
      <c r="N546" t="s">
        <v>39</v>
      </c>
      <c r="O546" t="b">
        <v>0</v>
      </c>
      <c r="P546" t="b">
        <v>1</v>
      </c>
      <c r="Q546">
        <v>7.1</v>
      </c>
      <c r="R546" t="b">
        <v>1</v>
      </c>
      <c r="S546" t="s">
        <v>75</v>
      </c>
      <c r="T546">
        <v>43.5</v>
      </c>
      <c r="U546">
        <v>73.44</v>
      </c>
      <c r="V546" t="b">
        <v>1</v>
      </c>
      <c r="W546" t="s">
        <v>41</v>
      </c>
    </row>
    <row r="547" spans="1:23" x14ac:dyDescent="0.25">
      <c r="A547" t="s">
        <v>23</v>
      </c>
      <c r="B547" t="s">
        <v>73</v>
      </c>
      <c r="C547">
        <v>69.66</v>
      </c>
      <c r="D547">
        <v>233</v>
      </c>
      <c r="E547" t="b">
        <v>1</v>
      </c>
      <c r="F547" t="b">
        <v>0</v>
      </c>
      <c r="G547" t="b">
        <v>1</v>
      </c>
      <c r="H547" t="s">
        <v>25</v>
      </c>
      <c r="I547" t="s">
        <v>67</v>
      </c>
      <c r="J547" t="s">
        <v>45</v>
      </c>
      <c r="K547" t="s">
        <v>28</v>
      </c>
      <c r="L547" t="s">
        <v>29</v>
      </c>
      <c r="M547" t="s">
        <v>47</v>
      </c>
      <c r="N547" t="s">
        <v>39</v>
      </c>
      <c r="P547" t="b">
        <v>0</v>
      </c>
      <c r="Q547">
        <v>7.6</v>
      </c>
      <c r="R547" t="b">
        <v>1</v>
      </c>
      <c r="S547" t="s">
        <v>64</v>
      </c>
      <c r="T547">
        <v>32.799999999999997</v>
      </c>
      <c r="U547">
        <v>83.54</v>
      </c>
      <c r="V547" t="b">
        <v>1</v>
      </c>
      <c r="W547" t="s">
        <v>41</v>
      </c>
    </row>
    <row r="548" spans="1:23" x14ac:dyDescent="0.25">
      <c r="A548" t="s">
        <v>32</v>
      </c>
      <c r="B548" t="s">
        <v>71</v>
      </c>
      <c r="C548">
        <v>49.78</v>
      </c>
      <c r="D548">
        <v>453</v>
      </c>
      <c r="E548" t="b">
        <v>0</v>
      </c>
      <c r="F548" t="b">
        <v>0</v>
      </c>
      <c r="G548" t="b">
        <v>0</v>
      </c>
      <c r="H548" t="s">
        <v>34</v>
      </c>
      <c r="I548" t="s">
        <v>57</v>
      </c>
      <c r="J548" t="s">
        <v>50</v>
      </c>
      <c r="K548" t="s">
        <v>28</v>
      </c>
      <c r="L548" t="s">
        <v>69</v>
      </c>
      <c r="M548" t="s">
        <v>28</v>
      </c>
      <c r="N548" t="s">
        <v>28</v>
      </c>
      <c r="O548" t="b">
        <v>1</v>
      </c>
      <c r="P548" t="b">
        <v>1</v>
      </c>
      <c r="Q548">
        <v>8.8000000000000007</v>
      </c>
      <c r="R548" t="b">
        <v>1</v>
      </c>
      <c r="S548" t="s">
        <v>75</v>
      </c>
      <c r="T548">
        <v>21.6</v>
      </c>
      <c r="U548">
        <v>29.97</v>
      </c>
      <c r="V548" t="b">
        <v>0</v>
      </c>
      <c r="W548" t="s">
        <v>31</v>
      </c>
    </row>
    <row r="549" spans="1:23" x14ac:dyDescent="0.25">
      <c r="A549" t="s">
        <v>68</v>
      </c>
      <c r="B549" t="s">
        <v>42</v>
      </c>
      <c r="C549">
        <v>83.74</v>
      </c>
      <c r="D549">
        <v>186</v>
      </c>
      <c r="E549" t="b">
        <v>1</v>
      </c>
      <c r="F549" t="b">
        <v>1</v>
      </c>
      <c r="G549" t="b">
        <v>1</v>
      </c>
      <c r="H549" t="s">
        <v>43</v>
      </c>
      <c r="I549" t="s">
        <v>63</v>
      </c>
      <c r="J549" t="s">
        <v>54</v>
      </c>
      <c r="K549" t="s">
        <v>37</v>
      </c>
      <c r="L549" t="s">
        <v>51</v>
      </c>
      <c r="M549" t="s">
        <v>28</v>
      </c>
      <c r="N549" t="s">
        <v>28</v>
      </c>
      <c r="O549" t="b">
        <v>1</v>
      </c>
      <c r="P549" t="b">
        <v>0</v>
      </c>
      <c r="Q549">
        <v>10</v>
      </c>
      <c r="R549" t="b">
        <v>0</v>
      </c>
      <c r="T549">
        <v>0</v>
      </c>
      <c r="U549">
        <v>82.74</v>
      </c>
      <c r="V549" t="b">
        <v>1</v>
      </c>
      <c r="W549" t="s">
        <v>58</v>
      </c>
    </row>
    <row r="550" spans="1:23" x14ac:dyDescent="0.25">
      <c r="A550" t="s">
        <v>56</v>
      </c>
      <c r="B550" t="s">
        <v>76</v>
      </c>
      <c r="C550">
        <v>87.25</v>
      </c>
      <c r="D550">
        <v>441</v>
      </c>
      <c r="E550" t="b">
        <v>1</v>
      </c>
      <c r="F550" t="b">
        <v>1</v>
      </c>
      <c r="G550" t="b">
        <v>0</v>
      </c>
      <c r="H550" t="s">
        <v>43</v>
      </c>
      <c r="I550" t="s">
        <v>26</v>
      </c>
      <c r="J550" t="s">
        <v>50</v>
      </c>
      <c r="K550" t="s">
        <v>37</v>
      </c>
      <c r="L550" t="s">
        <v>37</v>
      </c>
      <c r="M550" t="s">
        <v>28</v>
      </c>
      <c r="N550" t="s">
        <v>28</v>
      </c>
      <c r="O550" t="b">
        <v>0</v>
      </c>
      <c r="P550" t="b">
        <v>1</v>
      </c>
      <c r="Q550">
        <v>8.5</v>
      </c>
      <c r="R550" t="b">
        <v>1</v>
      </c>
      <c r="S550" t="s">
        <v>75</v>
      </c>
      <c r="T550">
        <v>3.3</v>
      </c>
      <c r="U550">
        <v>80.27</v>
      </c>
      <c r="V550" t="b">
        <v>1</v>
      </c>
      <c r="W550" t="s">
        <v>31</v>
      </c>
    </row>
    <row r="551" spans="1:23" x14ac:dyDescent="0.25">
      <c r="A551" t="s">
        <v>68</v>
      </c>
      <c r="B551" t="s">
        <v>42</v>
      </c>
      <c r="C551">
        <v>83.45</v>
      </c>
      <c r="D551">
        <v>124</v>
      </c>
      <c r="E551" t="b">
        <v>0</v>
      </c>
      <c r="F551" t="b">
        <v>1</v>
      </c>
      <c r="G551" t="b">
        <v>0</v>
      </c>
      <c r="H551" t="s">
        <v>25</v>
      </c>
      <c r="I551" t="s">
        <v>35</v>
      </c>
      <c r="J551" t="s">
        <v>36</v>
      </c>
      <c r="K551" t="s">
        <v>39</v>
      </c>
      <c r="L551" t="s">
        <v>38</v>
      </c>
      <c r="M551" t="s">
        <v>46</v>
      </c>
      <c r="N551" t="s">
        <v>39</v>
      </c>
      <c r="P551" t="b">
        <v>1</v>
      </c>
      <c r="Q551">
        <v>8.8000000000000007</v>
      </c>
      <c r="R551" t="b">
        <v>0</v>
      </c>
      <c r="T551">
        <v>0</v>
      </c>
      <c r="U551">
        <v>96.22</v>
      </c>
      <c r="V551" t="b">
        <v>1</v>
      </c>
      <c r="W551" t="s">
        <v>58</v>
      </c>
    </row>
    <row r="552" spans="1:23" x14ac:dyDescent="0.25">
      <c r="A552" t="s">
        <v>74</v>
      </c>
      <c r="B552" t="s">
        <v>33</v>
      </c>
      <c r="C552">
        <v>75.459999999999994</v>
      </c>
      <c r="D552">
        <v>740</v>
      </c>
      <c r="E552" t="b">
        <v>0</v>
      </c>
      <c r="F552" t="b">
        <v>0</v>
      </c>
      <c r="G552" t="b">
        <v>1</v>
      </c>
      <c r="H552" t="s">
        <v>43</v>
      </c>
      <c r="I552" t="s">
        <v>57</v>
      </c>
      <c r="J552" t="s">
        <v>54</v>
      </c>
      <c r="K552" t="s">
        <v>37</v>
      </c>
      <c r="L552" t="s">
        <v>51</v>
      </c>
      <c r="M552" t="s">
        <v>46</v>
      </c>
      <c r="N552" t="s">
        <v>46</v>
      </c>
      <c r="P552" t="b">
        <v>1</v>
      </c>
      <c r="Q552">
        <v>7.5</v>
      </c>
      <c r="R552" t="b">
        <v>1</v>
      </c>
      <c r="S552" t="s">
        <v>48</v>
      </c>
      <c r="T552">
        <v>20.8</v>
      </c>
      <c r="U552">
        <v>75.040000000000006</v>
      </c>
      <c r="V552" t="b">
        <v>1</v>
      </c>
      <c r="W552" t="s">
        <v>41</v>
      </c>
    </row>
    <row r="553" spans="1:23" x14ac:dyDescent="0.25">
      <c r="A553" t="s">
        <v>32</v>
      </c>
      <c r="B553" t="s">
        <v>62</v>
      </c>
      <c r="C553">
        <v>64.790000000000006</v>
      </c>
      <c r="D553">
        <v>155</v>
      </c>
      <c r="E553" t="b">
        <v>0</v>
      </c>
      <c r="F553" t="b">
        <v>1</v>
      </c>
      <c r="G553" t="b">
        <v>1</v>
      </c>
      <c r="H553" t="s">
        <v>34</v>
      </c>
      <c r="I553" t="s">
        <v>44</v>
      </c>
      <c r="J553" t="s">
        <v>50</v>
      </c>
      <c r="K553" t="s">
        <v>46</v>
      </c>
      <c r="L553" t="s">
        <v>51</v>
      </c>
      <c r="M553" t="s">
        <v>47</v>
      </c>
      <c r="N553" t="s">
        <v>28</v>
      </c>
      <c r="P553" t="b">
        <v>0</v>
      </c>
      <c r="Q553">
        <v>5.6</v>
      </c>
      <c r="R553" t="b">
        <v>1</v>
      </c>
      <c r="S553" t="s">
        <v>64</v>
      </c>
      <c r="T553">
        <v>8.3000000000000007</v>
      </c>
      <c r="U553">
        <v>50.55</v>
      </c>
      <c r="V553" t="b">
        <v>1</v>
      </c>
      <c r="W553" t="s">
        <v>41</v>
      </c>
    </row>
    <row r="554" spans="1:23" x14ac:dyDescent="0.25">
      <c r="A554" t="s">
        <v>74</v>
      </c>
      <c r="B554" t="s">
        <v>76</v>
      </c>
      <c r="C554">
        <v>78.760000000000005</v>
      </c>
      <c r="D554">
        <v>317</v>
      </c>
      <c r="E554" t="b">
        <v>0</v>
      </c>
      <c r="F554" t="b">
        <v>0</v>
      </c>
      <c r="G554" t="b">
        <v>0</v>
      </c>
      <c r="H554" t="s">
        <v>34</v>
      </c>
      <c r="I554" t="s">
        <v>63</v>
      </c>
      <c r="J554" t="s">
        <v>27</v>
      </c>
      <c r="K554" t="s">
        <v>37</v>
      </c>
      <c r="L554" t="s">
        <v>29</v>
      </c>
      <c r="M554" t="s">
        <v>39</v>
      </c>
      <c r="N554" t="s">
        <v>28</v>
      </c>
      <c r="P554" t="b">
        <v>1</v>
      </c>
      <c r="Q554">
        <v>7.4</v>
      </c>
      <c r="R554" t="b">
        <v>1</v>
      </c>
      <c r="S554" t="s">
        <v>64</v>
      </c>
      <c r="T554">
        <v>19.2</v>
      </c>
      <c r="U554">
        <v>67.91</v>
      </c>
      <c r="V554" t="b">
        <v>1</v>
      </c>
      <c r="W554" t="s">
        <v>41</v>
      </c>
    </row>
    <row r="555" spans="1:23" x14ac:dyDescent="0.25">
      <c r="A555" t="s">
        <v>61</v>
      </c>
      <c r="B555" t="s">
        <v>24</v>
      </c>
      <c r="C555">
        <v>86.3</v>
      </c>
      <c r="D555">
        <v>108</v>
      </c>
      <c r="E555" t="b">
        <v>0</v>
      </c>
      <c r="F555" t="b">
        <v>1</v>
      </c>
      <c r="G555" t="b">
        <v>1</v>
      </c>
      <c r="H555" t="s">
        <v>25</v>
      </c>
      <c r="I555" t="s">
        <v>26</v>
      </c>
      <c r="J555" t="s">
        <v>50</v>
      </c>
      <c r="K555" t="s">
        <v>37</v>
      </c>
      <c r="L555" t="s">
        <v>29</v>
      </c>
      <c r="M555" t="s">
        <v>28</v>
      </c>
      <c r="N555" t="s">
        <v>28</v>
      </c>
      <c r="P555" t="b">
        <v>0</v>
      </c>
      <c r="Q555">
        <v>8.6999999999999993</v>
      </c>
      <c r="R555" t="b">
        <v>0</v>
      </c>
      <c r="T555">
        <v>0</v>
      </c>
      <c r="U555">
        <v>82.08</v>
      </c>
      <c r="V555" t="b">
        <v>1</v>
      </c>
      <c r="W555" t="s">
        <v>58</v>
      </c>
    </row>
    <row r="556" spans="1:23" x14ac:dyDescent="0.25">
      <c r="A556" t="s">
        <v>74</v>
      </c>
      <c r="B556" t="s">
        <v>33</v>
      </c>
      <c r="C556">
        <v>78.739999999999995</v>
      </c>
      <c r="D556">
        <v>749</v>
      </c>
      <c r="E556" t="b">
        <v>0</v>
      </c>
      <c r="F556" t="b">
        <v>0</v>
      </c>
      <c r="G556" t="b">
        <v>0</v>
      </c>
      <c r="H556" t="s">
        <v>43</v>
      </c>
      <c r="I556" t="s">
        <v>35</v>
      </c>
      <c r="J556" t="s">
        <v>27</v>
      </c>
      <c r="K556" t="s">
        <v>46</v>
      </c>
      <c r="L556" t="s">
        <v>38</v>
      </c>
      <c r="M556" t="s">
        <v>47</v>
      </c>
      <c r="N556" t="s">
        <v>39</v>
      </c>
      <c r="O556" t="b">
        <v>0</v>
      </c>
      <c r="P556" t="b">
        <v>0</v>
      </c>
      <c r="Q556">
        <v>7.1</v>
      </c>
      <c r="R556" t="b">
        <v>1</v>
      </c>
      <c r="S556" t="s">
        <v>52</v>
      </c>
      <c r="T556">
        <v>26.8</v>
      </c>
      <c r="U556">
        <v>81.27</v>
      </c>
      <c r="V556" t="b">
        <v>1</v>
      </c>
      <c r="W556" t="s">
        <v>41</v>
      </c>
    </row>
    <row r="557" spans="1:23" x14ac:dyDescent="0.25">
      <c r="A557" t="s">
        <v>56</v>
      </c>
      <c r="B557" t="s">
        <v>59</v>
      </c>
      <c r="C557">
        <v>80.849999999999994</v>
      </c>
      <c r="D557">
        <v>474</v>
      </c>
      <c r="E557" t="b">
        <v>1</v>
      </c>
      <c r="F557" t="b">
        <v>0</v>
      </c>
      <c r="G557" t="b">
        <v>0</v>
      </c>
      <c r="H557" t="s">
        <v>53</v>
      </c>
      <c r="I557" t="s">
        <v>63</v>
      </c>
      <c r="J557" t="s">
        <v>27</v>
      </c>
      <c r="K557" t="s">
        <v>39</v>
      </c>
      <c r="L557" t="s">
        <v>51</v>
      </c>
      <c r="M557" t="s">
        <v>28</v>
      </c>
      <c r="N557" t="s">
        <v>28</v>
      </c>
      <c r="O557" t="b">
        <v>0</v>
      </c>
      <c r="P557" t="b">
        <v>1</v>
      </c>
      <c r="Q557">
        <v>8.6999999999999993</v>
      </c>
      <c r="R557" t="b">
        <v>1</v>
      </c>
      <c r="S557" t="s">
        <v>52</v>
      </c>
      <c r="T557">
        <v>38</v>
      </c>
      <c r="U557">
        <v>94.29</v>
      </c>
      <c r="V557" t="b">
        <v>1</v>
      </c>
      <c r="W557" t="s">
        <v>31</v>
      </c>
    </row>
    <row r="558" spans="1:23" x14ac:dyDescent="0.25">
      <c r="A558" t="s">
        <v>68</v>
      </c>
      <c r="B558" t="s">
        <v>33</v>
      </c>
      <c r="C558">
        <v>78.42</v>
      </c>
      <c r="D558">
        <v>791</v>
      </c>
      <c r="E558" t="b">
        <v>1</v>
      </c>
      <c r="F558" t="b">
        <v>1</v>
      </c>
      <c r="G558" t="b">
        <v>1</v>
      </c>
      <c r="H558" t="s">
        <v>43</v>
      </c>
      <c r="I558" t="s">
        <v>35</v>
      </c>
      <c r="J558" t="s">
        <v>36</v>
      </c>
      <c r="K558" t="s">
        <v>37</v>
      </c>
      <c r="L558" t="s">
        <v>69</v>
      </c>
      <c r="M558" t="s">
        <v>28</v>
      </c>
      <c r="O558" t="b">
        <v>0</v>
      </c>
      <c r="P558" t="b">
        <v>1</v>
      </c>
      <c r="Q558">
        <v>9.1</v>
      </c>
      <c r="R558" t="b">
        <v>1</v>
      </c>
      <c r="S558" t="s">
        <v>30</v>
      </c>
      <c r="T558">
        <v>11.5</v>
      </c>
      <c r="U558">
        <v>68.02</v>
      </c>
      <c r="V558" t="b">
        <v>0</v>
      </c>
      <c r="W558" t="s">
        <v>31</v>
      </c>
    </row>
    <row r="559" spans="1:23" x14ac:dyDescent="0.25">
      <c r="A559" t="s">
        <v>32</v>
      </c>
      <c r="B559" t="s">
        <v>42</v>
      </c>
      <c r="C559">
        <v>82.62</v>
      </c>
      <c r="D559">
        <v>92</v>
      </c>
      <c r="E559" t="b">
        <v>0</v>
      </c>
      <c r="F559" t="b">
        <v>1</v>
      </c>
      <c r="G559" t="b">
        <v>0</v>
      </c>
      <c r="H559" t="s">
        <v>25</v>
      </c>
      <c r="I559" t="s">
        <v>35</v>
      </c>
      <c r="J559" t="s">
        <v>50</v>
      </c>
      <c r="K559" t="s">
        <v>37</v>
      </c>
      <c r="L559" t="s">
        <v>69</v>
      </c>
      <c r="M559" t="s">
        <v>39</v>
      </c>
      <c r="N559" t="s">
        <v>28</v>
      </c>
      <c r="P559" t="b">
        <v>1</v>
      </c>
      <c r="Q559">
        <v>8.1</v>
      </c>
      <c r="R559" t="b">
        <v>1</v>
      </c>
      <c r="S559" t="s">
        <v>52</v>
      </c>
      <c r="T559">
        <v>7.5</v>
      </c>
      <c r="U559">
        <v>93.63</v>
      </c>
      <c r="V559" t="b">
        <v>1</v>
      </c>
      <c r="W559" t="s">
        <v>31</v>
      </c>
    </row>
    <row r="560" spans="1:23" x14ac:dyDescent="0.25">
      <c r="A560" t="s">
        <v>68</v>
      </c>
      <c r="B560" t="s">
        <v>60</v>
      </c>
      <c r="C560">
        <v>44.99</v>
      </c>
      <c r="D560">
        <v>660</v>
      </c>
      <c r="E560" t="b">
        <v>1</v>
      </c>
      <c r="F560" t="b">
        <v>1</v>
      </c>
      <c r="G560" t="b">
        <v>0</v>
      </c>
      <c r="H560" t="s">
        <v>43</v>
      </c>
      <c r="I560" t="s">
        <v>63</v>
      </c>
      <c r="J560" t="s">
        <v>36</v>
      </c>
      <c r="K560" t="s">
        <v>39</v>
      </c>
      <c r="L560" t="s">
        <v>38</v>
      </c>
      <c r="M560" t="s">
        <v>47</v>
      </c>
      <c r="N560" t="s">
        <v>46</v>
      </c>
      <c r="O560" t="b">
        <v>0</v>
      </c>
      <c r="P560" t="b">
        <v>0</v>
      </c>
      <c r="Q560">
        <v>4.4000000000000004</v>
      </c>
      <c r="R560" t="b">
        <v>1</v>
      </c>
      <c r="S560" t="s">
        <v>52</v>
      </c>
      <c r="T560">
        <v>9.1999999999999993</v>
      </c>
      <c r="U560">
        <v>34.99</v>
      </c>
      <c r="V560" t="b">
        <v>1</v>
      </c>
      <c r="W560" t="s">
        <v>72</v>
      </c>
    </row>
    <row r="561" spans="1:23" x14ac:dyDescent="0.25">
      <c r="A561" t="s">
        <v>56</v>
      </c>
      <c r="B561" t="s">
        <v>70</v>
      </c>
      <c r="C561">
        <v>88.79</v>
      </c>
      <c r="D561">
        <v>234</v>
      </c>
      <c r="E561" t="b">
        <v>0</v>
      </c>
      <c r="F561" t="b">
        <v>0</v>
      </c>
      <c r="G561" t="b">
        <v>0</v>
      </c>
      <c r="H561" t="s">
        <v>25</v>
      </c>
      <c r="I561" t="s">
        <v>67</v>
      </c>
      <c r="J561" t="s">
        <v>45</v>
      </c>
      <c r="K561" t="s">
        <v>37</v>
      </c>
      <c r="L561" t="s">
        <v>37</v>
      </c>
      <c r="M561" t="s">
        <v>46</v>
      </c>
      <c r="N561" t="s">
        <v>46</v>
      </c>
      <c r="P561" t="b">
        <v>0</v>
      </c>
      <c r="Q561">
        <v>8.9</v>
      </c>
      <c r="R561" t="b">
        <v>0</v>
      </c>
      <c r="T561">
        <v>0</v>
      </c>
      <c r="U561">
        <v>79.5</v>
      </c>
      <c r="V561" t="b">
        <v>1</v>
      </c>
      <c r="W561" t="s">
        <v>58</v>
      </c>
    </row>
    <row r="562" spans="1:23" x14ac:dyDescent="0.25">
      <c r="A562" t="s">
        <v>68</v>
      </c>
      <c r="B562" t="s">
        <v>70</v>
      </c>
      <c r="C562">
        <v>92.76</v>
      </c>
      <c r="D562">
        <v>204</v>
      </c>
      <c r="E562" t="b">
        <v>0</v>
      </c>
      <c r="F562" t="b">
        <v>0</v>
      </c>
      <c r="G562" t="b">
        <v>1</v>
      </c>
      <c r="H562" t="s">
        <v>53</v>
      </c>
      <c r="I562" t="s">
        <v>26</v>
      </c>
      <c r="J562" t="s">
        <v>36</v>
      </c>
      <c r="K562" t="s">
        <v>39</v>
      </c>
      <c r="L562" t="s">
        <v>37</v>
      </c>
      <c r="M562" t="s">
        <v>39</v>
      </c>
      <c r="N562" t="s">
        <v>39</v>
      </c>
      <c r="O562" t="b">
        <v>1</v>
      </c>
      <c r="P562" t="b">
        <v>1</v>
      </c>
      <c r="Q562">
        <v>10</v>
      </c>
      <c r="R562" t="b">
        <v>0</v>
      </c>
      <c r="T562">
        <v>0</v>
      </c>
      <c r="U562">
        <v>100</v>
      </c>
      <c r="V562" t="b">
        <v>1</v>
      </c>
      <c r="W562" t="s">
        <v>58</v>
      </c>
    </row>
    <row r="563" spans="1:23" x14ac:dyDescent="0.25">
      <c r="A563" t="s">
        <v>32</v>
      </c>
      <c r="B563" t="s">
        <v>62</v>
      </c>
      <c r="C563">
        <v>63.01</v>
      </c>
      <c r="D563">
        <v>298</v>
      </c>
      <c r="E563" t="b">
        <v>1</v>
      </c>
      <c r="F563" t="b">
        <v>1</v>
      </c>
      <c r="G563" t="b">
        <v>1</v>
      </c>
      <c r="H563" t="s">
        <v>34</v>
      </c>
      <c r="I563" t="s">
        <v>26</v>
      </c>
      <c r="J563" t="s">
        <v>54</v>
      </c>
      <c r="K563" t="s">
        <v>28</v>
      </c>
      <c r="L563" t="s">
        <v>29</v>
      </c>
      <c r="M563" t="s">
        <v>47</v>
      </c>
      <c r="N563" t="s">
        <v>28</v>
      </c>
      <c r="O563" t="b">
        <v>0</v>
      </c>
      <c r="P563" t="b">
        <v>0</v>
      </c>
      <c r="Q563">
        <v>5.8</v>
      </c>
      <c r="R563" t="b">
        <v>1</v>
      </c>
      <c r="S563" t="s">
        <v>52</v>
      </c>
      <c r="T563">
        <v>5</v>
      </c>
      <c r="U563">
        <v>72</v>
      </c>
      <c r="V563" t="b">
        <v>1</v>
      </c>
      <c r="W563" t="s">
        <v>41</v>
      </c>
    </row>
    <row r="564" spans="1:23" x14ac:dyDescent="0.25">
      <c r="A564" t="s">
        <v>56</v>
      </c>
      <c r="B564" t="s">
        <v>60</v>
      </c>
      <c r="C564">
        <v>51.8</v>
      </c>
      <c r="D564">
        <v>261</v>
      </c>
      <c r="E564" t="b">
        <v>1</v>
      </c>
      <c r="F564" t="b">
        <v>0</v>
      </c>
      <c r="G564" t="b">
        <v>1</v>
      </c>
      <c r="H564" t="s">
        <v>53</v>
      </c>
      <c r="I564" t="s">
        <v>35</v>
      </c>
      <c r="J564" t="s">
        <v>27</v>
      </c>
      <c r="K564" t="s">
        <v>46</v>
      </c>
      <c r="L564" t="s">
        <v>29</v>
      </c>
      <c r="M564" t="s">
        <v>46</v>
      </c>
      <c r="N564" t="s">
        <v>39</v>
      </c>
      <c r="O564" t="b">
        <v>0</v>
      </c>
      <c r="P564" t="b">
        <v>0</v>
      </c>
      <c r="Q564">
        <v>6.4</v>
      </c>
      <c r="R564" t="b">
        <v>1</v>
      </c>
      <c r="S564" t="s">
        <v>40</v>
      </c>
      <c r="T564">
        <v>35.799999999999997</v>
      </c>
      <c r="U564">
        <v>57.82</v>
      </c>
      <c r="V564" t="b">
        <v>1</v>
      </c>
      <c r="W564" t="s">
        <v>41</v>
      </c>
    </row>
    <row r="565" spans="1:23" x14ac:dyDescent="0.25">
      <c r="A565" t="s">
        <v>23</v>
      </c>
      <c r="B565" t="s">
        <v>70</v>
      </c>
      <c r="C565">
        <v>93.17</v>
      </c>
      <c r="D565">
        <v>682</v>
      </c>
      <c r="E565" t="b">
        <v>1</v>
      </c>
      <c r="F565" t="b">
        <v>0</v>
      </c>
      <c r="G565" t="b">
        <v>0</v>
      </c>
      <c r="H565" t="s">
        <v>25</v>
      </c>
      <c r="I565" t="s">
        <v>44</v>
      </c>
      <c r="J565" t="s">
        <v>54</v>
      </c>
      <c r="K565" t="s">
        <v>37</v>
      </c>
      <c r="L565" t="s">
        <v>29</v>
      </c>
      <c r="M565" t="s">
        <v>47</v>
      </c>
      <c r="N565" t="s">
        <v>46</v>
      </c>
      <c r="O565" t="b">
        <v>1</v>
      </c>
      <c r="P565" t="b">
        <v>1</v>
      </c>
      <c r="Q565">
        <v>10</v>
      </c>
      <c r="R565" t="b">
        <v>1</v>
      </c>
      <c r="S565" t="s">
        <v>75</v>
      </c>
      <c r="T565">
        <v>40.9</v>
      </c>
      <c r="U565">
        <v>85.61</v>
      </c>
      <c r="V565" t="b">
        <v>1</v>
      </c>
      <c r="W565" t="s">
        <v>31</v>
      </c>
    </row>
    <row r="566" spans="1:23" x14ac:dyDescent="0.25">
      <c r="A566" t="s">
        <v>68</v>
      </c>
      <c r="B566" t="s">
        <v>42</v>
      </c>
      <c r="C566">
        <v>74.260000000000005</v>
      </c>
      <c r="D566">
        <v>91</v>
      </c>
      <c r="E566" t="b">
        <v>1</v>
      </c>
      <c r="F566" t="b">
        <v>0</v>
      </c>
      <c r="G566" t="b">
        <v>0</v>
      </c>
      <c r="H566" t="s">
        <v>25</v>
      </c>
      <c r="I566" t="s">
        <v>26</v>
      </c>
      <c r="J566" t="s">
        <v>50</v>
      </c>
      <c r="K566" t="s">
        <v>46</v>
      </c>
      <c r="L566" t="s">
        <v>38</v>
      </c>
      <c r="M566" t="s">
        <v>28</v>
      </c>
      <c r="N566" t="s">
        <v>39</v>
      </c>
      <c r="P566" t="b">
        <v>0</v>
      </c>
      <c r="Q566">
        <v>10</v>
      </c>
      <c r="R566" t="b">
        <v>0</v>
      </c>
      <c r="T566">
        <v>0</v>
      </c>
      <c r="U566">
        <v>69.98</v>
      </c>
      <c r="V566" t="b">
        <v>0</v>
      </c>
      <c r="W566" t="s">
        <v>58</v>
      </c>
    </row>
    <row r="567" spans="1:23" x14ac:dyDescent="0.25">
      <c r="A567" t="s">
        <v>32</v>
      </c>
      <c r="B567" t="s">
        <v>73</v>
      </c>
      <c r="C567">
        <v>67.67</v>
      </c>
      <c r="D567">
        <v>720</v>
      </c>
      <c r="E567" t="b">
        <v>1</v>
      </c>
      <c r="F567" t="b">
        <v>0</v>
      </c>
      <c r="G567" t="b">
        <v>1</v>
      </c>
      <c r="H567" t="s">
        <v>43</v>
      </c>
      <c r="I567" t="s">
        <v>35</v>
      </c>
      <c r="J567" t="s">
        <v>36</v>
      </c>
      <c r="K567" t="s">
        <v>39</v>
      </c>
      <c r="L567" t="s">
        <v>29</v>
      </c>
      <c r="M567" t="s">
        <v>47</v>
      </c>
      <c r="N567" t="s">
        <v>39</v>
      </c>
      <c r="O567" t="b">
        <v>1</v>
      </c>
      <c r="P567" t="b">
        <v>1</v>
      </c>
      <c r="Q567">
        <v>8</v>
      </c>
      <c r="R567" t="b">
        <v>1</v>
      </c>
      <c r="S567" t="s">
        <v>64</v>
      </c>
      <c r="T567">
        <v>11.5</v>
      </c>
      <c r="U567">
        <v>57.18</v>
      </c>
      <c r="V567" t="b">
        <v>0</v>
      </c>
      <c r="W567" t="s">
        <v>31</v>
      </c>
    </row>
    <row r="568" spans="1:23" x14ac:dyDescent="0.25">
      <c r="A568" t="s">
        <v>61</v>
      </c>
      <c r="B568" t="s">
        <v>60</v>
      </c>
      <c r="C568">
        <v>51.26</v>
      </c>
      <c r="D568">
        <v>53</v>
      </c>
      <c r="E568" t="b">
        <v>0</v>
      </c>
      <c r="F568" t="b">
        <v>0</v>
      </c>
      <c r="G568" t="b">
        <v>0</v>
      </c>
      <c r="H568" t="s">
        <v>25</v>
      </c>
      <c r="I568" t="s">
        <v>26</v>
      </c>
      <c r="J568" t="s">
        <v>50</v>
      </c>
      <c r="K568" t="s">
        <v>28</v>
      </c>
      <c r="L568" t="s">
        <v>38</v>
      </c>
      <c r="M568" t="s">
        <v>39</v>
      </c>
      <c r="N568" t="s">
        <v>28</v>
      </c>
      <c r="O568" t="b">
        <v>1</v>
      </c>
      <c r="P568" t="b">
        <v>1</v>
      </c>
      <c r="Q568">
        <v>7.9</v>
      </c>
      <c r="R568" t="b">
        <v>1</v>
      </c>
      <c r="S568" t="s">
        <v>64</v>
      </c>
      <c r="T568">
        <v>33.1</v>
      </c>
      <c r="U568">
        <v>42.22</v>
      </c>
      <c r="V568" t="b">
        <v>0</v>
      </c>
      <c r="W568" t="s">
        <v>41</v>
      </c>
    </row>
    <row r="569" spans="1:23" x14ac:dyDescent="0.25">
      <c r="A569" t="s">
        <v>68</v>
      </c>
      <c r="B569" t="s">
        <v>76</v>
      </c>
      <c r="C569">
        <v>79.38</v>
      </c>
      <c r="D569">
        <v>563</v>
      </c>
      <c r="E569" t="b">
        <v>0</v>
      </c>
      <c r="F569" t="b">
        <v>0</v>
      </c>
      <c r="G569" t="b">
        <v>1</v>
      </c>
      <c r="H569" t="s">
        <v>53</v>
      </c>
      <c r="I569" t="s">
        <v>63</v>
      </c>
      <c r="J569" t="s">
        <v>50</v>
      </c>
      <c r="K569" t="s">
        <v>46</v>
      </c>
      <c r="L569" t="s">
        <v>29</v>
      </c>
      <c r="M569" t="s">
        <v>46</v>
      </c>
      <c r="P569" t="b">
        <v>1</v>
      </c>
      <c r="Q569">
        <v>8.4</v>
      </c>
      <c r="R569" t="b">
        <v>1</v>
      </c>
      <c r="S569" t="s">
        <v>40</v>
      </c>
      <c r="T569">
        <v>40.4</v>
      </c>
      <c r="U569">
        <v>66.59</v>
      </c>
      <c r="V569" t="b">
        <v>1</v>
      </c>
      <c r="W569" t="s">
        <v>31</v>
      </c>
    </row>
    <row r="570" spans="1:23" x14ac:dyDescent="0.25">
      <c r="A570" t="s">
        <v>74</v>
      </c>
      <c r="B570" t="s">
        <v>59</v>
      </c>
      <c r="C570">
        <v>79.2</v>
      </c>
      <c r="D570">
        <v>626</v>
      </c>
      <c r="E570" t="b">
        <v>1</v>
      </c>
      <c r="F570" t="b">
        <v>0</v>
      </c>
      <c r="G570" t="b">
        <v>0</v>
      </c>
      <c r="H570" t="s">
        <v>25</v>
      </c>
      <c r="I570" t="s">
        <v>44</v>
      </c>
      <c r="J570" t="s">
        <v>27</v>
      </c>
      <c r="K570" t="s">
        <v>37</v>
      </c>
      <c r="L570" t="s">
        <v>29</v>
      </c>
      <c r="M570" t="s">
        <v>28</v>
      </c>
      <c r="N570" t="s">
        <v>39</v>
      </c>
      <c r="O570" t="b">
        <v>1</v>
      </c>
      <c r="P570" t="b">
        <v>1</v>
      </c>
      <c r="Q570">
        <v>10</v>
      </c>
      <c r="R570" t="b">
        <v>0</v>
      </c>
      <c r="T570">
        <v>0</v>
      </c>
      <c r="U570">
        <v>91.28</v>
      </c>
      <c r="V570" t="b">
        <v>1</v>
      </c>
      <c r="W570" t="s">
        <v>58</v>
      </c>
    </row>
    <row r="571" spans="1:23" x14ac:dyDescent="0.25">
      <c r="A571" t="s">
        <v>61</v>
      </c>
      <c r="B571" t="s">
        <v>71</v>
      </c>
      <c r="C571">
        <v>42.99</v>
      </c>
      <c r="D571">
        <v>360</v>
      </c>
      <c r="E571" t="b">
        <v>1</v>
      </c>
      <c r="F571" t="b">
        <v>1</v>
      </c>
      <c r="G571" t="b">
        <v>0</v>
      </c>
      <c r="H571" t="s">
        <v>25</v>
      </c>
      <c r="I571" t="s">
        <v>57</v>
      </c>
      <c r="J571" t="s">
        <v>50</v>
      </c>
      <c r="K571" t="s">
        <v>37</v>
      </c>
      <c r="L571" t="s">
        <v>37</v>
      </c>
      <c r="M571" t="s">
        <v>28</v>
      </c>
      <c r="O571" t="b">
        <v>1</v>
      </c>
      <c r="P571" t="b">
        <v>1</v>
      </c>
      <c r="Q571">
        <v>7</v>
      </c>
      <c r="R571" t="b">
        <v>1</v>
      </c>
      <c r="S571" t="s">
        <v>55</v>
      </c>
      <c r="T571">
        <v>21.3</v>
      </c>
      <c r="U571">
        <v>46.79</v>
      </c>
      <c r="V571" t="b">
        <v>0</v>
      </c>
      <c r="W571" t="s">
        <v>41</v>
      </c>
    </row>
    <row r="572" spans="1:23" x14ac:dyDescent="0.25">
      <c r="A572" t="s">
        <v>68</v>
      </c>
      <c r="B572" t="s">
        <v>71</v>
      </c>
      <c r="C572">
        <v>42.16</v>
      </c>
      <c r="D572">
        <v>264</v>
      </c>
      <c r="E572" t="b">
        <v>0</v>
      </c>
      <c r="F572" t="b">
        <v>1</v>
      </c>
      <c r="G572" t="b">
        <v>0</v>
      </c>
      <c r="H572" t="s">
        <v>25</v>
      </c>
      <c r="I572" t="s">
        <v>67</v>
      </c>
      <c r="J572" t="s">
        <v>36</v>
      </c>
      <c r="K572" t="s">
        <v>46</v>
      </c>
      <c r="L572" t="s">
        <v>38</v>
      </c>
      <c r="M572" t="s">
        <v>39</v>
      </c>
      <c r="P572" t="b">
        <v>0</v>
      </c>
      <c r="Q572">
        <v>5.2</v>
      </c>
      <c r="R572" t="b">
        <v>1</v>
      </c>
      <c r="S572" t="s">
        <v>30</v>
      </c>
      <c r="T572">
        <v>16.100000000000001</v>
      </c>
      <c r="U572">
        <v>28.78</v>
      </c>
      <c r="V572" t="b">
        <v>0</v>
      </c>
      <c r="W572" t="s">
        <v>41</v>
      </c>
    </row>
    <row r="573" spans="1:23" x14ac:dyDescent="0.25">
      <c r="A573" t="s">
        <v>68</v>
      </c>
      <c r="B573" t="s">
        <v>24</v>
      </c>
      <c r="C573">
        <v>95.97</v>
      </c>
      <c r="D573">
        <v>613</v>
      </c>
      <c r="E573" t="b">
        <v>0</v>
      </c>
      <c r="F573" t="b">
        <v>0</v>
      </c>
      <c r="G573" t="b">
        <v>1</v>
      </c>
      <c r="H573" t="s">
        <v>53</v>
      </c>
      <c r="I573" t="s">
        <v>57</v>
      </c>
      <c r="J573" t="s">
        <v>27</v>
      </c>
      <c r="K573" t="s">
        <v>37</v>
      </c>
      <c r="L573" t="s">
        <v>51</v>
      </c>
      <c r="M573" t="s">
        <v>28</v>
      </c>
      <c r="O573" t="b">
        <v>1</v>
      </c>
      <c r="P573" t="b">
        <v>1</v>
      </c>
      <c r="Q573">
        <v>10</v>
      </c>
      <c r="R573" t="b">
        <v>1</v>
      </c>
      <c r="S573" t="s">
        <v>55</v>
      </c>
      <c r="T573">
        <v>11.9</v>
      </c>
      <c r="U573">
        <v>95.69</v>
      </c>
      <c r="V573" t="b">
        <v>1</v>
      </c>
      <c r="W573" t="s">
        <v>31</v>
      </c>
    </row>
    <row r="574" spans="1:23" x14ac:dyDescent="0.25">
      <c r="A574" t="s">
        <v>56</v>
      </c>
      <c r="B574" t="s">
        <v>49</v>
      </c>
      <c r="C574">
        <v>64.400000000000006</v>
      </c>
      <c r="D574">
        <v>347</v>
      </c>
      <c r="E574" t="b">
        <v>1</v>
      </c>
      <c r="F574" t="b">
        <v>1</v>
      </c>
      <c r="G574" t="b">
        <v>1</v>
      </c>
      <c r="H574" t="s">
        <v>43</v>
      </c>
      <c r="I574" t="s">
        <v>44</v>
      </c>
      <c r="J574" t="s">
        <v>45</v>
      </c>
      <c r="K574" t="s">
        <v>37</v>
      </c>
      <c r="L574" t="s">
        <v>51</v>
      </c>
      <c r="M574" t="s">
        <v>46</v>
      </c>
      <c r="N574" t="s">
        <v>39</v>
      </c>
      <c r="P574" t="b">
        <v>1</v>
      </c>
      <c r="Q574">
        <v>7.4</v>
      </c>
      <c r="R574" t="b">
        <v>0</v>
      </c>
      <c r="T574">
        <v>0</v>
      </c>
      <c r="U574">
        <v>57.29</v>
      </c>
      <c r="V574" t="b">
        <v>1</v>
      </c>
      <c r="W574" t="s">
        <v>31</v>
      </c>
    </row>
    <row r="575" spans="1:23" x14ac:dyDescent="0.25">
      <c r="A575" t="s">
        <v>68</v>
      </c>
      <c r="B575" t="s">
        <v>66</v>
      </c>
      <c r="C575">
        <v>79.98</v>
      </c>
      <c r="D575">
        <v>342</v>
      </c>
      <c r="E575" t="b">
        <v>1</v>
      </c>
      <c r="F575" t="b">
        <v>1</v>
      </c>
      <c r="G575" t="b">
        <v>1</v>
      </c>
      <c r="H575" t="s">
        <v>34</v>
      </c>
      <c r="I575" t="s">
        <v>63</v>
      </c>
      <c r="J575" t="s">
        <v>27</v>
      </c>
      <c r="K575" t="s">
        <v>37</v>
      </c>
      <c r="L575" t="s">
        <v>38</v>
      </c>
      <c r="M575" t="s">
        <v>28</v>
      </c>
      <c r="N575" t="s">
        <v>28</v>
      </c>
      <c r="P575" t="b">
        <v>1</v>
      </c>
      <c r="Q575">
        <v>10</v>
      </c>
      <c r="R575" t="b">
        <v>0</v>
      </c>
      <c r="T575">
        <v>0</v>
      </c>
      <c r="U575">
        <v>59.5</v>
      </c>
      <c r="V575" t="b">
        <v>0</v>
      </c>
      <c r="W575" t="s">
        <v>58</v>
      </c>
    </row>
    <row r="576" spans="1:23" x14ac:dyDescent="0.25">
      <c r="A576" t="s">
        <v>56</v>
      </c>
      <c r="B576" t="s">
        <v>70</v>
      </c>
      <c r="C576">
        <v>81.59</v>
      </c>
      <c r="D576">
        <v>337</v>
      </c>
      <c r="E576" t="b">
        <v>0</v>
      </c>
      <c r="F576" t="b">
        <v>0</v>
      </c>
      <c r="G576" t="b">
        <v>1</v>
      </c>
      <c r="H576" t="s">
        <v>53</v>
      </c>
      <c r="I576" t="s">
        <v>67</v>
      </c>
      <c r="J576" t="s">
        <v>45</v>
      </c>
      <c r="K576" t="s">
        <v>46</v>
      </c>
      <c r="L576" t="s">
        <v>38</v>
      </c>
      <c r="M576" t="s">
        <v>28</v>
      </c>
      <c r="N576" t="s">
        <v>46</v>
      </c>
      <c r="O576" t="b">
        <v>0</v>
      </c>
      <c r="P576" t="b">
        <v>1</v>
      </c>
      <c r="Q576">
        <v>8.6</v>
      </c>
      <c r="R576" t="b">
        <v>0</v>
      </c>
      <c r="T576">
        <v>0</v>
      </c>
      <c r="U576">
        <v>78.37</v>
      </c>
      <c r="V576" t="b">
        <v>1</v>
      </c>
      <c r="W576" t="s">
        <v>58</v>
      </c>
    </row>
    <row r="577" spans="1:23" x14ac:dyDescent="0.25">
      <c r="A577" t="s">
        <v>56</v>
      </c>
      <c r="B577" t="s">
        <v>70</v>
      </c>
      <c r="C577">
        <v>90.34</v>
      </c>
      <c r="D577">
        <v>301</v>
      </c>
      <c r="E577" t="b">
        <v>0</v>
      </c>
      <c r="F577" t="b">
        <v>1</v>
      </c>
      <c r="G577" t="b">
        <v>0</v>
      </c>
      <c r="H577" t="s">
        <v>34</v>
      </c>
      <c r="I577" t="s">
        <v>44</v>
      </c>
      <c r="J577" t="s">
        <v>45</v>
      </c>
      <c r="K577" t="s">
        <v>28</v>
      </c>
      <c r="L577" t="s">
        <v>38</v>
      </c>
      <c r="M577" t="s">
        <v>47</v>
      </c>
      <c r="N577" t="s">
        <v>28</v>
      </c>
      <c r="O577" t="b">
        <v>1</v>
      </c>
      <c r="P577" t="b">
        <v>1</v>
      </c>
      <c r="Q577">
        <v>10</v>
      </c>
      <c r="R577" t="b">
        <v>0</v>
      </c>
      <c r="T577">
        <v>0</v>
      </c>
      <c r="U577">
        <v>98.94</v>
      </c>
      <c r="V577" t="b">
        <v>1</v>
      </c>
      <c r="W577" t="s">
        <v>58</v>
      </c>
    </row>
    <row r="578" spans="1:23" x14ac:dyDescent="0.25">
      <c r="A578" t="s">
        <v>32</v>
      </c>
      <c r="B578" t="s">
        <v>70</v>
      </c>
      <c r="C578">
        <v>80.63</v>
      </c>
      <c r="D578">
        <v>639</v>
      </c>
      <c r="E578" t="b">
        <v>1</v>
      </c>
      <c r="F578" t="b">
        <v>1</v>
      </c>
      <c r="G578" t="b">
        <v>0</v>
      </c>
      <c r="H578" t="s">
        <v>34</v>
      </c>
      <c r="I578" t="s">
        <v>57</v>
      </c>
      <c r="J578" t="s">
        <v>27</v>
      </c>
      <c r="K578" t="s">
        <v>28</v>
      </c>
      <c r="L578" t="s">
        <v>29</v>
      </c>
      <c r="M578" t="s">
        <v>47</v>
      </c>
      <c r="N578" t="s">
        <v>28</v>
      </c>
      <c r="P578" t="b">
        <v>0</v>
      </c>
      <c r="Q578">
        <v>8.3000000000000007</v>
      </c>
      <c r="R578" t="b">
        <v>1</v>
      </c>
      <c r="S578" t="s">
        <v>65</v>
      </c>
      <c r="T578">
        <v>14.6</v>
      </c>
      <c r="U578">
        <v>81.36</v>
      </c>
      <c r="V578" t="b">
        <v>1</v>
      </c>
      <c r="W578" t="s">
        <v>31</v>
      </c>
    </row>
    <row r="579" spans="1:23" x14ac:dyDescent="0.25">
      <c r="A579" t="s">
        <v>74</v>
      </c>
      <c r="B579" t="s">
        <v>60</v>
      </c>
      <c r="C579">
        <v>43.78</v>
      </c>
      <c r="D579">
        <v>231</v>
      </c>
      <c r="E579" t="b">
        <v>1</v>
      </c>
      <c r="F579" t="b">
        <v>0</v>
      </c>
      <c r="G579" t="b">
        <v>0</v>
      </c>
      <c r="H579" t="s">
        <v>43</v>
      </c>
      <c r="I579" t="s">
        <v>63</v>
      </c>
      <c r="J579" t="s">
        <v>50</v>
      </c>
      <c r="K579" t="s">
        <v>39</v>
      </c>
      <c r="L579" t="s">
        <v>37</v>
      </c>
      <c r="M579" t="s">
        <v>47</v>
      </c>
      <c r="N579" t="s">
        <v>28</v>
      </c>
      <c r="O579" t="b">
        <v>1</v>
      </c>
      <c r="P579" t="b">
        <v>1</v>
      </c>
      <c r="Q579">
        <v>6.3</v>
      </c>
      <c r="R579" t="b">
        <v>1</v>
      </c>
      <c r="S579" t="s">
        <v>75</v>
      </c>
      <c r="T579">
        <v>40.299999999999997</v>
      </c>
      <c r="U579">
        <v>46.21</v>
      </c>
      <c r="V579" t="b">
        <v>1</v>
      </c>
      <c r="W579" t="s">
        <v>41</v>
      </c>
    </row>
    <row r="580" spans="1:23" x14ac:dyDescent="0.25">
      <c r="A580" t="s">
        <v>68</v>
      </c>
      <c r="B580" t="s">
        <v>62</v>
      </c>
      <c r="C580">
        <v>68.39</v>
      </c>
      <c r="D580">
        <v>749</v>
      </c>
      <c r="E580" t="b">
        <v>0</v>
      </c>
      <c r="F580" t="b">
        <v>1</v>
      </c>
      <c r="G580" t="b">
        <v>1</v>
      </c>
      <c r="H580" t="s">
        <v>25</v>
      </c>
      <c r="I580" t="s">
        <v>67</v>
      </c>
      <c r="J580" t="s">
        <v>45</v>
      </c>
      <c r="K580" t="s">
        <v>28</v>
      </c>
      <c r="L580" t="s">
        <v>51</v>
      </c>
      <c r="M580" t="s">
        <v>46</v>
      </c>
      <c r="N580" t="s">
        <v>28</v>
      </c>
      <c r="O580" t="b">
        <v>1</v>
      </c>
      <c r="P580" t="b">
        <v>1</v>
      </c>
      <c r="Q580">
        <v>8.5</v>
      </c>
      <c r="R580" t="b">
        <v>0</v>
      </c>
      <c r="T580">
        <v>0</v>
      </c>
      <c r="U580">
        <v>79.58</v>
      </c>
      <c r="V580" t="b">
        <v>1</v>
      </c>
      <c r="W580" t="s">
        <v>58</v>
      </c>
    </row>
    <row r="581" spans="1:23" x14ac:dyDescent="0.25">
      <c r="A581" t="s">
        <v>32</v>
      </c>
      <c r="B581" t="s">
        <v>33</v>
      </c>
      <c r="C581">
        <v>79.84</v>
      </c>
      <c r="D581">
        <v>539</v>
      </c>
      <c r="E581" t="b">
        <v>0</v>
      </c>
      <c r="F581" t="b">
        <v>1</v>
      </c>
      <c r="G581" t="b">
        <v>0</v>
      </c>
      <c r="H581" t="s">
        <v>53</v>
      </c>
      <c r="I581" t="s">
        <v>44</v>
      </c>
      <c r="J581" t="s">
        <v>36</v>
      </c>
      <c r="K581" t="s">
        <v>46</v>
      </c>
      <c r="L581" t="s">
        <v>69</v>
      </c>
      <c r="M581" t="s">
        <v>39</v>
      </c>
      <c r="N581" t="s">
        <v>28</v>
      </c>
      <c r="P581" t="b">
        <v>0</v>
      </c>
      <c r="Q581">
        <v>8.6</v>
      </c>
      <c r="R581" t="b">
        <v>0</v>
      </c>
      <c r="T581">
        <v>0</v>
      </c>
      <c r="U581">
        <v>72.56</v>
      </c>
      <c r="V581" t="b">
        <v>1</v>
      </c>
      <c r="W581" t="s">
        <v>58</v>
      </c>
    </row>
    <row r="582" spans="1:23" x14ac:dyDescent="0.25">
      <c r="A582" t="s">
        <v>56</v>
      </c>
      <c r="B582" t="s">
        <v>76</v>
      </c>
      <c r="C582">
        <v>77.349999999999994</v>
      </c>
      <c r="D582">
        <v>119</v>
      </c>
      <c r="E582" t="b">
        <v>0</v>
      </c>
      <c r="F582" t="b">
        <v>1</v>
      </c>
      <c r="G582" t="b">
        <v>1</v>
      </c>
      <c r="H582" t="s">
        <v>25</v>
      </c>
      <c r="I582" t="s">
        <v>44</v>
      </c>
      <c r="J582" t="s">
        <v>36</v>
      </c>
      <c r="K582" t="s">
        <v>28</v>
      </c>
      <c r="L582" t="s">
        <v>38</v>
      </c>
      <c r="M582" t="s">
        <v>46</v>
      </c>
      <c r="N582" t="s">
        <v>28</v>
      </c>
      <c r="O582" t="b">
        <v>0</v>
      </c>
      <c r="P582" t="b">
        <v>0</v>
      </c>
      <c r="Q582">
        <v>8</v>
      </c>
      <c r="R582" t="b">
        <v>1</v>
      </c>
      <c r="S582" t="s">
        <v>55</v>
      </c>
      <c r="T582">
        <v>32.1</v>
      </c>
      <c r="U582">
        <v>62.63</v>
      </c>
      <c r="V582" t="b">
        <v>1</v>
      </c>
      <c r="W582" t="s">
        <v>31</v>
      </c>
    </row>
    <row r="583" spans="1:23" x14ac:dyDescent="0.25">
      <c r="A583" t="s">
        <v>68</v>
      </c>
      <c r="B583" t="s">
        <v>33</v>
      </c>
      <c r="C583">
        <v>83.24</v>
      </c>
      <c r="D583">
        <v>380</v>
      </c>
      <c r="E583" t="b">
        <v>0</v>
      </c>
      <c r="F583" t="b">
        <v>1</v>
      </c>
      <c r="G583" t="b">
        <v>0</v>
      </c>
      <c r="H583" t="s">
        <v>25</v>
      </c>
      <c r="I583" t="s">
        <v>26</v>
      </c>
      <c r="J583" t="s">
        <v>36</v>
      </c>
      <c r="K583" t="s">
        <v>37</v>
      </c>
      <c r="L583" t="s">
        <v>69</v>
      </c>
      <c r="M583" t="s">
        <v>47</v>
      </c>
      <c r="N583" t="s">
        <v>28</v>
      </c>
      <c r="O583" t="b">
        <v>0</v>
      </c>
      <c r="P583" t="b">
        <v>0</v>
      </c>
      <c r="Q583">
        <v>5.7</v>
      </c>
      <c r="R583" t="b">
        <v>1</v>
      </c>
      <c r="S583" t="s">
        <v>48</v>
      </c>
      <c r="T583">
        <v>22.4</v>
      </c>
      <c r="U583">
        <v>79.5</v>
      </c>
      <c r="V583" t="b">
        <v>0</v>
      </c>
      <c r="W583" t="s">
        <v>41</v>
      </c>
    </row>
    <row r="584" spans="1:23" x14ac:dyDescent="0.25">
      <c r="A584" t="s">
        <v>56</v>
      </c>
      <c r="B584" t="s">
        <v>60</v>
      </c>
      <c r="C584">
        <v>47.15</v>
      </c>
      <c r="D584">
        <v>128</v>
      </c>
      <c r="E584" t="b">
        <v>1</v>
      </c>
      <c r="F584" t="b">
        <v>0</v>
      </c>
      <c r="G584" t="b">
        <v>0</v>
      </c>
      <c r="H584" t="s">
        <v>34</v>
      </c>
      <c r="I584" t="s">
        <v>44</v>
      </c>
      <c r="J584" t="s">
        <v>50</v>
      </c>
      <c r="K584" t="s">
        <v>46</v>
      </c>
      <c r="L584" t="s">
        <v>51</v>
      </c>
      <c r="M584" t="s">
        <v>39</v>
      </c>
      <c r="N584" t="s">
        <v>39</v>
      </c>
      <c r="P584" t="b">
        <v>1</v>
      </c>
      <c r="Q584">
        <v>5.7</v>
      </c>
      <c r="R584" t="b">
        <v>1</v>
      </c>
      <c r="S584" t="s">
        <v>40</v>
      </c>
      <c r="T584">
        <v>18.2</v>
      </c>
      <c r="U584">
        <v>56.05</v>
      </c>
      <c r="V584" t="b">
        <v>1</v>
      </c>
      <c r="W584" t="s">
        <v>41</v>
      </c>
    </row>
    <row r="585" spans="1:23" x14ac:dyDescent="0.25">
      <c r="A585" t="s">
        <v>61</v>
      </c>
      <c r="B585" t="s">
        <v>71</v>
      </c>
      <c r="C585">
        <v>57.76</v>
      </c>
      <c r="D585">
        <v>435</v>
      </c>
      <c r="E585" t="b">
        <v>0</v>
      </c>
      <c r="F585" t="b">
        <v>0</v>
      </c>
      <c r="G585" t="b">
        <v>1</v>
      </c>
      <c r="H585" t="s">
        <v>43</v>
      </c>
      <c r="I585" t="s">
        <v>35</v>
      </c>
      <c r="J585" t="s">
        <v>45</v>
      </c>
      <c r="K585" t="s">
        <v>37</v>
      </c>
      <c r="L585" t="s">
        <v>29</v>
      </c>
      <c r="M585" t="s">
        <v>46</v>
      </c>
      <c r="N585" t="s">
        <v>39</v>
      </c>
      <c r="O585" t="b">
        <v>1</v>
      </c>
      <c r="P585" t="b">
        <v>1</v>
      </c>
      <c r="Q585">
        <v>7.5</v>
      </c>
      <c r="R585" t="b">
        <v>0</v>
      </c>
      <c r="T585">
        <v>0</v>
      </c>
      <c r="U585">
        <v>56.14</v>
      </c>
      <c r="V585" t="b">
        <v>1</v>
      </c>
      <c r="W585" t="s">
        <v>31</v>
      </c>
    </row>
    <row r="586" spans="1:23" x14ac:dyDescent="0.25">
      <c r="A586" t="s">
        <v>68</v>
      </c>
      <c r="B586" t="s">
        <v>62</v>
      </c>
      <c r="C586">
        <v>74.84</v>
      </c>
      <c r="D586">
        <v>301</v>
      </c>
      <c r="E586" t="b">
        <v>0</v>
      </c>
      <c r="F586" t="b">
        <v>1</v>
      </c>
      <c r="G586" t="b">
        <v>1</v>
      </c>
      <c r="H586" t="s">
        <v>25</v>
      </c>
      <c r="I586" t="s">
        <v>35</v>
      </c>
      <c r="J586" t="s">
        <v>45</v>
      </c>
      <c r="K586" t="s">
        <v>28</v>
      </c>
      <c r="L586" t="s">
        <v>29</v>
      </c>
      <c r="M586" t="s">
        <v>39</v>
      </c>
      <c r="N586" t="s">
        <v>46</v>
      </c>
      <c r="O586" t="b">
        <v>0</v>
      </c>
      <c r="P586" t="b">
        <v>1</v>
      </c>
      <c r="Q586">
        <v>5.6</v>
      </c>
      <c r="R586" t="b">
        <v>1</v>
      </c>
      <c r="S586" t="s">
        <v>40</v>
      </c>
      <c r="T586">
        <v>17.7</v>
      </c>
      <c r="U586">
        <v>71.53</v>
      </c>
      <c r="V586" t="b">
        <v>1</v>
      </c>
      <c r="W586" t="s">
        <v>41</v>
      </c>
    </row>
    <row r="587" spans="1:23" x14ac:dyDescent="0.25">
      <c r="A587" t="s">
        <v>61</v>
      </c>
      <c r="B587" t="s">
        <v>70</v>
      </c>
      <c r="C587">
        <v>88.1</v>
      </c>
      <c r="D587">
        <v>135</v>
      </c>
      <c r="E587" t="b">
        <v>1</v>
      </c>
      <c r="F587" t="b">
        <v>1</v>
      </c>
      <c r="G587" t="b">
        <v>0</v>
      </c>
      <c r="H587" t="s">
        <v>34</v>
      </c>
      <c r="I587" t="s">
        <v>67</v>
      </c>
      <c r="J587" t="s">
        <v>27</v>
      </c>
      <c r="K587" t="s">
        <v>37</v>
      </c>
      <c r="L587" t="s">
        <v>38</v>
      </c>
      <c r="M587" t="s">
        <v>39</v>
      </c>
      <c r="O587" t="b">
        <v>1</v>
      </c>
      <c r="P587" t="b">
        <v>1</v>
      </c>
      <c r="Q587">
        <v>10</v>
      </c>
      <c r="R587" t="b">
        <v>0</v>
      </c>
      <c r="T587">
        <v>0</v>
      </c>
      <c r="U587">
        <v>97.81</v>
      </c>
      <c r="V587" t="b">
        <v>1</v>
      </c>
      <c r="W587" t="s">
        <v>58</v>
      </c>
    </row>
    <row r="588" spans="1:23" x14ac:dyDescent="0.25">
      <c r="A588" t="s">
        <v>68</v>
      </c>
      <c r="B588" t="s">
        <v>24</v>
      </c>
      <c r="C588">
        <v>92.99</v>
      </c>
      <c r="D588">
        <v>394</v>
      </c>
      <c r="E588" t="b">
        <v>0</v>
      </c>
      <c r="F588" t="b">
        <v>0</v>
      </c>
      <c r="G588" t="b">
        <v>0</v>
      </c>
      <c r="H588" t="s">
        <v>53</v>
      </c>
      <c r="I588" t="s">
        <v>26</v>
      </c>
      <c r="J588" t="s">
        <v>54</v>
      </c>
      <c r="K588" t="s">
        <v>37</v>
      </c>
      <c r="L588" t="s">
        <v>29</v>
      </c>
      <c r="M588" t="s">
        <v>46</v>
      </c>
      <c r="O588" t="b">
        <v>0</v>
      </c>
      <c r="P588" t="b">
        <v>1</v>
      </c>
      <c r="Q588">
        <v>8.6999999999999993</v>
      </c>
      <c r="R588" t="b">
        <v>1</v>
      </c>
      <c r="S588" t="s">
        <v>65</v>
      </c>
      <c r="T588">
        <v>13.8</v>
      </c>
      <c r="U588">
        <v>95.21</v>
      </c>
      <c r="V588" t="b">
        <v>1</v>
      </c>
      <c r="W588" t="s">
        <v>31</v>
      </c>
    </row>
    <row r="589" spans="1:23" x14ac:dyDescent="0.25">
      <c r="A589" t="s">
        <v>74</v>
      </c>
      <c r="B589" t="s">
        <v>62</v>
      </c>
      <c r="C589">
        <v>68.319999999999993</v>
      </c>
      <c r="D589">
        <v>641</v>
      </c>
      <c r="E589" t="b">
        <v>1</v>
      </c>
      <c r="F589" t="b">
        <v>1</v>
      </c>
      <c r="G589" t="b">
        <v>0</v>
      </c>
      <c r="H589" t="s">
        <v>25</v>
      </c>
      <c r="I589" t="s">
        <v>57</v>
      </c>
      <c r="J589" t="s">
        <v>54</v>
      </c>
      <c r="K589" t="s">
        <v>39</v>
      </c>
      <c r="L589" t="s">
        <v>37</v>
      </c>
      <c r="M589" t="s">
        <v>39</v>
      </c>
      <c r="N589" t="s">
        <v>39</v>
      </c>
      <c r="P589" t="b">
        <v>1</v>
      </c>
      <c r="Q589">
        <v>6.8</v>
      </c>
      <c r="R589" t="b">
        <v>1</v>
      </c>
      <c r="S589" t="s">
        <v>65</v>
      </c>
      <c r="T589">
        <v>22.9</v>
      </c>
      <c r="U589">
        <v>71.34</v>
      </c>
      <c r="V589" t="b">
        <v>1</v>
      </c>
      <c r="W589" t="s">
        <v>41</v>
      </c>
    </row>
    <row r="590" spans="1:23" x14ac:dyDescent="0.25">
      <c r="A590" t="s">
        <v>23</v>
      </c>
      <c r="B590" t="s">
        <v>59</v>
      </c>
      <c r="C590">
        <v>82.97</v>
      </c>
      <c r="D590">
        <v>235</v>
      </c>
      <c r="E590" t="b">
        <v>1</v>
      </c>
      <c r="F590" t="b">
        <v>0</v>
      </c>
      <c r="G590" t="b">
        <v>1</v>
      </c>
      <c r="H590" t="s">
        <v>53</v>
      </c>
      <c r="I590" t="s">
        <v>67</v>
      </c>
      <c r="J590" t="s">
        <v>27</v>
      </c>
      <c r="K590" t="s">
        <v>37</v>
      </c>
      <c r="L590" t="s">
        <v>69</v>
      </c>
      <c r="M590" t="s">
        <v>28</v>
      </c>
      <c r="N590" t="s">
        <v>46</v>
      </c>
      <c r="O590" t="b">
        <v>0</v>
      </c>
      <c r="P590" t="b">
        <v>1</v>
      </c>
      <c r="Q590">
        <v>9.6999999999999993</v>
      </c>
      <c r="R590" t="b">
        <v>1</v>
      </c>
      <c r="S590" t="s">
        <v>30</v>
      </c>
      <c r="T590">
        <v>16.600000000000001</v>
      </c>
      <c r="U590">
        <v>77.31</v>
      </c>
      <c r="V590" t="b">
        <v>1</v>
      </c>
      <c r="W590" t="s">
        <v>31</v>
      </c>
    </row>
    <row r="591" spans="1:23" x14ac:dyDescent="0.25">
      <c r="A591" t="s">
        <v>56</v>
      </c>
      <c r="B591" t="s">
        <v>71</v>
      </c>
      <c r="C591">
        <v>54.6</v>
      </c>
      <c r="D591">
        <v>763</v>
      </c>
      <c r="E591" t="b">
        <v>1</v>
      </c>
      <c r="F591" t="b">
        <v>1</v>
      </c>
      <c r="G591" t="b">
        <v>0</v>
      </c>
      <c r="H591" t="s">
        <v>53</v>
      </c>
      <c r="I591" t="s">
        <v>44</v>
      </c>
      <c r="J591" t="s">
        <v>27</v>
      </c>
      <c r="K591" t="s">
        <v>28</v>
      </c>
      <c r="L591" t="s">
        <v>37</v>
      </c>
      <c r="M591" t="s">
        <v>46</v>
      </c>
      <c r="N591" t="s">
        <v>46</v>
      </c>
      <c r="O591" t="b">
        <v>0</v>
      </c>
      <c r="P591" t="b">
        <v>0</v>
      </c>
      <c r="Q591">
        <v>6.1</v>
      </c>
      <c r="R591" t="b">
        <v>0</v>
      </c>
      <c r="T591">
        <v>0</v>
      </c>
      <c r="U591">
        <v>42.94</v>
      </c>
      <c r="V591" t="b">
        <v>1</v>
      </c>
      <c r="W591" t="s">
        <v>31</v>
      </c>
    </row>
    <row r="592" spans="1:23" x14ac:dyDescent="0.25">
      <c r="A592" t="s">
        <v>23</v>
      </c>
      <c r="B592" t="s">
        <v>60</v>
      </c>
      <c r="C592">
        <v>60.6</v>
      </c>
      <c r="D592">
        <v>728</v>
      </c>
      <c r="E592" t="b">
        <v>0</v>
      </c>
      <c r="F592" t="b">
        <v>0</v>
      </c>
      <c r="G592" t="b">
        <v>1</v>
      </c>
      <c r="H592" t="s">
        <v>25</v>
      </c>
      <c r="I592" t="s">
        <v>57</v>
      </c>
      <c r="J592" t="s">
        <v>45</v>
      </c>
      <c r="K592" t="s">
        <v>46</v>
      </c>
      <c r="L592" t="s">
        <v>69</v>
      </c>
      <c r="M592" t="s">
        <v>46</v>
      </c>
      <c r="P592" t="b">
        <v>1</v>
      </c>
      <c r="Q592">
        <v>7.8</v>
      </c>
      <c r="R592" t="b">
        <v>0</v>
      </c>
      <c r="T592">
        <v>0</v>
      </c>
      <c r="U592">
        <v>53.07</v>
      </c>
      <c r="V592" t="b">
        <v>0</v>
      </c>
      <c r="W592" t="s">
        <v>31</v>
      </c>
    </row>
    <row r="593" spans="1:23" x14ac:dyDescent="0.25">
      <c r="A593" t="s">
        <v>61</v>
      </c>
      <c r="B593" t="s">
        <v>24</v>
      </c>
      <c r="C593">
        <v>94.7</v>
      </c>
      <c r="D593">
        <v>154</v>
      </c>
      <c r="E593" t="b">
        <v>0</v>
      </c>
      <c r="F593" t="b">
        <v>1</v>
      </c>
      <c r="G593" t="b">
        <v>0</v>
      </c>
      <c r="H593" t="s">
        <v>25</v>
      </c>
      <c r="I593" t="s">
        <v>67</v>
      </c>
      <c r="J593" t="s">
        <v>36</v>
      </c>
      <c r="K593" t="s">
        <v>46</v>
      </c>
      <c r="L593" t="s">
        <v>51</v>
      </c>
      <c r="M593" t="s">
        <v>39</v>
      </c>
      <c r="N593" t="s">
        <v>39</v>
      </c>
      <c r="P593" t="b">
        <v>0</v>
      </c>
      <c r="Q593">
        <v>9.1999999999999993</v>
      </c>
      <c r="R593" t="b">
        <v>1</v>
      </c>
      <c r="S593" t="s">
        <v>40</v>
      </c>
      <c r="T593">
        <v>3.4</v>
      </c>
      <c r="U593">
        <v>99.72</v>
      </c>
      <c r="V593" t="b">
        <v>1</v>
      </c>
      <c r="W593" t="s">
        <v>31</v>
      </c>
    </row>
    <row r="594" spans="1:23" x14ac:dyDescent="0.25">
      <c r="A594" t="s">
        <v>23</v>
      </c>
      <c r="B594" t="s">
        <v>42</v>
      </c>
      <c r="C594">
        <v>70.55</v>
      </c>
      <c r="D594">
        <v>719</v>
      </c>
      <c r="E594" t="b">
        <v>1</v>
      </c>
      <c r="F594" t="b">
        <v>1</v>
      </c>
      <c r="G594" t="b">
        <v>1</v>
      </c>
      <c r="H594" t="s">
        <v>43</v>
      </c>
      <c r="I594" t="s">
        <v>67</v>
      </c>
      <c r="J594" t="s">
        <v>54</v>
      </c>
      <c r="K594" t="s">
        <v>46</v>
      </c>
      <c r="L594" t="s">
        <v>69</v>
      </c>
      <c r="M594" t="s">
        <v>47</v>
      </c>
      <c r="N594" t="s">
        <v>46</v>
      </c>
      <c r="O594" t="b">
        <v>1</v>
      </c>
      <c r="P594" t="b">
        <v>0</v>
      </c>
      <c r="Q594">
        <v>10</v>
      </c>
      <c r="R594" t="b">
        <v>0</v>
      </c>
      <c r="T594">
        <v>0</v>
      </c>
      <c r="U594">
        <v>73.17</v>
      </c>
      <c r="V594" t="b">
        <v>0</v>
      </c>
      <c r="W594" t="s">
        <v>58</v>
      </c>
    </row>
    <row r="595" spans="1:23" x14ac:dyDescent="0.25">
      <c r="A595" t="s">
        <v>68</v>
      </c>
      <c r="B595" t="s">
        <v>66</v>
      </c>
      <c r="C595">
        <v>75.349999999999994</v>
      </c>
      <c r="D595">
        <v>451</v>
      </c>
      <c r="E595" t="b">
        <v>1</v>
      </c>
      <c r="F595" t="b">
        <v>1</v>
      </c>
      <c r="G595" t="b">
        <v>1</v>
      </c>
      <c r="H595" t="s">
        <v>25</v>
      </c>
      <c r="I595" t="s">
        <v>26</v>
      </c>
      <c r="J595" t="s">
        <v>45</v>
      </c>
      <c r="K595" t="s">
        <v>39</v>
      </c>
      <c r="L595" t="s">
        <v>51</v>
      </c>
      <c r="M595" t="s">
        <v>39</v>
      </c>
      <c r="O595" t="b">
        <v>0</v>
      </c>
      <c r="P595" t="b">
        <v>0</v>
      </c>
      <c r="Q595">
        <v>6.3</v>
      </c>
      <c r="R595" t="b">
        <v>1</v>
      </c>
      <c r="S595" t="s">
        <v>55</v>
      </c>
      <c r="T595">
        <v>20.6</v>
      </c>
      <c r="U595">
        <v>64.33</v>
      </c>
      <c r="V595" t="b">
        <v>1</v>
      </c>
      <c r="W595" t="s">
        <v>41</v>
      </c>
    </row>
    <row r="596" spans="1:23" x14ac:dyDescent="0.25">
      <c r="A596" t="s">
        <v>32</v>
      </c>
      <c r="B596" t="s">
        <v>42</v>
      </c>
      <c r="C596">
        <v>71.709999999999994</v>
      </c>
      <c r="D596">
        <v>683</v>
      </c>
      <c r="E596" t="b">
        <v>0</v>
      </c>
      <c r="F596" t="b">
        <v>1</v>
      </c>
      <c r="G596" t="b">
        <v>1</v>
      </c>
      <c r="H596" t="s">
        <v>34</v>
      </c>
      <c r="I596" t="s">
        <v>67</v>
      </c>
      <c r="J596" t="s">
        <v>50</v>
      </c>
      <c r="K596" t="s">
        <v>37</v>
      </c>
      <c r="L596" t="s">
        <v>37</v>
      </c>
      <c r="M596" t="s">
        <v>46</v>
      </c>
      <c r="N596" t="s">
        <v>28</v>
      </c>
      <c r="P596" t="b">
        <v>0</v>
      </c>
      <c r="Q596">
        <v>6.8</v>
      </c>
      <c r="R596" t="b">
        <v>0</v>
      </c>
      <c r="T596">
        <v>0</v>
      </c>
      <c r="U596">
        <v>81.83</v>
      </c>
      <c r="V596" t="b">
        <v>1</v>
      </c>
      <c r="W596" t="s">
        <v>31</v>
      </c>
    </row>
    <row r="597" spans="1:23" x14ac:dyDescent="0.25">
      <c r="A597" t="s">
        <v>61</v>
      </c>
      <c r="B597" t="s">
        <v>76</v>
      </c>
      <c r="C597">
        <v>70.86</v>
      </c>
      <c r="D597">
        <v>581</v>
      </c>
      <c r="E597" t="b">
        <v>0</v>
      </c>
      <c r="F597" t="b">
        <v>1</v>
      </c>
      <c r="G597" t="b">
        <v>0</v>
      </c>
      <c r="H597" t="s">
        <v>43</v>
      </c>
      <c r="I597" t="s">
        <v>35</v>
      </c>
      <c r="J597" t="s">
        <v>36</v>
      </c>
      <c r="K597" t="s">
        <v>28</v>
      </c>
      <c r="L597" t="s">
        <v>51</v>
      </c>
      <c r="M597" t="s">
        <v>28</v>
      </c>
      <c r="N597" t="s">
        <v>46</v>
      </c>
      <c r="O597" t="b">
        <v>0</v>
      </c>
      <c r="P597" t="b">
        <v>1</v>
      </c>
      <c r="Q597">
        <v>6.4</v>
      </c>
      <c r="R597" t="b">
        <v>1</v>
      </c>
      <c r="S597" t="s">
        <v>52</v>
      </c>
      <c r="T597">
        <v>11.2</v>
      </c>
      <c r="U597">
        <v>72.540000000000006</v>
      </c>
      <c r="V597" t="b">
        <v>1</v>
      </c>
      <c r="W597" t="s">
        <v>41</v>
      </c>
    </row>
    <row r="598" spans="1:23" x14ac:dyDescent="0.25">
      <c r="A598" t="s">
        <v>32</v>
      </c>
      <c r="B598" t="s">
        <v>24</v>
      </c>
      <c r="C598">
        <v>90.19</v>
      </c>
      <c r="D598">
        <v>624</v>
      </c>
      <c r="E598" t="b">
        <v>0</v>
      </c>
      <c r="F598" t="b">
        <v>1</v>
      </c>
      <c r="G598" t="b">
        <v>1</v>
      </c>
      <c r="H598" t="s">
        <v>43</v>
      </c>
      <c r="I598" t="s">
        <v>26</v>
      </c>
      <c r="J598" t="s">
        <v>50</v>
      </c>
      <c r="K598" t="s">
        <v>28</v>
      </c>
      <c r="L598" t="s">
        <v>37</v>
      </c>
      <c r="M598" t="s">
        <v>46</v>
      </c>
      <c r="N598" t="s">
        <v>28</v>
      </c>
      <c r="P598" t="b">
        <v>0</v>
      </c>
      <c r="Q598">
        <v>9</v>
      </c>
      <c r="R598" t="b">
        <v>1</v>
      </c>
      <c r="S598" t="s">
        <v>40</v>
      </c>
      <c r="T598">
        <v>20.3</v>
      </c>
      <c r="U598">
        <v>96.9</v>
      </c>
      <c r="V598" t="b">
        <v>1</v>
      </c>
      <c r="W598" t="s">
        <v>31</v>
      </c>
    </row>
    <row r="599" spans="1:23" x14ac:dyDescent="0.25">
      <c r="A599" t="s">
        <v>61</v>
      </c>
      <c r="B599" t="s">
        <v>33</v>
      </c>
      <c r="C599">
        <v>77.430000000000007</v>
      </c>
      <c r="D599">
        <v>734</v>
      </c>
      <c r="E599" t="b">
        <v>1</v>
      </c>
      <c r="F599" t="b">
        <v>1</v>
      </c>
      <c r="G599" t="b">
        <v>1</v>
      </c>
      <c r="H599" t="s">
        <v>53</v>
      </c>
      <c r="I599" t="s">
        <v>26</v>
      </c>
      <c r="J599" t="s">
        <v>54</v>
      </c>
      <c r="K599" t="s">
        <v>39</v>
      </c>
      <c r="L599" t="s">
        <v>29</v>
      </c>
      <c r="M599" t="s">
        <v>39</v>
      </c>
      <c r="P599" t="b">
        <v>1</v>
      </c>
      <c r="Q599">
        <v>7.8</v>
      </c>
      <c r="R599" t="b">
        <v>1</v>
      </c>
      <c r="S599" t="s">
        <v>48</v>
      </c>
      <c r="T599">
        <v>2.5</v>
      </c>
      <c r="U599">
        <v>91.09</v>
      </c>
      <c r="V599" t="b">
        <v>1</v>
      </c>
      <c r="W599" t="s">
        <v>41</v>
      </c>
    </row>
    <row r="600" spans="1:23" x14ac:dyDescent="0.25">
      <c r="A600" t="s">
        <v>74</v>
      </c>
      <c r="B600" t="s">
        <v>33</v>
      </c>
      <c r="C600">
        <v>85.73</v>
      </c>
      <c r="D600">
        <v>278</v>
      </c>
      <c r="E600" t="b">
        <v>1</v>
      </c>
      <c r="F600" t="b">
        <v>1</v>
      </c>
      <c r="G600" t="b">
        <v>1</v>
      </c>
      <c r="H600" t="s">
        <v>53</v>
      </c>
      <c r="I600" t="s">
        <v>26</v>
      </c>
      <c r="J600" t="s">
        <v>36</v>
      </c>
      <c r="K600" t="s">
        <v>39</v>
      </c>
      <c r="L600" t="s">
        <v>69</v>
      </c>
      <c r="M600" t="s">
        <v>47</v>
      </c>
      <c r="O600" t="b">
        <v>0</v>
      </c>
      <c r="P600" t="b">
        <v>0</v>
      </c>
      <c r="Q600">
        <v>7.1</v>
      </c>
      <c r="R600" t="b">
        <v>1</v>
      </c>
      <c r="S600" t="s">
        <v>48</v>
      </c>
      <c r="T600">
        <v>33.299999999999997</v>
      </c>
      <c r="U600">
        <v>86.39</v>
      </c>
      <c r="V600" t="b">
        <v>1</v>
      </c>
      <c r="W600" t="s">
        <v>41</v>
      </c>
    </row>
    <row r="601" spans="1:23" x14ac:dyDescent="0.25">
      <c r="A601" t="s">
        <v>68</v>
      </c>
      <c r="B601" t="s">
        <v>33</v>
      </c>
      <c r="C601">
        <v>89.89</v>
      </c>
      <c r="D601">
        <v>292</v>
      </c>
      <c r="E601" t="b">
        <v>1</v>
      </c>
      <c r="F601" t="b">
        <v>1</v>
      </c>
      <c r="G601" t="b">
        <v>1</v>
      </c>
      <c r="H601" t="s">
        <v>25</v>
      </c>
      <c r="I601" t="s">
        <v>57</v>
      </c>
      <c r="J601" t="s">
        <v>50</v>
      </c>
      <c r="K601" t="s">
        <v>46</v>
      </c>
      <c r="L601" t="s">
        <v>69</v>
      </c>
      <c r="M601" t="s">
        <v>47</v>
      </c>
      <c r="N601" t="s">
        <v>28</v>
      </c>
      <c r="O601" t="b">
        <v>0</v>
      </c>
      <c r="P601" t="b">
        <v>1</v>
      </c>
      <c r="Q601">
        <v>8.3000000000000007</v>
      </c>
      <c r="R601" t="b">
        <v>1</v>
      </c>
      <c r="S601" t="s">
        <v>75</v>
      </c>
      <c r="T601">
        <v>6.1</v>
      </c>
      <c r="U601">
        <v>87.71</v>
      </c>
      <c r="V601" t="b">
        <v>1</v>
      </c>
      <c r="W601" t="s">
        <v>31</v>
      </c>
    </row>
    <row r="602" spans="1:23" x14ac:dyDescent="0.25">
      <c r="A602" t="s">
        <v>23</v>
      </c>
      <c r="B602" t="s">
        <v>76</v>
      </c>
      <c r="C602">
        <v>82.32</v>
      </c>
      <c r="D602">
        <v>268</v>
      </c>
      <c r="E602" t="b">
        <v>0</v>
      </c>
      <c r="F602" t="b">
        <v>0</v>
      </c>
      <c r="G602" t="b">
        <v>1</v>
      </c>
      <c r="H602" t="s">
        <v>34</v>
      </c>
      <c r="I602" t="s">
        <v>35</v>
      </c>
      <c r="J602" t="s">
        <v>27</v>
      </c>
      <c r="K602" t="s">
        <v>37</v>
      </c>
      <c r="L602" t="s">
        <v>29</v>
      </c>
      <c r="M602" t="s">
        <v>39</v>
      </c>
      <c r="N602" t="s">
        <v>28</v>
      </c>
      <c r="P602" t="b">
        <v>0</v>
      </c>
      <c r="Q602">
        <v>7.7</v>
      </c>
      <c r="R602" t="b">
        <v>1</v>
      </c>
      <c r="S602" t="s">
        <v>55</v>
      </c>
      <c r="T602">
        <v>44.5</v>
      </c>
      <c r="U602">
        <v>90.16</v>
      </c>
      <c r="V602" t="b">
        <v>1</v>
      </c>
      <c r="W602" t="s">
        <v>41</v>
      </c>
    </row>
    <row r="603" spans="1:23" x14ac:dyDescent="0.25">
      <c r="A603" t="s">
        <v>56</v>
      </c>
      <c r="B603" t="s">
        <v>59</v>
      </c>
      <c r="C603">
        <v>94.61</v>
      </c>
      <c r="D603">
        <v>310</v>
      </c>
      <c r="E603" t="b">
        <v>0</v>
      </c>
      <c r="F603" t="b">
        <v>0</v>
      </c>
      <c r="G603" t="b">
        <v>0</v>
      </c>
      <c r="H603" t="s">
        <v>53</v>
      </c>
      <c r="I603" t="s">
        <v>35</v>
      </c>
      <c r="J603" t="s">
        <v>50</v>
      </c>
      <c r="K603" t="s">
        <v>37</v>
      </c>
      <c r="L603" t="s">
        <v>69</v>
      </c>
      <c r="M603" t="s">
        <v>39</v>
      </c>
      <c r="N603" t="s">
        <v>28</v>
      </c>
      <c r="O603" t="b">
        <v>1</v>
      </c>
      <c r="P603" t="b">
        <v>1</v>
      </c>
      <c r="Q603">
        <v>10</v>
      </c>
      <c r="R603" t="b">
        <v>1</v>
      </c>
      <c r="S603" t="s">
        <v>64</v>
      </c>
      <c r="T603">
        <v>4.9000000000000004</v>
      </c>
      <c r="U603">
        <v>80.12</v>
      </c>
      <c r="V603" t="b">
        <v>1</v>
      </c>
      <c r="W603" t="s">
        <v>31</v>
      </c>
    </row>
    <row r="604" spans="1:23" x14ac:dyDescent="0.25">
      <c r="A604" t="s">
        <v>32</v>
      </c>
      <c r="B604" t="s">
        <v>49</v>
      </c>
      <c r="C604">
        <v>61.32</v>
      </c>
      <c r="D604">
        <v>142</v>
      </c>
      <c r="E604" t="b">
        <v>0</v>
      </c>
      <c r="F604" t="b">
        <v>1</v>
      </c>
      <c r="G604" t="b">
        <v>0</v>
      </c>
      <c r="H604" t="s">
        <v>34</v>
      </c>
      <c r="I604" t="s">
        <v>35</v>
      </c>
      <c r="J604" t="s">
        <v>45</v>
      </c>
      <c r="K604" t="s">
        <v>37</v>
      </c>
      <c r="L604" t="s">
        <v>37</v>
      </c>
      <c r="M604" t="s">
        <v>28</v>
      </c>
      <c r="N604" t="s">
        <v>28</v>
      </c>
      <c r="O604" t="b">
        <v>1</v>
      </c>
      <c r="P604" t="b">
        <v>0</v>
      </c>
      <c r="Q604">
        <v>7.6</v>
      </c>
      <c r="R604" t="b">
        <v>1</v>
      </c>
      <c r="S604" t="s">
        <v>55</v>
      </c>
      <c r="T604">
        <v>14</v>
      </c>
      <c r="U604">
        <v>73.94</v>
      </c>
      <c r="V604" t="b">
        <v>1</v>
      </c>
      <c r="W604" t="s">
        <v>41</v>
      </c>
    </row>
    <row r="605" spans="1:23" x14ac:dyDescent="0.25">
      <c r="A605" t="s">
        <v>68</v>
      </c>
      <c r="B605" t="s">
        <v>59</v>
      </c>
      <c r="C605">
        <v>89.36</v>
      </c>
      <c r="D605">
        <v>341</v>
      </c>
      <c r="E605" t="b">
        <v>1</v>
      </c>
      <c r="F605" t="b">
        <v>0</v>
      </c>
      <c r="G605" t="b">
        <v>0</v>
      </c>
      <c r="H605" t="s">
        <v>34</v>
      </c>
      <c r="I605" t="s">
        <v>63</v>
      </c>
      <c r="J605" t="s">
        <v>45</v>
      </c>
      <c r="K605" t="s">
        <v>37</v>
      </c>
      <c r="L605" t="s">
        <v>69</v>
      </c>
      <c r="M605" t="s">
        <v>46</v>
      </c>
      <c r="N605" t="s">
        <v>28</v>
      </c>
      <c r="O605" t="b">
        <v>0</v>
      </c>
      <c r="P605" t="b">
        <v>0</v>
      </c>
      <c r="Q605">
        <v>9.6</v>
      </c>
      <c r="R605" t="b">
        <v>0</v>
      </c>
      <c r="T605">
        <v>0</v>
      </c>
      <c r="U605">
        <v>100</v>
      </c>
      <c r="V605" t="b">
        <v>1</v>
      </c>
      <c r="W605" t="s">
        <v>58</v>
      </c>
    </row>
    <row r="606" spans="1:23" x14ac:dyDescent="0.25">
      <c r="A606" t="s">
        <v>32</v>
      </c>
      <c r="B606" t="s">
        <v>71</v>
      </c>
      <c r="C606">
        <v>55.87</v>
      </c>
      <c r="D606">
        <v>728</v>
      </c>
      <c r="E606" t="b">
        <v>0</v>
      </c>
      <c r="F606" t="b">
        <v>1</v>
      </c>
      <c r="G606" t="b">
        <v>0</v>
      </c>
      <c r="H606" t="s">
        <v>43</v>
      </c>
      <c r="I606" t="s">
        <v>67</v>
      </c>
      <c r="J606" t="s">
        <v>45</v>
      </c>
      <c r="K606" t="s">
        <v>39</v>
      </c>
      <c r="L606" t="s">
        <v>38</v>
      </c>
      <c r="M606" t="s">
        <v>28</v>
      </c>
      <c r="N606" t="s">
        <v>39</v>
      </c>
      <c r="O606" t="b">
        <v>0</v>
      </c>
      <c r="P606" t="b">
        <v>1</v>
      </c>
      <c r="Q606">
        <v>5.5</v>
      </c>
      <c r="R606" t="b">
        <v>0</v>
      </c>
      <c r="T606">
        <v>0</v>
      </c>
      <c r="U606">
        <v>49.36</v>
      </c>
      <c r="V606" t="b">
        <v>1</v>
      </c>
      <c r="W606" t="s">
        <v>41</v>
      </c>
    </row>
    <row r="607" spans="1:23" x14ac:dyDescent="0.25">
      <c r="A607" t="s">
        <v>61</v>
      </c>
      <c r="B607" t="s">
        <v>24</v>
      </c>
      <c r="C607">
        <v>90.42</v>
      </c>
      <c r="D607">
        <v>642</v>
      </c>
      <c r="E607" t="b">
        <v>0</v>
      </c>
      <c r="F607" t="b">
        <v>1</v>
      </c>
      <c r="G607" t="b">
        <v>0</v>
      </c>
      <c r="H607" t="s">
        <v>43</v>
      </c>
      <c r="I607" t="s">
        <v>44</v>
      </c>
      <c r="J607" t="s">
        <v>36</v>
      </c>
      <c r="K607" t="s">
        <v>28</v>
      </c>
      <c r="L607" t="s">
        <v>51</v>
      </c>
      <c r="M607" t="s">
        <v>28</v>
      </c>
      <c r="N607" t="s">
        <v>46</v>
      </c>
      <c r="P607" t="b">
        <v>0</v>
      </c>
      <c r="Q607">
        <v>9.8000000000000007</v>
      </c>
      <c r="R607" t="b">
        <v>1</v>
      </c>
      <c r="S607" t="s">
        <v>40</v>
      </c>
      <c r="T607">
        <v>21.5</v>
      </c>
      <c r="U607">
        <v>82.06</v>
      </c>
      <c r="V607" t="b">
        <v>1</v>
      </c>
      <c r="W607" t="s">
        <v>31</v>
      </c>
    </row>
    <row r="608" spans="1:23" x14ac:dyDescent="0.25">
      <c r="A608" t="s">
        <v>68</v>
      </c>
      <c r="B608" t="s">
        <v>33</v>
      </c>
      <c r="C608">
        <v>86.18</v>
      </c>
      <c r="D608">
        <v>468</v>
      </c>
      <c r="E608" t="b">
        <v>0</v>
      </c>
      <c r="F608" t="b">
        <v>0</v>
      </c>
      <c r="G608" t="b">
        <v>1</v>
      </c>
      <c r="H608" t="s">
        <v>34</v>
      </c>
      <c r="I608" t="s">
        <v>35</v>
      </c>
      <c r="J608" t="s">
        <v>45</v>
      </c>
      <c r="K608" t="s">
        <v>28</v>
      </c>
      <c r="L608" t="s">
        <v>51</v>
      </c>
      <c r="M608" t="s">
        <v>47</v>
      </c>
      <c r="N608" t="s">
        <v>28</v>
      </c>
      <c r="P608" t="b">
        <v>0</v>
      </c>
      <c r="Q608">
        <v>8.5</v>
      </c>
      <c r="R608" t="b">
        <v>1</v>
      </c>
      <c r="S608" t="s">
        <v>55</v>
      </c>
      <c r="T608">
        <v>31.9</v>
      </c>
      <c r="U608">
        <v>97.51</v>
      </c>
      <c r="V608" t="b">
        <v>1</v>
      </c>
      <c r="W608" t="s">
        <v>31</v>
      </c>
    </row>
    <row r="609" spans="1:23" x14ac:dyDescent="0.25">
      <c r="A609" t="s">
        <v>32</v>
      </c>
      <c r="B609" t="s">
        <v>71</v>
      </c>
      <c r="C609">
        <v>44.19</v>
      </c>
      <c r="D609">
        <v>192</v>
      </c>
      <c r="E609" t="b">
        <v>0</v>
      </c>
      <c r="F609" t="b">
        <v>0</v>
      </c>
      <c r="G609" t="b">
        <v>1</v>
      </c>
      <c r="H609" t="s">
        <v>25</v>
      </c>
      <c r="I609" t="s">
        <v>26</v>
      </c>
      <c r="J609" t="s">
        <v>54</v>
      </c>
      <c r="K609" t="s">
        <v>28</v>
      </c>
      <c r="L609" t="s">
        <v>29</v>
      </c>
      <c r="M609" t="s">
        <v>46</v>
      </c>
      <c r="N609" t="s">
        <v>46</v>
      </c>
      <c r="O609" t="b">
        <v>1</v>
      </c>
      <c r="P609" t="b">
        <v>0</v>
      </c>
      <c r="Q609">
        <v>6</v>
      </c>
      <c r="R609" t="b">
        <v>1</v>
      </c>
      <c r="S609" t="s">
        <v>48</v>
      </c>
      <c r="T609">
        <v>36</v>
      </c>
      <c r="U609">
        <v>25.54</v>
      </c>
      <c r="V609" t="b">
        <v>0</v>
      </c>
      <c r="W609" t="s">
        <v>41</v>
      </c>
    </row>
    <row r="610" spans="1:23" x14ac:dyDescent="0.25">
      <c r="A610" t="s">
        <v>68</v>
      </c>
      <c r="B610" t="s">
        <v>76</v>
      </c>
      <c r="C610">
        <v>83.61</v>
      </c>
      <c r="D610">
        <v>197</v>
      </c>
      <c r="E610" t="b">
        <v>0</v>
      </c>
      <c r="F610" t="b">
        <v>0</v>
      </c>
      <c r="G610" t="b">
        <v>0</v>
      </c>
      <c r="H610" t="s">
        <v>43</v>
      </c>
      <c r="I610" t="s">
        <v>67</v>
      </c>
      <c r="J610" t="s">
        <v>27</v>
      </c>
      <c r="K610" t="s">
        <v>28</v>
      </c>
      <c r="L610" t="s">
        <v>29</v>
      </c>
      <c r="M610" t="s">
        <v>39</v>
      </c>
      <c r="O610" t="b">
        <v>0</v>
      </c>
      <c r="P610" t="b">
        <v>1</v>
      </c>
      <c r="Q610">
        <v>8</v>
      </c>
      <c r="R610" t="b">
        <v>1</v>
      </c>
      <c r="S610" t="s">
        <v>75</v>
      </c>
      <c r="T610">
        <v>41.8</v>
      </c>
      <c r="U610">
        <v>69.38</v>
      </c>
      <c r="V610" t="b">
        <v>1</v>
      </c>
      <c r="W610" t="s">
        <v>31</v>
      </c>
    </row>
    <row r="611" spans="1:23" x14ac:dyDescent="0.25">
      <c r="A611" t="s">
        <v>23</v>
      </c>
      <c r="B611" t="s">
        <v>66</v>
      </c>
      <c r="C611">
        <v>58.28</v>
      </c>
      <c r="D611">
        <v>378</v>
      </c>
      <c r="E611" t="b">
        <v>1</v>
      </c>
      <c r="F611" t="b">
        <v>1</v>
      </c>
      <c r="G611" t="b">
        <v>0</v>
      </c>
      <c r="H611" t="s">
        <v>43</v>
      </c>
      <c r="I611" t="s">
        <v>44</v>
      </c>
      <c r="J611" t="s">
        <v>50</v>
      </c>
      <c r="K611" t="s">
        <v>28</v>
      </c>
      <c r="L611" t="s">
        <v>38</v>
      </c>
      <c r="M611" t="s">
        <v>47</v>
      </c>
      <c r="O611" t="b">
        <v>0</v>
      </c>
      <c r="P611" t="b">
        <v>0</v>
      </c>
      <c r="Q611">
        <v>6.3</v>
      </c>
      <c r="R611" t="b">
        <v>1</v>
      </c>
      <c r="S611" t="s">
        <v>40</v>
      </c>
      <c r="T611">
        <v>43.8</v>
      </c>
      <c r="U611">
        <v>53.43</v>
      </c>
      <c r="V611" t="b">
        <v>1</v>
      </c>
      <c r="W611" t="s">
        <v>41</v>
      </c>
    </row>
    <row r="612" spans="1:23" x14ac:dyDescent="0.25">
      <c r="A612" t="s">
        <v>56</v>
      </c>
      <c r="B612" t="s">
        <v>24</v>
      </c>
      <c r="C612">
        <v>98.54</v>
      </c>
      <c r="D612">
        <v>783</v>
      </c>
      <c r="E612" t="b">
        <v>1</v>
      </c>
      <c r="F612" t="b">
        <v>0</v>
      </c>
      <c r="G612" t="b">
        <v>0</v>
      </c>
      <c r="H612" t="s">
        <v>43</v>
      </c>
      <c r="I612" t="s">
        <v>63</v>
      </c>
      <c r="J612" t="s">
        <v>45</v>
      </c>
      <c r="K612" t="s">
        <v>28</v>
      </c>
      <c r="L612" t="s">
        <v>69</v>
      </c>
      <c r="M612" t="s">
        <v>46</v>
      </c>
      <c r="N612" t="s">
        <v>39</v>
      </c>
      <c r="P612" t="b">
        <v>1</v>
      </c>
      <c r="Q612">
        <v>10</v>
      </c>
      <c r="R612" t="b">
        <v>0</v>
      </c>
      <c r="T612">
        <v>0</v>
      </c>
      <c r="U612">
        <v>88.36</v>
      </c>
      <c r="V612" t="b">
        <v>1</v>
      </c>
      <c r="W612" t="s">
        <v>58</v>
      </c>
    </row>
    <row r="613" spans="1:23" x14ac:dyDescent="0.25">
      <c r="A613" t="s">
        <v>32</v>
      </c>
      <c r="B613" t="s">
        <v>76</v>
      </c>
      <c r="C613">
        <v>73.22</v>
      </c>
      <c r="D613">
        <v>497</v>
      </c>
      <c r="E613" t="b">
        <v>1</v>
      </c>
      <c r="F613" t="b">
        <v>1</v>
      </c>
      <c r="G613" t="b">
        <v>1</v>
      </c>
      <c r="H613" t="s">
        <v>34</v>
      </c>
      <c r="I613" t="s">
        <v>67</v>
      </c>
      <c r="J613" t="s">
        <v>45</v>
      </c>
      <c r="K613" t="s">
        <v>28</v>
      </c>
      <c r="L613" t="s">
        <v>51</v>
      </c>
      <c r="M613" t="s">
        <v>39</v>
      </c>
      <c r="N613" t="s">
        <v>39</v>
      </c>
      <c r="P613" t="b">
        <v>0</v>
      </c>
      <c r="Q613">
        <v>8.1</v>
      </c>
      <c r="R613" t="b">
        <v>0</v>
      </c>
      <c r="T613">
        <v>0</v>
      </c>
      <c r="U613">
        <v>70.569999999999993</v>
      </c>
      <c r="V613" t="b">
        <v>1</v>
      </c>
      <c r="W613" t="s">
        <v>58</v>
      </c>
    </row>
    <row r="614" spans="1:23" x14ac:dyDescent="0.25">
      <c r="A614" t="s">
        <v>32</v>
      </c>
      <c r="B614" t="s">
        <v>66</v>
      </c>
      <c r="C614">
        <v>63.42</v>
      </c>
      <c r="D614">
        <v>681</v>
      </c>
      <c r="E614" t="b">
        <v>1</v>
      </c>
      <c r="F614" t="b">
        <v>1</v>
      </c>
      <c r="G614" t="b">
        <v>1</v>
      </c>
      <c r="H614" t="s">
        <v>25</v>
      </c>
      <c r="I614" t="s">
        <v>26</v>
      </c>
      <c r="J614" t="s">
        <v>50</v>
      </c>
      <c r="K614" t="s">
        <v>28</v>
      </c>
      <c r="L614" t="s">
        <v>29</v>
      </c>
      <c r="M614" t="s">
        <v>47</v>
      </c>
      <c r="N614" t="s">
        <v>28</v>
      </c>
      <c r="P614" t="b">
        <v>1</v>
      </c>
      <c r="Q614">
        <v>6.3</v>
      </c>
      <c r="R614" t="b">
        <v>1</v>
      </c>
      <c r="S614" t="s">
        <v>65</v>
      </c>
      <c r="T614">
        <v>9.8000000000000007</v>
      </c>
      <c r="U614">
        <v>57.42</v>
      </c>
      <c r="V614" t="b">
        <v>1</v>
      </c>
      <c r="W614" t="s">
        <v>41</v>
      </c>
    </row>
    <row r="615" spans="1:23" x14ac:dyDescent="0.25">
      <c r="A615" t="s">
        <v>23</v>
      </c>
      <c r="B615" t="s">
        <v>70</v>
      </c>
      <c r="C615">
        <v>74.16</v>
      </c>
      <c r="D615">
        <v>137</v>
      </c>
      <c r="E615" t="b">
        <v>0</v>
      </c>
      <c r="F615" t="b">
        <v>1</v>
      </c>
      <c r="G615" t="b">
        <v>0</v>
      </c>
      <c r="H615" t="s">
        <v>43</v>
      </c>
      <c r="I615" t="s">
        <v>57</v>
      </c>
      <c r="J615" t="s">
        <v>36</v>
      </c>
      <c r="K615" t="s">
        <v>46</v>
      </c>
      <c r="L615" t="s">
        <v>69</v>
      </c>
      <c r="M615" t="s">
        <v>47</v>
      </c>
      <c r="N615" t="s">
        <v>46</v>
      </c>
      <c r="P615" t="b">
        <v>0</v>
      </c>
      <c r="Q615">
        <v>7.8</v>
      </c>
      <c r="R615" t="b">
        <v>1</v>
      </c>
      <c r="S615" t="s">
        <v>64</v>
      </c>
      <c r="T615">
        <v>38.700000000000003</v>
      </c>
      <c r="U615">
        <v>62.91</v>
      </c>
      <c r="V615" t="b">
        <v>1</v>
      </c>
      <c r="W615" t="s">
        <v>41</v>
      </c>
    </row>
    <row r="616" spans="1:23" x14ac:dyDescent="0.25">
      <c r="A616" t="s">
        <v>61</v>
      </c>
      <c r="B616" t="s">
        <v>62</v>
      </c>
      <c r="C616">
        <v>52.75</v>
      </c>
      <c r="D616">
        <v>255</v>
      </c>
      <c r="E616" t="b">
        <v>1</v>
      </c>
      <c r="F616" t="b">
        <v>0</v>
      </c>
      <c r="G616" t="b">
        <v>0</v>
      </c>
      <c r="H616" t="s">
        <v>25</v>
      </c>
      <c r="I616" t="s">
        <v>44</v>
      </c>
      <c r="J616" t="s">
        <v>45</v>
      </c>
      <c r="K616" t="s">
        <v>39</v>
      </c>
      <c r="L616" t="s">
        <v>37</v>
      </c>
      <c r="M616" t="s">
        <v>39</v>
      </c>
      <c r="N616" t="s">
        <v>28</v>
      </c>
      <c r="O616" t="b">
        <v>0</v>
      </c>
      <c r="P616" t="b">
        <v>0</v>
      </c>
      <c r="Q616">
        <v>4.5999999999999996</v>
      </c>
      <c r="R616" t="b">
        <v>1</v>
      </c>
      <c r="S616" t="s">
        <v>52</v>
      </c>
      <c r="T616">
        <v>41.8</v>
      </c>
      <c r="U616">
        <v>58.78</v>
      </c>
      <c r="V616" t="b">
        <v>1</v>
      </c>
      <c r="W616" t="s">
        <v>72</v>
      </c>
    </row>
    <row r="617" spans="1:23" x14ac:dyDescent="0.25">
      <c r="A617" t="s">
        <v>74</v>
      </c>
      <c r="B617" t="s">
        <v>62</v>
      </c>
      <c r="C617">
        <v>69.209999999999994</v>
      </c>
      <c r="D617">
        <v>281</v>
      </c>
      <c r="E617" t="b">
        <v>1</v>
      </c>
      <c r="F617" t="b">
        <v>1</v>
      </c>
      <c r="G617" t="b">
        <v>0</v>
      </c>
      <c r="H617" t="s">
        <v>25</v>
      </c>
      <c r="I617" t="s">
        <v>44</v>
      </c>
      <c r="J617" t="s">
        <v>45</v>
      </c>
      <c r="K617" t="s">
        <v>37</v>
      </c>
      <c r="L617" t="s">
        <v>69</v>
      </c>
      <c r="M617" t="s">
        <v>39</v>
      </c>
      <c r="N617" t="s">
        <v>39</v>
      </c>
      <c r="O617" t="b">
        <v>1</v>
      </c>
      <c r="P617" t="b">
        <v>0</v>
      </c>
      <c r="Q617">
        <v>8.6999999999999993</v>
      </c>
      <c r="R617" t="b">
        <v>0</v>
      </c>
      <c r="T617">
        <v>0</v>
      </c>
      <c r="U617">
        <v>54.56</v>
      </c>
      <c r="V617" t="b">
        <v>0</v>
      </c>
      <c r="W617" t="s">
        <v>58</v>
      </c>
    </row>
    <row r="618" spans="1:23" x14ac:dyDescent="0.25">
      <c r="A618" t="s">
        <v>56</v>
      </c>
      <c r="B618" t="s">
        <v>60</v>
      </c>
      <c r="C618">
        <v>41.63</v>
      </c>
      <c r="D618">
        <v>584</v>
      </c>
      <c r="E618" t="b">
        <v>0</v>
      </c>
      <c r="F618" t="b">
        <v>1</v>
      </c>
      <c r="G618" t="b">
        <v>1</v>
      </c>
      <c r="H618" t="s">
        <v>34</v>
      </c>
      <c r="I618" t="s">
        <v>67</v>
      </c>
      <c r="J618" t="s">
        <v>45</v>
      </c>
      <c r="K618" t="s">
        <v>28</v>
      </c>
      <c r="L618" t="s">
        <v>51</v>
      </c>
      <c r="M618" t="s">
        <v>46</v>
      </c>
      <c r="N618" t="s">
        <v>39</v>
      </c>
      <c r="P618" t="b">
        <v>0</v>
      </c>
      <c r="Q618">
        <v>4</v>
      </c>
      <c r="R618" t="b">
        <v>0</v>
      </c>
      <c r="T618">
        <v>0</v>
      </c>
      <c r="U618">
        <v>42.69</v>
      </c>
      <c r="V618" t="b">
        <v>1</v>
      </c>
      <c r="W618" t="s">
        <v>41</v>
      </c>
    </row>
    <row r="619" spans="1:23" x14ac:dyDescent="0.25">
      <c r="A619" t="s">
        <v>74</v>
      </c>
      <c r="B619" t="s">
        <v>76</v>
      </c>
      <c r="C619">
        <v>81.53</v>
      </c>
      <c r="D619">
        <v>504</v>
      </c>
      <c r="E619" t="b">
        <v>0</v>
      </c>
      <c r="F619" t="b">
        <v>0</v>
      </c>
      <c r="G619" t="b">
        <v>0</v>
      </c>
      <c r="H619" t="s">
        <v>53</v>
      </c>
      <c r="I619" t="s">
        <v>63</v>
      </c>
      <c r="J619" t="s">
        <v>27</v>
      </c>
      <c r="K619" t="s">
        <v>28</v>
      </c>
      <c r="L619" t="s">
        <v>29</v>
      </c>
      <c r="M619" t="s">
        <v>47</v>
      </c>
      <c r="N619" t="s">
        <v>46</v>
      </c>
      <c r="O619" t="b">
        <v>0</v>
      </c>
      <c r="P619" t="b">
        <v>0</v>
      </c>
      <c r="Q619">
        <v>6.6</v>
      </c>
      <c r="R619" t="b">
        <v>1</v>
      </c>
      <c r="S619" t="s">
        <v>75</v>
      </c>
      <c r="T619">
        <v>21.4</v>
      </c>
      <c r="U619">
        <v>94.86</v>
      </c>
      <c r="V619" t="b">
        <v>0</v>
      </c>
      <c r="W619" t="s">
        <v>41</v>
      </c>
    </row>
    <row r="620" spans="1:23" x14ac:dyDescent="0.25">
      <c r="A620" t="s">
        <v>56</v>
      </c>
      <c r="B620" t="s">
        <v>59</v>
      </c>
      <c r="C620">
        <v>90.4</v>
      </c>
      <c r="D620">
        <v>685</v>
      </c>
      <c r="E620" t="b">
        <v>1</v>
      </c>
      <c r="F620" t="b">
        <v>0</v>
      </c>
      <c r="G620" t="b">
        <v>1</v>
      </c>
      <c r="H620" t="s">
        <v>34</v>
      </c>
      <c r="I620" t="s">
        <v>57</v>
      </c>
      <c r="J620" t="s">
        <v>45</v>
      </c>
      <c r="K620" t="s">
        <v>46</v>
      </c>
      <c r="L620" t="s">
        <v>69</v>
      </c>
      <c r="M620" t="s">
        <v>46</v>
      </c>
      <c r="N620" t="s">
        <v>46</v>
      </c>
      <c r="O620" t="b">
        <v>0</v>
      </c>
      <c r="P620" t="b">
        <v>0</v>
      </c>
      <c r="Q620">
        <v>10</v>
      </c>
      <c r="R620" t="b">
        <v>0</v>
      </c>
      <c r="T620">
        <v>0</v>
      </c>
      <c r="U620">
        <v>94.36</v>
      </c>
      <c r="V620" t="b">
        <v>1</v>
      </c>
      <c r="W620" t="s">
        <v>58</v>
      </c>
    </row>
    <row r="621" spans="1:23" x14ac:dyDescent="0.25">
      <c r="A621" t="s">
        <v>56</v>
      </c>
      <c r="B621" t="s">
        <v>42</v>
      </c>
      <c r="C621">
        <v>69.41</v>
      </c>
      <c r="D621">
        <v>190</v>
      </c>
      <c r="E621" t="b">
        <v>0</v>
      </c>
      <c r="F621" t="b">
        <v>0</v>
      </c>
      <c r="G621" t="b">
        <v>1</v>
      </c>
      <c r="H621" t="s">
        <v>25</v>
      </c>
      <c r="I621" t="s">
        <v>67</v>
      </c>
      <c r="J621" t="s">
        <v>36</v>
      </c>
      <c r="K621" t="s">
        <v>28</v>
      </c>
      <c r="L621" t="s">
        <v>69</v>
      </c>
      <c r="M621" t="s">
        <v>39</v>
      </c>
      <c r="N621" t="s">
        <v>39</v>
      </c>
      <c r="O621" t="b">
        <v>1</v>
      </c>
      <c r="P621" t="b">
        <v>0</v>
      </c>
      <c r="Q621">
        <v>9.1</v>
      </c>
      <c r="R621" t="b">
        <v>1</v>
      </c>
      <c r="S621" t="s">
        <v>55</v>
      </c>
      <c r="T621">
        <v>4.5999999999999996</v>
      </c>
      <c r="U621">
        <v>75.849999999999994</v>
      </c>
      <c r="V621" t="b">
        <v>1</v>
      </c>
      <c r="W621" t="s">
        <v>31</v>
      </c>
    </row>
    <row r="622" spans="1:23" x14ac:dyDescent="0.25">
      <c r="A622" t="s">
        <v>32</v>
      </c>
      <c r="B622" t="s">
        <v>33</v>
      </c>
      <c r="C622">
        <v>81.430000000000007</v>
      </c>
      <c r="D622">
        <v>413</v>
      </c>
      <c r="E622" t="b">
        <v>1</v>
      </c>
      <c r="F622" t="b">
        <v>0</v>
      </c>
      <c r="G622" t="b">
        <v>1</v>
      </c>
      <c r="H622" t="s">
        <v>25</v>
      </c>
      <c r="I622" t="s">
        <v>35</v>
      </c>
      <c r="J622" t="s">
        <v>54</v>
      </c>
      <c r="K622" t="s">
        <v>46</v>
      </c>
      <c r="L622" t="s">
        <v>51</v>
      </c>
      <c r="M622" t="s">
        <v>39</v>
      </c>
      <c r="N622" t="s">
        <v>28</v>
      </c>
      <c r="O622" t="b">
        <v>0</v>
      </c>
      <c r="P622" t="b">
        <v>1</v>
      </c>
      <c r="Q622">
        <v>7.8</v>
      </c>
      <c r="R622" t="b">
        <v>1</v>
      </c>
      <c r="S622" t="s">
        <v>64</v>
      </c>
      <c r="T622">
        <v>8.6</v>
      </c>
      <c r="U622">
        <v>88.34</v>
      </c>
      <c r="V622" t="b">
        <v>1</v>
      </c>
      <c r="W622" t="s">
        <v>41</v>
      </c>
    </row>
    <row r="623" spans="1:23" x14ac:dyDescent="0.25">
      <c r="A623" t="s">
        <v>74</v>
      </c>
      <c r="B623" t="s">
        <v>66</v>
      </c>
      <c r="C623">
        <v>59.65</v>
      </c>
      <c r="D623">
        <v>739</v>
      </c>
      <c r="E623" t="b">
        <v>0</v>
      </c>
      <c r="F623" t="b">
        <v>0</v>
      </c>
      <c r="G623" t="b">
        <v>0</v>
      </c>
      <c r="H623" t="s">
        <v>43</v>
      </c>
      <c r="I623" t="s">
        <v>44</v>
      </c>
      <c r="J623" t="s">
        <v>50</v>
      </c>
      <c r="K623" t="s">
        <v>46</v>
      </c>
      <c r="L623" t="s">
        <v>69</v>
      </c>
      <c r="M623" t="s">
        <v>28</v>
      </c>
      <c r="P623" t="b">
        <v>0</v>
      </c>
      <c r="Q623">
        <v>8.1</v>
      </c>
      <c r="R623" t="b">
        <v>1</v>
      </c>
      <c r="S623" t="s">
        <v>75</v>
      </c>
      <c r="T623">
        <v>7.8</v>
      </c>
      <c r="U623">
        <v>42.37</v>
      </c>
      <c r="V623" t="b">
        <v>0</v>
      </c>
      <c r="W623" t="s">
        <v>31</v>
      </c>
    </row>
    <row r="624" spans="1:23" x14ac:dyDescent="0.25">
      <c r="A624" t="s">
        <v>23</v>
      </c>
      <c r="B624" t="s">
        <v>70</v>
      </c>
      <c r="C624">
        <v>85.95</v>
      </c>
      <c r="D624">
        <v>490</v>
      </c>
      <c r="E624" t="b">
        <v>1</v>
      </c>
      <c r="F624" t="b">
        <v>0</v>
      </c>
      <c r="G624" t="b">
        <v>0</v>
      </c>
      <c r="H624" t="s">
        <v>25</v>
      </c>
      <c r="I624" t="s">
        <v>67</v>
      </c>
      <c r="J624" t="s">
        <v>54</v>
      </c>
      <c r="K624" t="s">
        <v>46</v>
      </c>
      <c r="L624" t="s">
        <v>29</v>
      </c>
      <c r="M624" t="s">
        <v>47</v>
      </c>
      <c r="N624" t="s">
        <v>28</v>
      </c>
      <c r="O624" t="b">
        <v>0</v>
      </c>
      <c r="P624" t="b">
        <v>1</v>
      </c>
      <c r="Q624">
        <v>8.1</v>
      </c>
      <c r="R624" t="b">
        <v>1</v>
      </c>
      <c r="S624" t="s">
        <v>55</v>
      </c>
      <c r="T624">
        <v>15.4</v>
      </c>
      <c r="U624">
        <v>84.26</v>
      </c>
      <c r="V624" t="b">
        <v>1</v>
      </c>
      <c r="W624" t="s">
        <v>31</v>
      </c>
    </row>
    <row r="625" spans="1:23" x14ac:dyDescent="0.25">
      <c r="A625" t="s">
        <v>74</v>
      </c>
      <c r="B625" t="s">
        <v>42</v>
      </c>
      <c r="C625">
        <v>74.709999999999994</v>
      </c>
      <c r="D625">
        <v>554</v>
      </c>
      <c r="E625" t="b">
        <v>1</v>
      </c>
      <c r="F625" t="b">
        <v>1</v>
      </c>
      <c r="G625" t="b">
        <v>1</v>
      </c>
      <c r="H625" t="s">
        <v>34</v>
      </c>
      <c r="I625" t="s">
        <v>26</v>
      </c>
      <c r="J625" t="s">
        <v>45</v>
      </c>
      <c r="K625" t="s">
        <v>28</v>
      </c>
      <c r="L625" t="s">
        <v>37</v>
      </c>
      <c r="M625" t="s">
        <v>46</v>
      </c>
      <c r="N625" t="s">
        <v>46</v>
      </c>
      <c r="P625" t="b">
        <v>1</v>
      </c>
      <c r="Q625">
        <v>9.1</v>
      </c>
      <c r="R625" t="b">
        <v>0</v>
      </c>
      <c r="T625">
        <v>0</v>
      </c>
      <c r="U625">
        <v>77.03</v>
      </c>
      <c r="V625" t="b">
        <v>1</v>
      </c>
      <c r="W625" t="s">
        <v>58</v>
      </c>
    </row>
    <row r="626" spans="1:23" x14ac:dyDescent="0.25">
      <c r="A626" t="s">
        <v>68</v>
      </c>
      <c r="B626" t="s">
        <v>76</v>
      </c>
      <c r="C626">
        <v>75.989999999999995</v>
      </c>
      <c r="D626">
        <v>77</v>
      </c>
      <c r="E626" t="b">
        <v>0</v>
      </c>
      <c r="F626" t="b">
        <v>1</v>
      </c>
      <c r="G626" t="b">
        <v>0</v>
      </c>
      <c r="H626" t="s">
        <v>53</v>
      </c>
      <c r="I626" t="s">
        <v>63</v>
      </c>
      <c r="J626" t="s">
        <v>27</v>
      </c>
      <c r="K626" t="s">
        <v>39</v>
      </c>
      <c r="L626" t="s">
        <v>69</v>
      </c>
      <c r="M626" t="s">
        <v>47</v>
      </c>
      <c r="N626" t="s">
        <v>28</v>
      </c>
      <c r="O626" t="b">
        <v>1</v>
      </c>
      <c r="P626" t="b">
        <v>0</v>
      </c>
      <c r="Q626">
        <v>8.6999999999999993</v>
      </c>
      <c r="R626" t="b">
        <v>0</v>
      </c>
      <c r="T626">
        <v>0</v>
      </c>
      <c r="U626">
        <v>79.180000000000007</v>
      </c>
      <c r="V626" t="b">
        <v>1</v>
      </c>
      <c r="W626" t="s">
        <v>58</v>
      </c>
    </row>
    <row r="627" spans="1:23" x14ac:dyDescent="0.25">
      <c r="A627" t="s">
        <v>23</v>
      </c>
      <c r="B627" t="s">
        <v>42</v>
      </c>
      <c r="C627">
        <v>83.64</v>
      </c>
      <c r="D627">
        <v>263</v>
      </c>
      <c r="E627" t="b">
        <v>1</v>
      </c>
      <c r="F627" t="b">
        <v>1</v>
      </c>
      <c r="G627" t="b">
        <v>0</v>
      </c>
      <c r="H627" t="s">
        <v>43</v>
      </c>
      <c r="I627" t="s">
        <v>67</v>
      </c>
      <c r="J627" t="s">
        <v>36</v>
      </c>
      <c r="K627" t="s">
        <v>28</v>
      </c>
      <c r="L627" t="s">
        <v>37</v>
      </c>
      <c r="M627" t="s">
        <v>39</v>
      </c>
      <c r="N627" t="s">
        <v>28</v>
      </c>
      <c r="O627" t="b">
        <v>0</v>
      </c>
      <c r="P627" t="b">
        <v>1</v>
      </c>
      <c r="Q627">
        <v>7.2</v>
      </c>
      <c r="R627" t="b">
        <v>1</v>
      </c>
      <c r="S627" t="s">
        <v>52</v>
      </c>
      <c r="T627">
        <v>2.1</v>
      </c>
      <c r="U627">
        <v>80.25</v>
      </c>
      <c r="V627" t="b">
        <v>1</v>
      </c>
      <c r="W627" t="s">
        <v>41</v>
      </c>
    </row>
    <row r="628" spans="1:23" x14ac:dyDescent="0.25">
      <c r="A628" t="s">
        <v>74</v>
      </c>
      <c r="B628" t="s">
        <v>71</v>
      </c>
      <c r="C628">
        <v>57.05</v>
      </c>
      <c r="D628">
        <v>123</v>
      </c>
      <c r="E628" t="b">
        <v>0</v>
      </c>
      <c r="F628" t="b">
        <v>1</v>
      </c>
      <c r="G628" t="b">
        <v>1</v>
      </c>
      <c r="H628" t="s">
        <v>43</v>
      </c>
      <c r="I628" t="s">
        <v>57</v>
      </c>
      <c r="J628" t="s">
        <v>50</v>
      </c>
      <c r="K628" t="s">
        <v>37</v>
      </c>
      <c r="L628" t="s">
        <v>38</v>
      </c>
      <c r="M628" t="s">
        <v>46</v>
      </c>
      <c r="N628" t="s">
        <v>39</v>
      </c>
      <c r="O628" t="b">
        <v>0</v>
      </c>
      <c r="P628" t="b">
        <v>1</v>
      </c>
      <c r="Q628">
        <v>4.8</v>
      </c>
      <c r="R628" t="b">
        <v>1</v>
      </c>
      <c r="S628" t="s">
        <v>30</v>
      </c>
      <c r="T628">
        <v>44.4</v>
      </c>
      <c r="U628">
        <v>36.28</v>
      </c>
      <c r="V628" t="b">
        <v>1</v>
      </c>
      <c r="W628" t="s">
        <v>72</v>
      </c>
    </row>
    <row r="629" spans="1:23" x14ac:dyDescent="0.25">
      <c r="A629" t="s">
        <v>68</v>
      </c>
      <c r="B629" t="s">
        <v>33</v>
      </c>
      <c r="C629">
        <v>84.59</v>
      </c>
      <c r="D629">
        <v>336</v>
      </c>
      <c r="E629" t="b">
        <v>0</v>
      </c>
      <c r="F629" t="b">
        <v>0</v>
      </c>
      <c r="G629" t="b">
        <v>0</v>
      </c>
      <c r="H629" t="s">
        <v>53</v>
      </c>
      <c r="I629" t="s">
        <v>67</v>
      </c>
      <c r="J629" t="s">
        <v>27</v>
      </c>
      <c r="K629" t="s">
        <v>37</v>
      </c>
      <c r="L629" t="s">
        <v>38</v>
      </c>
      <c r="M629" t="s">
        <v>46</v>
      </c>
      <c r="N629" t="s">
        <v>46</v>
      </c>
      <c r="P629" t="b">
        <v>0</v>
      </c>
      <c r="Q629">
        <v>9.5</v>
      </c>
      <c r="R629" t="b">
        <v>1</v>
      </c>
      <c r="S629" t="s">
        <v>40</v>
      </c>
      <c r="T629">
        <v>40.700000000000003</v>
      </c>
      <c r="U629">
        <v>75.819999999999993</v>
      </c>
      <c r="V629" t="b">
        <v>1</v>
      </c>
      <c r="W629" t="s">
        <v>31</v>
      </c>
    </row>
    <row r="630" spans="1:23" x14ac:dyDescent="0.25">
      <c r="A630" t="s">
        <v>56</v>
      </c>
      <c r="B630" t="s">
        <v>33</v>
      </c>
      <c r="C630">
        <v>81.150000000000006</v>
      </c>
      <c r="D630">
        <v>738</v>
      </c>
      <c r="E630" t="b">
        <v>1</v>
      </c>
      <c r="F630" t="b">
        <v>0</v>
      </c>
      <c r="G630" t="b">
        <v>1</v>
      </c>
      <c r="H630" t="s">
        <v>53</v>
      </c>
      <c r="I630" t="s">
        <v>44</v>
      </c>
      <c r="J630" t="s">
        <v>27</v>
      </c>
      <c r="K630" t="s">
        <v>39</v>
      </c>
      <c r="L630" t="s">
        <v>38</v>
      </c>
      <c r="M630" t="s">
        <v>28</v>
      </c>
      <c r="N630" t="s">
        <v>39</v>
      </c>
      <c r="P630" t="b">
        <v>1</v>
      </c>
      <c r="Q630">
        <v>10</v>
      </c>
      <c r="R630" t="b">
        <v>0</v>
      </c>
      <c r="T630">
        <v>0</v>
      </c>
      <c r="U630">
        <v>95.23</v>
      </c>
      <c r="V630" t="b">
        <v>1</v>
      </c>
      <c r="W630" t="s">
        <v>58</v>
      </c>
    </row>
    <row r="631" spans="1:23" x14ac:dyDescent="0.25">
      <c r="A631" t="s">
        <v>61</v>
      </c>
      <c r="B631" t="s">
        <v>76</v>
      </c>
      <c r="C631">
        <v>82.92</v>
      </c>
      <c r="D631">
        <v>764</v>
      </c>
      <c r="E631" t="b">
        <v>0</v>
      </c>
      <c r="F631" t="b">
        <v>1</v>
      </c>
      <c r="G631" t="b">
        <v>1</v>
      </c>
      <c r="H631" t="s">
        <v>43</v>
      </c>
      <c r="I631" t="s">
        <v>63</v>
      </c>
      <c r="J631" t="s">
        <v>54</v>
      </c>
      <c r="K631" t="s">
        <v>28</v>
      </c>
      <c r="L631" t="s">
        <v>51</v>
      </c>
      <c r="M631" t="s">
        <v>46</v>
      </c>
      <c r="N631" t="s">
        <v>46</v>
      </c>
      <c r="O631" t="b">
        <v>0</v>
      </c>
      <c r="P631" t="b">
        <v>0</v>
      </c>
      <c r="Q631">
        <v>7.9</v>
      </c>
      <c r="R631" t="b">
        <v>0</v>
      </c>
      <c r="T631">
        <v>0</v>
      </c>
      <c r="U631">
        <v>84.96</v>
      </c>
      <c r="V631" t="b">
        <v>1</v>
      </c>
      <c r="W631" t="s">
        <v>31</v>
      </c>
    </row>
    <row r="632" spans="1:23" x14ac:dyDescent="0.25">
      <c r="A632" t="s">
        <v>74</v>
      </c>
      <c r="B632" t="s">
        <v>70</v>
      </c>
      <c r="C632">
        <v>86.93</v>
      </c>
      <c r="D632">
        <v>559</v>
      </c>
      <c r="E632" t="b">
        <v>1</v>
      </c>
      <c r="F632" t="b">
        <v>1</v>
      </c>
      <c r="G632" t="b">
        <v>0</v>
      </c>
      <c r="H632" t="s">
        <v>53</v>
      </c>
      <c r="I632" t="s">
        <v>44</v>
      </c>
      <c r="J632" t="s">
        <v>50</v>
      </c>
      <c r="K632" t="s">
        <v>28</v>
      </c>
      <c r="L632" t="s">
        <v>51</v>
      </c>
      <c r="M632" t="s">
        <v>46</v>
      </c>
      <c r="N632" t="s">
        <v>28</v>
      </c>
      <c r="O632" t="b">
        <v>0</v>
      </c>
      <c r="P632" t="b">
        <v>0</v>
      </c>
      <c r="Q632">
        <v>8.8000000000000007</v>
      </c>
      <c r="R632" t="b">
        <v>0</v>
      </c>
      <c r="T632">
        <v>0</v>
      </c>
      <c r="U632">
        <v>95.92</v>
      </c>
      <c r="V632" t="b">
        <v>1</v>
      </c>
      <c r="W632" t="s">
        <v>58</v>
      </c>
    </row>
    <row r="633" spans="1:23" x14ac:dyDescent="0.25">
      <c r="A633" t="s">
        <v>56</v>
      </c>
      <c r="B633" t="s">
        <v>24</v>
      </c>
      <c r="C633">
        <v>89.22</v>
      </c>
      <c r="D633">
        <v>795</v>
      </c>
      <c r="E633" t="b">
        <v>1</v>
      </c>
      <c r="F633" t="b">
        <v>1</v>
      </c>
      <c r="G633" t="b">
        <v>1</v>
      </c>
      <c r="H633" t="s">
        <v>25</v>
      </c>
      <c r="I633" t="s">
        <v>63</v>
      </c>
      <c r="J633" t="s">
        <v>54</v>
      </c>
      <c r="K633" t="s">
        <v>39</v>
      </c>
      <c r="L633" t="s">
        <v>38</v>
      </c>
      <c r="M633" t="s">
        <v>39</v>
      </c>
      <c r="P633" t="b">
        <v>0</v>
      </c>
      <c r="Q633">
        <v>9.9</v>
      </c>
      <c r="R633" t="b">
        <v>0</v>
      </c>
      <c r="T633">
        <v>0</v>
      </c>
      <c r="U633">
        <v>100</v>
      </c>
      <c r="V633" t="b">
        <v>1</v>
      </c>
      <c r="W633" t="s">
        <v>58</v>
      </c>
    </row>
    <row r="634" spans="1:23" x14ac:dyDescent="0.25">
      <c r="A634" t="s">
        <v>68</v>
      </c>
      <c r="B634" t="s">
        <v>60</v>
      </c>
      <c r="C634">
        <v>44.28</v>
      </c>
      <c r="D634">
        <v>529</v>
      </c>
      <c r="E634" t="b">
        <v>1</v>
      </c>
      <c r="F634" t="b">
        <v>0</v>
      </c>
      <c r="G634" t="b">
        <v>0</v>
      </c>
      <c r="H634" t="s">
        <v>43</v>
      </c>
      <c r="I634" t="s">
        <v>35</v>
      </c>
      <c r="J634" t="s">
        <v>36</v>
      </c>
      <c r="K634" t="s">
        <v>39</v>
      </c>
      <c r="L634" t="s">
        <v>37</v>
      </c>
      <c r="M634" t="s">
        <v>28</v>
      </c>
      <c r="N634" t="s">
        <v>28</v>
      </c>
      <c r="O634" t="b">
        <v>0</v>
      </c>
      <c r="P634" t="b">
        <v>1</v>
      </c>
      <c r="Q634">
        <v>4.9000000000000004</v>
      </c>
      <c r="R634" t="b">
        <v>1</v>
      </c>
      <c r="S634" t="s">
        <v>30</v>
      </c>
      <c r="T634">
        <v>13.9</v>
      </c>
      <c r="U634">
        <v>33.799999999999997</v>
      </c>
      <c r="V634" t="b">
        <v>1</v>
      </c>
      <c r="W634" t="s">
        <v>72</v>
      </c>
    </row>
    <row r="635" spans="1:23" x14ac:dyDescent="0.25">
      <c r="A635" t="s">
        <v>68</v>
      </c>
      <c r="B635" t="s">
        <v>60</v>
      </c>
      <c r="C635">
        <v>58.49</v>
      </c>
      <c r="D635">
        <v>355</v>
      </c>
      <c r="E635" t="b">
        <v>1</v>
      </c>
      <c r="F635" t="b">
        <v>1</v>
      </c>
      <c r="G635" t="b">
        <v>1</v>
      </c>
      <c r="H635" t="s">
        <v>34</v>
      </c>
      <c r="I635" t="s">
        <v>67</v>
      </c>
      <c r="J635" t="s">
        <v>27</v>
      </c>
      <c r="K635" t="s">
        <v>28</v>
      </c>
      <c r="L635" t="s">
        <v>38</v>
      </c>
      <c r="M635" t="s">
        <v>47</v>
      </c>
      <c r="N635" t="s">
        <v>28</v>
      </c>
      <c r="O635" t="b">
        <v>0</v>
      </c>
      <c r="P635" t="b">
        <v>0</v>
      </c>
      <c r="Q635">
        <v>6.8</v>
      </c>
      <c r="R635" t="b">
        <v>1</v>
      </c>
      <c r="S635" t="s">
        <v>30</v>
      </c>
      <c r="T635">
        <v>33</v>
      </c>
      <c r="U635">
        <v>66.97</v>
      </c>
      <c r="V635" t="b">
        <v>1</v>
      </c>
      <c r="W635" t="s">
        <v>41</v>
      </c>
    </row>
    <row r="636" spans="1:23" x14ac:dyDescent="0.25">
      <c r="A636" t="s">
        <v>68</v>
      </c>
      <c r="B636" t="s">
        <v>49</v>
      </c>
      <c r="C636">
        <v>65.2</v>
      </c>
      <c r="D636">
        <v>609</v>
      </c>
      <c r="E636" t="b">
        <v>0</v>
      </c>
      <c r="F636" t="b">
        <v>0</v>
      </c>
      <c r="G636" t="b">
        <v>0</v>
      </c>
      <c r="H636" t="s">
        <v>34</v>
      </c>
      <c r="I636" t="s">
        <v>35</v>
      </c>
      <c r="J636" t="s">
        <v>36</v>
      </c>
      <c r="K636" t="s">
        <v>37</v>
      </c>
      <c r="L636" t="s">
        <v>51</v>
      </c>
      <c r="M636" t="s">
        <v>46</v>
      </c>
      <c r="N636" t="s">
        <v>46</v>
      </c>
      <c r="P636" t="b">
        <v>0</v>
      </c>
      <c r="Q636">
        <v>6.5</v>
      </c>
      <c r="R636" t="b">
        <v>0</v>
      </c>
      <c r="T636">
        <v>0</v>
      </c>
      <c r="U636">
        <v>70.180000000000007</v>
      </c>
      <c r="V636" t="b">
        <v>1</v>
      </c>
      <c r="W636" t="s">
        <v>31</v>
      </c>
    </row>
    <row r="637" spans="1:23" x14ac:dyDescent="0.25">
      <c r="A637" t="s">
        <v>61</v>
      </c>
      <c r="B637" t="s">
        <v>24</v>
      </c>
      <c r="C637">
        <v>85.55</v>
      </c>
      <c r="D637">
        <v>163</v>
      </c>
      <c r="E637" t="b">
        <v>1</v>
      </c>
      <c r="F637" t="b">
        <v>1</v>
      </c>
      <c r="G637" t="b">
        <v>1</v>
      </c>
      <c r="H637" t="s">
        <v>53</v>
      </c>
      <c r="I637" t="s">
        <v>35</v>
      </c>
      <c r="J637" t="s">
        <v>54</v>
      </c>
      <c r="K637" t="s">
        <v>37</v>
      </c>
      <c r="L637" t="s">
        <v>37</v>
      </c>
      <c r="M637" t="s">
        <v>46</v>
      </c>
      <c r="N637" t="s">
        <v>39</v>
      </c>
      <c r="P637" t="b">
        <v>0</v>
      </c>
      <c r="Q637">
        <v>8.4</v>
      </c>
      <c r="R637" t="b">
        <v>1</v>
      </c>
      <c r="S637" t="s">
        <v>30</v>
      </c>
      <c r="T637">
        <v>44.8</v>
      </c>
      <c r="U637">
        <v>84.62</v>
      </c>
      <c r="V637" t="b">
        <v>1</v>
      </c>
      <c r="W637" t="s">
        <v>31</v>
      </c>
    </row>
    <row r="638" spans="1:23" x14ac:dyDescent="0.25">
      <c r="A638" t="s">
        <v>61</v>
      </c>
      <c r="B638" t="s">
        <v>76</v>
      </c>
      <c r="C638">
        <v>86</v>
      </c>
      <c r="D638">
        <v>80</v>
      </c>
      <c r="E638" t="b">
        <v>1</v>
      </c>
      <c r="F638" t="b">
        <v>0</v>
      </c>
      <c r="G638" t="b">
        <v>1</v>
      </c>
      <c r="H638" t="s">
        <v>25</v>
      </c>
      <c r="I638" t="s">
        <v>57</v>
      </c>
      <c r="J638" t="s">
        <v>27</v>
      </c>
      <c r="K638" t="s">
        <v>46</v>
      </c>
      <c r="L638" t="s">
        <v>38</v>
      </c>
      <c r="M638" t="s">
        <v>39</v>
      </c>
      <c r="O638" t="b">
        <v>0</v>
      </c>
      <c r="P638" t="b">
        <v>1</v>
      </c>
      <c r="Q638">
        <v>9.8000000000000007</v>
      </c>
      <c r="R638" t="b">
        <v>0</v>
      </c>
      <c r="T638">
        <v>0</v>
      </c>
      <c r="U638">
        <v>79.959999999999994</v>
      </c>
      <c r="V638" t="b">
        <v>1</v>
      </c>
      <c r="W638" t="s">
        <v>58</v>
      </c>
    </row>
    <row r="639" spans="1:23" x14ac:dyDescent="0.25">
      <c r="A639" t="s">
        <v>32</v>
      </c>
      <c r="B639" t="s">
        <v>49</v>
      </c>
      <c r="C639">
        <v>78.180000000000007</v>
      </c>
      <c r="D639">
        <v>114</v>
      </c>
      <c r="E639" t="b">
        <v>0</v>
      </c>
      <c r="F639" t="b">
        <v>1</v>
      </c>
      <c r="G639" t="b">
        <v>1</v>
      </c>
      <c r="H639" t="s">
        <v>53</v>
      </c>
      <c r="I639" t="s">
        <v>35</v>
      </c>
      <c r="J639" t="s">
        <v>27</v>
      </c>
      <c r="K639" t="s">
        <v>37</v>
      </c>
      <c r="L639" t="s">
        <v>29</v>
      </c>
      <c r="M639" t="s">
        <v>46</v>
      </c>
      <c r="N639" t="s">
        <v>46</v>
      </c>
      <c r="P639" t="b">
        <v>1</v>
      </c>
      <c r="Q639">
        <v>7.5</v>
      </c>
      <c r="R639" t="b">
        <v>0</v>
      </c>
      <c r="T639">
        <v>0</v>
      </c>
      <c r="U639">
        <v>82.65</v>
      </c>
      <c r="V639" t="b">
        <v>1</v>
      </c>
      <c r="W639" t="s">
        <v>31</v>
      </c>
    </row>
    <row r="640" spans="1:23" x14ac:dyDescent="0.25">
      <c r="A640" t="s">
        <v>32</v>
      </c>
      <c r="B640" t="s">
        <v>71</v>
      </c>
      <c r="C640">
        <v>54.8</v>
      </c>
      <c r="D640">
        <v>241</v>
      </c>
      <c r="E640" t="b">
        <v>0</v>
      </c>
      <c r="F640" t="b">
        <v>1</v>
      </c>
      <c r="G640" t="b">
        <v>0</v>
      </c>
      <c r="H640" t="s">
        <v>53</v>
      </c>
      <c r="I640" t="s">
        <v>67</v>
      </c>
      <c r="J640" t="s">
        <v>36</v>
      </c>
      <c r="K640" t="s">
        <v>37</v>
      </c>
      <c r="L640" t="s">
        <v>37</v>
      </c>
      <c r="M640" t="s">
        <v>39</v>
      </c>
      <c r="N640" t="s">
        <v>28</v>
      </c>
      <c r="P640" t="b">
        <v>1</v>
      </c>
      <c r="Q640">
        <v>4.3</v>
      </c>
      <c r="R640" t="b">
        <v>1</v>
      </c>
      <c r="S640" t="s">
        <v>30</v>
      </c>
      <c r="T640">
        <v>7.3</v>
      </c>
      <c r="U640">
        <v>48.15</v>
      </c>
      <c r="V640" t="b">
        <v>1</v>
      </c>
      <c r="W640" t="s">
        <v>72</v>
      </c>
    </row>
    <row r="641" spans="1:23" x14ac:dyDescent="0.25">
      <c r="A641" t="s">
        <v>23</v>
      </c>
      <c r="B641" t="s">
        <v>24</v>
      </c>
      <c r="C641">
        <v>86.88</v>
      </c>
      <c r="D641">
        <v>217</v>
      </c>
      <c r="E641" t="b">
        <v>1</v>
      </c>
      <c r="F641" t="b">
        <v>0</v>
      </c>
      <c r="G641" t="b">
        <v>0</v>
      </c>
      <c r="H641" t="s">
        <v>53</v>
      </c>
      <c r="I641" t="s">
        <v>44</v>
      </c>
      <c r="J641" t="s">
        <v>27</v>
      </c>
      <c r="K641" t="s">
        <v>46</v>
      </c>
      <c r="L641" t="s">
        <v>69</v>
      </c>
      <c r="M641" t="s">
        <v>47</v>
      </c>
      <c r="N641" t="s">
        <v>46</v>
      </c>
      <c r="O641" t="b">
        <v>0</v>
      </c>
      <c r="P641" t="b">
        <v>0</v>
      </c>
      <c r="Q641">
        <v>8.9</v>
      </c>
      <c r="R641" t="b">
        <v>1</v>
      </c>
      <c r="S641" t="s">
        <v>75</v>
      </c>
      <c r="T641">
        <v>3.9</v>
      </c>
      <c r="U641">
        <v>75.180000000000007</v>
      </c>
      <c r="V641" t="b">
        <v>1</v>
      </c>
      <c r="W641" t="s">
        <v>31</v>
      </c>
    </row>
    <row r="642" spans="1:23" x14ac:dyDescent="0.25">
      <c r="A642" t="s">
        <v>23</v>
      </c>
      <c r="B642" t="s">
        <v>71</v>
      </c>
      <c r="C642">
        <v>52.43</v>
      </c>
      <c r="D642">
        <v>396</v>
      </c>
      <c r="E642" t="b">
        <v>1</v>
      </c>
      <c r="F642" t="b">
        <v>1</v>
      </c>
      <c r="G642" t="b">
        <v>1</v>
      </c>
      <c r="H642" t="s">
        <v>25</v>
      </c>
      <c r="I642" t="s">
        <v>44</v>
      </c>
      <c r="J642" t="s">
        <v>54</v>
      </c>
      <c r="K642" t="s">
        <v>37</v>
      </c>
      <c r="L642" t="s">
        <v>51</v>
      </c>
      <c r="M642" t="s">
        <v>46</v>
      </c>
      <c r="N642" t="s">
        <v>28</v>
      </c>
      <c r="O642" t="b">
        <v>1</v>
      </c>
      <c r="P642" t="b">
        <v>0</v>
      </c>
      <c r="Q642">
        <v>7.2</v>
      </c>
      <c r="R642" t="b">
        <v>1</v>
      </c>
      <c r="S642" t="s">
        <v>30</v>
      </c>
      <c r="T642">
        <v>35.9</v>
      </c>
      <c r="U642">
        <v>47.14</v>
      </c>
      <c r="V642" t="b">
        <v>0</v>
      </c>
      <c r="W642" t="s">
        <v>41</v>
      </c>
    </row>
    <row r="643" spans="1:23" x14ac:dyDescent="0.25">
      <c r="A643" t="s">
        <v>23</v>
      </c>
      <c r="B643" t="s">
        <v>59</v>
      </c>
      <c r="C643">
        <v>94.22</v>
      </c>
      <c r="D643">
        <v>163</v>
      </c>
      <c r="E643" t="b">
        <v>1</v>
      </c>
      <c r="F643" t="b">
        <v>0</v>
      </c>
      <c r="G643" t="b">
        <v>0</v>
      </c>
      <c r="H643" t="s">
        <v>53</v>
      </c>
      <c r="I643" t="s">
        <v>63</v>
      </c>
      <c r="J643" t="s">
        <v>36</v>
      </c>
      <c r="K643" t="s">
        <v>39</v>
      </c>
      <c r="L643" t="s">
        <v>69</v>
      </c>
      <c r="M643" t="s">
        <v>46</v>
      </c>
      <c r="N643" t="s">
        <v>46</v>
      </c>
      <c r="P643" t="b">
        <v>0</v>
      </c>
      <c r="Q643">
        <v>10</v>
      </c>
      <c r="R643" t="b">
        <v>0</v>
      </c>
      <c r="T643">
        <v>0</v>
      </c>
      <c r="U643">
        <v>95.96</v>
      </c>
      <c r="V643" t="b">
        <v>1</v>
      </c>
      <c r="W643" t="s">
        <v>58</v>
      </c>
    </row>
    <row r="644" spans="1:23" x14ac:dyDescent="0.25">
      <c r="A644" t="s">
        <v>56</v>
      </c>
      <c r="B644" t="s">
        <v>62</v>
      </c>
      <c r="C644">
        <v>70.930000000000007</v>
      </c>
      <c r="D644">
        <v>577</v>
      </c>
      <c r="E644" t="b">
        <v>0</v>
      </c>
      <c r="F644" t="b">
        <v>0</v>
      </c>
      <c r="G644" t="b">
        <v>1</v>
      </c>
      <c r="H644" t="s">
        <v>53</v>
      </c>
      <c r="I644" t="s">
        <v>67</v>
      </c>
      <c r="J644" t="s">
        <v>45</v>
      </c>
      <c r="K644" t="s">
        <v>39</v>
      </c>
      <c r="L644" t="s">
        <v>69</v>
      </c>
      <c r="M644" t="s">
        <v>46</v>
      </c>
      <c r="O644" t="b">
        <v>0</v>
      </c>
      <c r="P644" t="b">
        <v>1</v>
      </c>
      <c r="Q644">
        <v>6.9</v>
      </c>
      <c r="R644" t="b">
        <v>0</v>
      </c>
      <c r="T644">
        <v>0</v>
      </c>
      <c r="U644">
        <v>75.599999999999994</v>
      </c>
      <c r="V644" t="b">
        <v>1</v>
      </c>
      <c r="W644" t="s">
        <v>31</v>
      </c>
    </row>
    <row r="645" spans="1:23" x14ac:dyDescent="0.25">
      <c r="A645" t="s">
        <v>74</v>
      </c>
      <c r="B645" t="s">
        <v>42</v>
      </c>
      <c r="C645">
        <v>82.44</v>
      </c>
      <c r="D645">
        <v>347</v>
      </c>
      <c r="E645" t="b">
        <v>1</v>
      </c>
      <c r="F645" t="b">
        <v>0</v>
      </c>
      <c r="G645" t="b">
        <v>0</v>
      </c>
      <c r="H645" t="s">
        <v>34</v>
      </c>
      <c r="I645" t="s">
        <v>35</v>
      </c>
      <c r="J645" t="s">
        <v>50</v>
      </c>
      <c r="K645" t="s">
        <v>39</v>
      </c>
      <c r="L645" t="s">
        <v>37</v>
      </c>
      <c r="M645" t="s">
        <v>47</v>
      </c>
      <c r="N645" t="s">
        <v>28</v>
      </c>
      <c r="O645" t="b">
        <v>1</v>
      </c>
      <c r="P645" t="b">
        <v>0</v>
      </c>
      <c r="Q645">
        <v>10</v>
      </c>
      <c r="R645" t="b">
        <v>1</v>
      </c>
      <c r="S645" t="s">
        <v>65</v>
      </c>
      <c r="T645">
        <v>11.4</v>
      </c>
      <c r="U645">
        <v>95.46</v>
      </c>
      <c r="V645" t="b">
        <v>1</v>
      </c>
      <c r="W645" t="s">
        <v>31</v>
      </c>
    </row>
    <row r="646" spans="1:23" x14ac:dyDescent="0.25">
      <c r="A646" t="s">
        <v>61</v>
      </c>
      <c r="B646" t="s">
        <v>71</v>
      </c>
      <c r="C646">
        <v>53.88</v>
      </c>
      <c r="D646">
        <v>696</v>
      </c>
      <c r="E646" t="b">
        <v>0</v>
      </c>
      <c r="F646" t="b">
        <v>0</v>
      </c>
      <c r="G646" t="b">
        <v>1</v>
      </c>
      <c r="H646" t="s">
        <v>34</v>
      </c>
      <c r="I646" t="s">
        <v>63</v>
      </c>
      <c r="J646" t="s">
        <v>54</v>
      </c>
      <c r="K646" t="s">
        <v>46</v>
      </c>
      <c r="L646" t="s">
        <v>51</v>
      </c>
      <c r="M646" t="s">
        <v>39</v>
      </c>
      <c r="N646" t="s">
        <v>39</v>
      </c>
      <c r="O646" t="b">
        <v>1</v>
      </c>
      <c r="P646" t="b">
        <v>1</v>
      </c>
      <c r="Q646">
        <v>6.5</v>
      </c>
      <c r="R646" t="b">
        <v>1</v>
      </c>
      <c r="S646" t="s">
        <v>75</v>
      </c>
      <c r="T646">
        <v>23.4</v>
      </c>
      <c r="U646">
        <v>31.73</v>
      </c>
      <c r="V646" t="b">
        <v>0</v>
      </c>
      <c r="W646" t="s">
        <v>41</v>
      </c>
    </row>
    <row r="647" spans="1:23" x14ac:dyDescent="0.25">
      <c r="A647" t="s">
        <v>56</v>
      </c>
      <c r="B647" t="s">
        <v>62</v>
      </c>
      <c r="C647">
        <v>55.75</v>
      </c>
      <c r="D647">
        <v>240</v>
      </c>
      <c r="E647" t="b">
        <v>1</v>
      </c>
      <c r="F647" t="b">
        <v>0</v>
      </c>
      <c r="G647" t="b">
        <v>1</v>
      </c>
      <c r="H647" t="s">
        <v>53</v>
      </c>
      <c r="I647" t="s">
        <v>63</v>
      </c>
      <c r="J647" t="s">
        <v>45</v>
      </c>
      <c r="K647" t="s">
        <v>28</v>
      </c>
      <c r="L647" t="s">
        <v>51</v>
      </c>
      <c r="M647" t="s">
        <v>46</v>
      </c>
      <c r="N647" t="s">
        <v>46</v>
      </c>
      <c r="P647" t="b">
        <v>0</v>
      </c>
      <c r="Q647">
        <v>7.1</v>
      </c>
      <c r="R647" t="b">
        <v>0</v>
      </c>
      <c r="T647">
        <v>0</v>
      </c>
      <c r="U647">
        <v>42.98</v>
      </c>
      <c r="V647" t="b">
        <v>0</v>
      </c>
      <c r="W647" t="s">
        <v>31</v>
      </c>
    </row>
    <row r="648" spans="1:23" x14ac:dyDescent="0.25">
      <c r="A648" t="s">
        <v>32</v>
      </c>
      <c r="B648" t="s">
        <v>70</v>
      </c>
      <c r="C648">
        <v>70.47</v>
      </c>
      <c r="D648">
        <v>441</v>
      </c>
      <c r="E648" t="b">
        <v>1</v>
      </c>
      <c r="F648" t="b">
        <v>1</v>
      </c>
      <c r="G648" t="b">
        <v>1</v>
      </c>
      <c r="H648" t="s">
        <v>25</v>
      </c>
      <c r="I648" t="s">
        <v>67</v>
      </c>
      <c r="J648" t="s">
        <v>50</v>
      </c>
      <c r="K648" t="s">
        <v>39</v>
      </c>
      <c r="L648" t="s">
        <v>37</v>
      </c>
      <c r="M648" t="s">
        <v>28</v>
      </c>
      <c r="N648" t="s">
        <v>46</v>
      </c>
      <c r="O648" t="b">
        <v>0</v>
      </c>
      <c r="P648" t="b">
        <v>1</v>
      </c>
      <c r="Q648">
        <v>6.8</v>
      </c>
      <c r="R648" t="b">
        <v>0</v>
      </c>
      <c r="T648">
        <v>0</v>
      </c>
      <c r="U648">
        <v>83.14</v>
      </c>
      <c r="V648" t="b">
        <v>1</v>
      </c>
      <c r="W648" t="s">
        <v>31</v>
      </c>
    </row>
    <row r="649" spans="1:23" x14ac:dyDescent="0.25">
      <c r="A649" t="s">
        <v>68</v>
      </c>
      <c r="B649" t="s">
        <v>62</v>
      </c>
      <c r="C649">
        <v>62.75</v>
      </c>
      <c r="D649">
        <v>503</v>
      </c>
      <c r="E649" t="b">
        <v>0</v>
      </c>
      <c r="F649" t="b">
        <v>1</v>
      </c>
      <c r="G649" t="b">
        <v>1</v>
      </c>
      <c r="H649" t="s">
        <v>53</v>
      </c>
      <c r="I649" t="s">
        <v>35</v>
      </c>
      <c r="J649" t="s">
        <v>45</v>
      </c>
      <c r="K649" t="s">
        <v>46</v>
      </c>
      <c r="L649" t="s">
        <v>51</v>
      </c>
      <c r="M649" t="s">
        <v>28</v>
      </c>
      <c r="N649" t="s">
        <v>46</v>
      </c>
      <c r="P649" t="b">
        <v>1</v>
      </c>
      <c r="Q649">
        <v>7.1</v>
      </c>
      <c r="R649" t="b">
        <v>0</v>
      </c>
      <c r="T649">
        <v>0</v>
      </c>
      <c r="U649">
        <v>66.3</v>
      </c>
      <c r="V649" t="b">
        <v>1</v>
      </c>
      <c r="W649" t="s">
        <v>31</v>
      </c>
    </row>
    <row r="650" spans="1:23" x14ac:dyDescent="0.25">
      <c r="A650" t="s">
        <v>56</v>
      </c>
      <c r="B650" t="s">
        <v>76</v>
      </c>
      <c r="C650">
        <v>72.67</v>
      </c>
      <c r="D650">
        <v>738</v>
      </c>
      <c r="E650" t="b">
        <v>1</v>
      </c>
      <c r="F650" t="b">
        <v>0</v>
      </c>
      <c r="G650" t="b">
        <v>1</v>
      </c>
      <c r="H650" t="s">
        <v>34</v>
      </c>
      <c r="I650" t="s">
        <v>63</v>
      </c>
      <c r="J650" t="s">
        <v>27</v>
      </c>
      <c r="K650" t="s">
        <v>37</v>
      </c>
      <c r="L650" t="s">
        <v>51</v>
      </c>
      <c r="M650" t="s">
        <v>47</v>
      </c>
      <c r="N650" t="s">
        <v>28</v>
      </c>
      <c r="O650" t="b">
        <v>0</v>
      </c>
      <c r="P650" t="b">
        <v>1</v>
      </c>
      <c r="Q650">
        <v>6.8</v>
      </c>
      <c r="R650" t="b">
        <v>1</v>
      </c>
      <c r="S650" t="s">
        <v>65</v>
      </c>
      <c r="T650">
        <v>32.1</v>
      </c>
      <c r="U650">
        <v>74.55</v>
      </c>
      <c r="V650" t="b">
        <v>1</v>
      </c>
      <c r="W650" t="s">
        <v>41</v>
      </c>
    </row>
    <row r="651" spans="1:23" x14ac:dyDescent="0.25">
      <c r="A651" t="s">
        <v>74</v>
      </c>
      <c r="B651" t="s">
        <v>60</v>
      </c>
      <c r="C651">
        <v>59.17</v>
      </c>
      <c r="D651">
        <v>604</v>
      </c>
      <c r="E651" t="b">
        <v>1</v>
      </c>
      <c r="F651" t="b">
        <v>0</v>
      </c>
      <c r="G651" t="b">
        <v>0</v>
      </c>
      <c r="H651" t="s">
        <v>34</v>
      </c>
      <c r="I651" t="s">
        <v>63</v>
      </c>
      <c r="J651" t="s">
        <v>27</v>
      </c>
      <c r="K651" t="s">
        <v>28</v>
      </c>
      <c r="L651" t="s">
        <v>69</v>
      </c>
      <c r="M651" t="s">
        <v>46</v>
      </c>
      <c r="N651" t="s">
        <v>39</v>
      </c>
      <c r="O651" t="b">
        <v>0</v>
      </c>
      <c r="P651" t="b">
        <v>0</v>
      </c>
      <c r="Q651">
        <v>8</v>
      </c>
      <c r="R651" t="b">
        <v>0</v>
      </c>
      <c r="T651">
        <v>0</v>
      </c>
      <c r="U651">
        <v>63.38</v>
      </c>
      <c r="V651" t="b">
        <v>1</v>
      </c>
      <c r="W651" t="s">
        <v>58</v>
      </c>
    </row>
    <row r="652" spans="1:23" x14ac:dyDescent="0.25">
      <c r="A652" t="s">
        <v>61</v>
      </c>
      <c r="B652" t="s">
        <v>24</v>
      </c>
      <c r="C652">
        <v>91.96</v>
      </c>
      <c r="D652">
        <v>148</v>
      </c>
      <c r="E652" t="b">
        <v>1</v>
      </c>
      <c r="F652" t="b">
        <v>0</v>
      </c>
      <c r="G652" t="b">
        <v>0</v>
      </c>
      <c r="H652" t="s">
        <v>43</v>
      </c>
      <c r="I652" t="s">
        <v>57</v>
      </c>
      <c r="J652" t="s">
        <v>50</v>
      </c>
      <c r="K652" t="s">
        <v>46</v>
      </c>
      <c r="L652" t="s">
        <v>69</v>
      </c>
      <c r="M652" t="s">
        <v>28</v>
      </c>
      <c r="P652" t="b">
        <v>0</v>
      </c>
      <c r="Q652">
        <v>10</v>
      </c>
      <c r="R652" t="b">
        <v>0</v>
      </c>
      <c r="T652">
        <v>0</v>
      </c>
      <c r="U652">
        <v>90.13</v>
      </c>
      <c r="V652" t="b">
        <v>1</v>
      </c>
      <c r="W652" t="s">
        <v>58</v>
      </c>
    </row>
    <row r="653" spans="1:23" x14ac:dyDescent="0.25">
      <c r="A653" t="s">
        <v>23</v>
      </c>
      <c r="B653" t="s">
        <v>71</v>
      </c>
      <c r="C653">
        <v>46.8</v>
      </c>
      <c r="D653">
        <v>192</v>
      </c>
      <c r="E653" t="b">
        <v>0</v>
      </c>
      <c r="F653" t="b">
        <v>1</v>
      </c>
      <c r="G653" t="b">
        <v>0</v>
      </c>
      <c r="H653" t="s">
        <v>25</v>
      </c>
      <c r="I653" t="s">
        <v>63</v>
      </c>
      <c r="J653" t="s">
        <v>36</v>
      </c>
      <c r="K653" t="s">
        <v>37</v>
      </c>
      <c r="L653" t="s">
        <v>29</v>
      </c>
      <c r="M653" t="s">
        <v>46</v>
      </c>
      <c r="O653" t="b">
        <v>0</v>
      </c>
      <c r="P653" t="b">
        <v>0</v>
      </c>
      <c r="Q653">
        <v>3.6</v>
      </c>
      <c r="R653" t="b">
        <v>1</v>
      </c>
      <c r="S653" t="s">
        <v>65</v>
      </c>
      <c r="T653">
        <v>15.1</v>
      </c>
      <c r="U653">
        <v>30.87</v>
      </c>
      <c r="V653" t="b">
        <v>1</v>
      </c>
      <c r="W653" t="s">
        <v>72</v>
      </c>
    </row>
    <row r="654" spans="1:23" x14ac:dyDescent="0.25">
      <c r="A654" t="s">
        <v>68</v>
      </c>
      <c r="B654" t="s">
        <v>33</v>
      </c>
      <c r="C654">
        <v>89.44</v>
      </c>
      <c r="D654">
        <v>66</v>
      </c>
      <c r="E654" t="b">
        <v>1</v>
      </c>
      <c r="F654" t="b">
        <v>1</v>
      </c>
      <c r="G654" t="b">
        <v>1</v>
      </c>
      <c r="H654" t="s">
        <v>25</v>
      </c>
      <c r="I654" t="s">
        <v>67</v>
      </c>
      <c r="J654" t="s">
        <v>27</v>
      </c>
      <c r="K654" t="s">
        <v>37</v>
      </c>
      <c r="L654" t="s">
        <v>37</v>
      </c>
      <c r="M654" t="s">
        <v>39</v>
      </c>
      <c r="N654" t="s">
        <v>46</v>
      </c>
      <c r="O654" t="b">
        <v>1</v>
      </c>
      <c r="P654" t="b">
        <v>1</v>
      </c>
      <c r="Q654">
        <v>10</v>
      </c>
      <c r="R654" t="b">
        <v>1</v>
      </c>
      <c r="S654" t="s">
        <v>52</v>
      </c>
      <c r="T654">
        <v>20.399999999999999</v>
      </c>
      <c r="U654">
        <v>83.57</v>
      </c>
      <c r="V654" t="b">
        <v>1</v>
      </c>
      <c r="W654" t="s">
        <v>31</v>
      </c>
    </row>
    <row r="655" spans="1:23" x14ac:dyDescent="0.25">
      <c r="A655" t="s">
        <v>68</v>
      </c>
      <c r="B655" t="s">
        <v>59</v>
      </c>
      <c r="C655">
        <v>79.84</v>
      </c>
      <c r="D655">
        <v>381</v>
      </c>
      <c r="E655" t="b">
        <v>1</v>
      </c>
      <c r="F655" t="b">
        <v>1</v>
      </c>
      <c r="G655" t="b">
        <v>1</v>
      </c>
      <c r="H655" t="s">
        <v>34</v>
      </c>
      <c r="I655" t="s">
        <v>63</v>
      </c>
      <c r="J655" t="s">
        <v>36</v>
      </c>
      <c r="K655" t="s">
        <v>39</v>
      </c>
      <c r="L655" t="s">
        <v>29</v>
      </c>
      <c r="M655" t="s">
        <v>39</v>
      </c>
      <c r="N655" t="s">
        <v>46</v>
      </c>
      <c r="P655" t="b">
        <v>1</v>
      </c>
      <c r="Q655">
        <v>8.3000000000000007</v>
      </c>
      <c r="R655" t="b">
        <v>0</v>
      </c>
      <c r="T655">
        <v>0</v>
      </c>
      <c r="U655">
        <v>70.69</v>
      </c>
      <c r="V655" t="b">
        <v>1</v>
      </c>
      <c r="W655" t="s">
        <v>58</v>
      </c>
    </row>
    <row r="656" spans="1:23" x14ac:dyDescent="0.25">
      <c r="A656" t="s">
        <v>61</v>
      </c>
      <c r="B656" t="s">
        <v>71</v>
      </c>
      <c r="C656">
        <v>55.92</v>
      </c>
      <c r="D656">
        <v>602</v>
      </c>
      <c r="E656" t="b">
        <v>0</v>
      </c>
      <c r="F656" t="b">
        <v>0</v>
      </c>
      <c r="G656" t="b">
        <v>0</v>
      </c>
      <c r="H656" t="s">
        <v>25</v>
      </c>
      <c r="I656" t="s">
        <v>44</v>
      </c>
      <c r="J656" t="s">
        <v>45</v>
      </c>
      <c r="K656" t="s">
        <v>39</v>
      </c>
      <c r="L656" t="s">
        <v>29</v>
      </c>
      <c r="M656" t="s">
        <v>46</v>
      </c>
      <c r="N656" t="s">
        <v>46</v>
      </c>
      <c r="O656" t="b">
        <v>0</v>
      </c>
      <c r="P656" t="b">
        <v>0</v>
      </c>
      <c r="Q656">
        <v>4.4000000000000004</v>
      </c>
      <c r="R656" t="b">
        <v>0</v>
      </c>
      <c r="T656">
        <v>0</v>
      </c>
      <c r="U656">
        <v>31.19</v>
      </c>
      <c r="V656" t="b">
        <v>1</v>
      </c>
      <c r="W656" t="s">
        <v>41</v>
      </c>
    </row>
    <row r="657" spans="1:23" x14ac:dyDescent="0.25">
      <c r="A657" t="s">
        <v>23</v>
      </c>
      <c r="B657" t="s">
        <v>73</v>
      </c>
      <c r="C657">
        <v>57.18</v>
      </c>
      <c r="D657">
        <v>603</v>
      </c>
      <c r="E657" t="b">
        <v>0</v>
      </c>
      <c r="F657" t="b">
        <v>1</v>
      </c>
      <c r="G657" t="b">
        <v>1</v>
      </c>
      <c r="H657" t="s">
        <v>34</v>
      </c>
      <c r="I657" t="s">
        <v>44</v>
      </c>
      <c r="J657" t="s">
        <v>54</v>
      </c>
      <c r="K657" t="s">
        <v>46</v>
      </c>
      <c r="L657" t="s">
        <v>69</v>
      </c>
      <c r="M657" t="s">
        <v>28</v>
      </c>
      <c r="N657" t="s">
        <v>28</v>
      </c>
      <c r="P657" t="b">
        <v>1</v>
      </c>
      <c r="Q657">
        <v>7.5</v>
      </c>
      <c r="R657" t="b">
        <v>0</v>
      </c>
      <c r="T657">
        <v>0</v>
      </c>
      <c r="U657">
        <v>60.06</v>
      </c>
      <c r="V657" t="b">
        <v>1</v>
      </c>
      <c r="W657" t="s">
        <v>31</v>
      </c>
    </row>
    <row r="658" spans="1:23" x14ac:dyDescent="0.25">
      <c r="A658" t="s">
        <v>32</v>
      </c>
      <c r="B658" t="s">
        <v>70</v>
      </c>
      <c r="C658">
        <v>84.67</v>
      </c>
      <c r="D658">
        <v>664</v>
      </c>
      <c r="E658" t="b">
        <v>1</v>
      </c>
      <c r="F658" t="b">
        <v>1</v>
      </c>
      <c r="G658" t="b">
        <v>1</v>
      </c>
      <c r="H658" t="s">
        <v>25</v>
      </c>
      <c r="I658" t="s">
        <v>26</v>
      </c>
      <c r="J658" t="s">
        <v>45</v>
      </c>
      <c r="K658" t="s">
        <v>37</v>
      </c>
      <c r="L658" t="s">
        <v>69</v>
      </c>
      <c r="M658" t="s">
        <v>39</v>
      </c>
      <c r="N658" t="s">
        <v>46</v>
      </c>
      <c r="O658" t="b">
        <v>1</v>
      </c>
      <c r="P658" t="b">
        <v>0</v>
      </c>
      <c r="Q658">
        <v>10</v>
      </c>
      <c r="R658" t="b">
        <v>0</v>
      </c>
      <c r="T658">
        <v>0</v>
      </c>
      <c r="U658">
        <v>84.87</v>
      </c>
      <c r="V658" t="b">
        <v>1</v>
      </c>
      <c r="W658" t="s">
        <v>58</v>
      </c>
    </row>
    <row r="659" spans="1:23" x14ac:dyDescent="0.25">
      <c r="A659" t="s">
        <v>68</v>
      </c>
      <c r="B659" t="s">
        <v>70</v>
      </c>
      <c r="C659">
        <v>85.75</v>
      </c>
      <c r="D659">
        <v>728</v>
      </c>
      <c r="E659" t="b">
        <v>0</v>
      </c>
      <c r="F659" t="b">
        <v>0</v>
      </c>
      <c r="G659" t="b">
        <v>0</v>
      </c>
      <c r="H659" t="s">
        <v>53</v>
      </c>
      <c r="I659" t="s">
        <v>44</v>
      </c>
      <c r="J659" t="s">
        <v>54</v>
      </c>
      <c r="K659" t="s">
        <v>28</v>
      </c>
      <c r="L659" t="s">
        <v>29</v>
      </c>
      <c r="M659" t="s">
        <v>46</v>
      </c>
      <c r="N659" t="s">
        <v>46</v>
      </c>
      <c r="O659" t="b">
        <v>1</v>
      </c>
      <c r="P659" t="b">
        <v>0</v>
      </c>
      <c r="Q659">
        <v>10</v>
      </c>
      <c r="R659" t="b">
        <v>1</v>
      </c>
      <c r="S659" t="s">
        <v>55</v>
      </c>
      <c r="T659">
        <v>44</v>
      </c>
      <c r="U659">
        <v>97.23</v>
      </c>
      <c r="V659" t="b">
        <v>1</v>
      </c>
      <c r="W659" t="s">
        <v>31</v>
      </c>
    </row>
    <row r="660" spans="1:23" x14ac:dyDescent="0.25">
      <c r="A660" t="s">
        <v>68</v>
      </c>
      <c r="B660" t="s">
        <v>62</v>
      </c>
      <c r="C660">
        <v>50.03</v>
      </c>
      <c r="D660">
        <v>309</v>
      </c>
      <c r="E660" t="b">
        <v>0</v>
      </c>
      <c r="F660" t="b">
        <v>0</v>
      </c>
      <c r="G660" t="b">
        <v>1</v>
      </c>
      <c r="H660" t="s">
        <v>43</v>
      </c>
      <c r="I660" t="s">
        <v>44</v>
      </c>
      <c r="J660" t="s">
        <v>36</v>
      </c>
      <c r="K660" t="s">
        <v>39</v>
      </c>
      <c r="L660" t="s">
        <v>37</v>
      </c>
      <c r="M660" t="s">
        <v>47</v>
      </c>
      <c r="N660" t="s">
        <v>39</v>
      </c>
      <c r="O660" t="b">
        <v>1</v>
      </c>
      <c r="P660" t="b">
        <v>1</v>
      </c>
      <c r="Q660">
        <v>5.6</v>
      </c>
      <c r="R660" t="b">
        <v>1</v>
      </c>
      <c r="S660" t="s">
        <v>40</v>
      </c>
      <c r="T660">
        <v>35.200000000000003</v>
      </c>
      <c r="U660">
        <v>57.39</v>
      </c>
      <c r="V660" t="b">
        <v>1</v>
      </c>
      <c r="W660" t="s">
        <v>41</v>
      </c>
    </row>
    <row r="661" spans="1:23" x14ac:dyDescent="0.25">
      <c r="A661" t="s">
        <v>61</v>
      </c>
      <c r="B661" t="s">
        <v>59</v>
      </c>
      <c r="C661">
        <v>87.78</v>
      </c>
      <c r="D661">
        <v>443</v>
      </c>
      <c r="E661" t="b">
        <v>0</v>
      </c>
      <c r="F661" t="b">
        <v>1</v>
      </c>
      <c r="G661" t="b">
        <v>0</v>
      </c>
      <c r="H661" t="s">
        <v>53</v>
      </c>
      <c r="I661" t="s">
        <v>57</v>
      </c>
      <c r="J661" t="s">
        <v>36</v>
      </c>
      <c r="K661" t="s">
        <v>46</v>
      </c>
      <c r="L661" t="s">
        <v>37</v>
      </c>
      <c r="M661" t="s">
        <v>28</v>
      </c>
      <c r="O661" t="b">
        <v>0</v>
      </c>
      <c r="P661" t="b">
        <v>1</v>
      </c>
      <c r="Q661">
        <v>7.6</v>
      </c>
      <c r="R661" t="b">
        <v>1</v>
      </c>
      <c r="S661" t="s">
        <v>55</v>
      </c>
      <c r="T661">
        <v>42.5</v>
      </c>
      <c r="U661">
        <v>100</v>
      </c>
      <c r="V661" t="b">
        <v>0</v>
      </c>
      <c r="W661" t="s">
        <v>41</v>
      </c>
    </row>
    <row r="662" spans="1:23" x14ac:dyDescent="0.25">
      <c r="A662" t="s">
        <v>32</v>
      </c>
      <c r="B662" t="s">
        <v>62</v>
      </c>
      <c r="C662">
        <v>65.77</v>
      </c>
      <c r="D662">
        <v>559</v>
      </c>
      <c r="E662" t="b">
        <v>0</v>
      </c>
      <c r="F662" t="b">
        <v>0</v>
      </c>
      <c r="G662" t="b">
        <v>0</v>
      </c>
      <c r="H662" t="s">
        <v>34</v>
      </c>
      <c r="I662" t="s">
        <v>44</v>
      </c>
      <c r="J662" t="s">
        <v>27</v>
      </c>
      <c r="K662" t="s">
        <v>37</v>
      </c>
      <c r="L662" t="s">
        <v>51</v>
      </c>
      <c r="M662" t="s">
        <v>46</v>
      </c>
      <c r="N662" t="s">
        <v>28</v>
      </c>
      <c r="O662" t="b">
        <v>0</v>
      </c>
      <c r="P662" t="b">
        <v>1</v>
      </c>
      <c r="Q662">
        <v>5.9</v>
      </c>
      <c r="R662" t="b">
        <v>1</v>
      </c>
      <c r="S662" t="s">
        <v>65</v>
      </c>
      <c r="T662">
        <v>3.9</v>
      </c>
      <c r="U662">
        <v>78.56</v>
      </c>
      <c r="V662" t="b">
        <v>1</v>
      </c>
      <c r="W662" t="s">
        <v>41</v>
      </c>
    </row>
    <row r="663" spans="1:23" x14ac:dyDescent="0.25">
      <c r="A663" t="s">
        <v>32</v>
      </c>
      <c r="B663" t="s">
        <v>62</v>
      </c>
      <c r="C663">
        <v>57.21</v>
      </c>
      <c r="D663">
        <v>641</v>
      </c>
      <c r="E663" t="b">
        <v>1</v>
      </c>
      <c r="F663" t="b">
        <v>1</v>
      </c>
      <c r="G663" t="b">
        <v>1</v>
      </c>
      <c r="H663" t="s">
        <v>53</v>
      </c>
      <c r="I663" t="s">
        <v>57</v>
      </c>
      <c r="J663" t="s">
        <v>50</v>
      </c>
      <c r="K663" t="s">
        <v>46</v>
      </c>
      <c r="L663" t="s">
        <v>37</v>
      </c>
      <c r="M663" t="s">
        <v>47</v>
      </c>
      <c r="N663" t="s">
        <v>39</v>
      </c>
      <c r="P663" t="b">
        <v>1</v>
      </c>
      <c r="Q663">
        <v>5.2</v>
      </c>
      <c r="R663" t="b">
        <v>1</v>
      </c>
      <c r="S663" t="s">
        <v>64</v>
      </c>
      <c r="T663">
        <v>34.6</v>
      </c>
      <c r="U663">
        <v>59.12</v>
      </c>
      <c r="V663" t="b">
        <v>1</v>
      </c>
      <c r="W663" t="s">
        <v>41</v>
      </c>
    </row>
    <row r="664" spans="1:23" x14ac:dyDescent="0.25">
      <c r="A664" t="s">
        <v>61</v>
      </c>
      <c r="B664" t="s">
        <v>49</v>
      </c>
      <c r="C664">
        <v>73.56</v>
      </c>
      <c r="D664">
        <v>556</v>
      </c>
      <c r="E664" t="b">
        <v>1</v>
      </c>
      <c r="F664" t="b">
        <v>0</v>
      </c>
      <c r="G664" t="b">
        <v>0</v>
      </c>
      <c r="H664" t="s">
        <v>34</v>
      </c>
      <c r="I664" t="s">
        <v>63</v>
      </c>
      <c r="J664" t="s">
        <v>27</v>
      </c>
      <c r="K664" t="s">
        <v>28</v>
      </c>
      <c r="L664" t="s">
        <v>29</v>
      </c>
      <c r="M664" t="s">
        <v>28</v>
      </c>
      <c r="N664" t="s">
        <v>46</v>
      </c>
      <c r="P664" t="b">
        <v>0</v>
      </c>
      <c r="Q664">
        <v>9.5</v>
      </c>
      <c r="R664" t="b">
        <v>1</v>
      </c>
      <c r="S664" t="s">
        <v>75</v>
      </c>
      <c r="T664">
        <v>26.5</v>
      </c>
      <c r="U664">
        <v>87.03</v>
      </c>
      <c r="V664" t="b">
        <v>1</v>
      </c>
      <c r="W664" t="s">
        <v>31</v>
      </c>
    </row>
    <row r="665" spans="1:23" x14ac:dyDescent="0.25">
      <c r="A665" t="s">
        <v>68</v>
      </c>
      <c r="B665" t="s">
        <v>60</v>
      </c>
      <c r="C665">
        <v>48.51</v>
      </c>
      <c r="D665">
        <v>71</v>
      </c>
      <c r="E665" t="b">
        <v>1</v>
      </c>
      <c r="F665" t="b">
        <v>1</v>
      </c>
      <c r="G665" t="b">
        <v>0</v>
      </c>
      <c r="H665" t="s">
        <v>34</v>
      </c>
      <c r="I665" t="s">
        <v>35</v>
      </c>
      <c r="J665" t="s">
        <v>45</v>
      </c>
      <c r="K665" t="s">
        <v>39</v>
      </c>
      <c r="L665" t="s">
        <v>38</v>
      </c>
      <c r="M665" t="s">
        <v>39</v>
      </c>
      <c r="N665" t="s">
        <v>39</v>
      </c>
      <c r="O665" t="b">
        <v>1</v>
      </c>
      <c r="P665" t="b">
        <v>1</v>
      </c>
      <c r="Q665">
        <v>7.9</v>
      </c>
      <c r="R665" t="b">
        <v>1</v>
      </c>
      <c r="S665" t="s">
        <v>30</v>
      </c>
      <c r="T665">
        <v>8.1999999999999993</v>
      </c>
      <c r="U665">
        <v>40.53</v>
      </c>
      <c r="V665" t="b">
        <v>0</v>
      </c>
      <c r="W665" t="s">
        <v>41</v>
      </c>
    </row>
    <row r="666" spans="1:23" x14ac:dyDescent="0.25">
      <c r="A666" t="s">
        <v>68</v>
      </c>
      <c r="B666" t="s">
        <v>24</v>
      </c>
      <c r="C666">
        <v>94.38</v>
      </c>
      <c r="D666">
        <v>427</v>
      </c>
      <c r="E666" t="b">
        <v>1</v>
      </c>
      <c r="F666" t="b">
        <v>1</v>
      </c>
      <c r="G666" t="b">
        <v>0</v>
      </c>
      <c r="H666" t="s">
        <v>25</v>
      </c>
      <c r="I666" t="s">
        <v>35</v>
      </c>
      <c r="J666" t="s">
        <v>36</v>
      </c>
      <c r="K666" t="s">
        <v>37</v>
      </c>
      <c r="L666" t="s">
        <v>69</v>
      </c>
      <c r="M666" t="s">
        <v>28</v>
      </c>
      <c r="N666" t="s">
        <v>39</v>
      </c>
      <c r="O666" t="b">
        <v>1</v>
      </c>
      <c r="P666" t="b">
        <v>0</v>
      </c>
      <c r="Q666">
        <v>10</v>
      </c>
      <c r="R666" t="b">
        <v>1</v>
      </c>
      <c r="S666" t="s">
        <v>65</v>
      </c>
      <c r="T666">
        <v>22.9</v>
      </c>
      <c r="U666">
        <v>83.39</v>
      </c>
      <c r="V666" t="b">
        <v>1</v>
      </c>
      <c r="W666" t="s">
        <v>31</v>
      </c>
    </row>
    <row r="667" spans="1:23" x14ac:dyDescent="0.25">
      <c r="A667" t="s">
        <v>23</v>
      </c>
      <c r="B667" t="s">
        <v>70</v>
      </c>
      <c r="C667">
        <v>83.83</v>
      </c>
      <c r="D667">
        <v>448</v>
      </c>
      <c r="E667" t="b">
        <v>1</v>
      </c>
      <c r="F667" t="b">
        <v>1</v>
      </c>
      <c r="G667" t="b">
        <v>0</v>
      </c>
      <c r="H667" t="s">
        <v>53</v>
      </c>
      <c r="I667" t="s">
        <v>63</v>
      </c>
      <c r="J667" t="s">
        <v>27</v>
      </c>
      <c r="K667" t="s">
        <v>46</v>
      </c>
      <c r="L667" t="s">
        <v>51</v>
      </c>
      <c r="M667" t="s">
        <v>46</v>
      </c>
      <c r="N667" t="s">
        <v>28</v>
      </c>
      <c r="O667" t="b">
        <v>0</v>
      </c>
      <c r="P667" t="b">
        <v>1</v>
      </c>
      <c r="Q667">
        <v>8.6</v>
      </c>
      <c r="R667" t="b">
        <v>0</v>
      </c>
      <c r="T667">
        <v>0</v>
      </c>
      <c r="U667">
        <v>69.52</v>
      </c>
      <c r="V667" t="b">
        <v>1</v>
      </c>
      <c r="W667" t="s">
        <v>58</v>
      </c>
    </row>
    <row r="668" spans="1:23" x14ac:dyDescent="0.25">
      <c r="A668" t="s">
        <v>23</v>
      </c>
      <c r="B668" t="s">
        <v>60</v>
      </c>
      <c r="C668">
        <v>59.1</v>
      </c>
      <c r="D668">
        <v>237</v>
      </c>
      <c r="E668" t="b">
        <v>1</v>
      </c>
      <c r="F668" t="b">
        <v>0</v>
      </c>
      <c r="G668" t="b">
        <v>0</v>
      </c>
      <c r="H668" t="s">
        <v>53</v>
      </c>
      <c r="I668" t="s">
        <v>63</v>
      </c>
      <c r="J668" t="s">
        <v>27</v>
      </c>
      <c r="K668" t="s">
        <v>28</v>
      </c>
      <c r="L668" t="s">
        <v>29</v>
      </c>
      <c r="M668" t="s">
        <v>46</v>
      </c>
      <c r="N668" t="s">
        <v>39</v>
      </c>
      <c r="O668" t="b">
        <v>1</v>
      </c>
      <c r="P668" t="b">
        <v>1</v>
      </c>
      <c r="Q668">
        <v>9.1999999999999993</v>
      </c>
      <c r="R668" t="b">
        <v>0</v>
      </c>
      <c r="T668">
        <v>0</v>
      </c>
      <c r="U668">
        <v>67.41</v>
      </c>
      <c r="V668" t="b">
        <v>0</v>
      </c>
      <c r="W668" t="s">
        <v>58</v>
      </c>
    </row>
    <row r="669" spans="1:23" x14ac:dyDescent="0.25">
      <c r="A669" t="s">
        <v>74</v>
      </c>
      <c r="B669" t="s">
        <v>73</v>
      </c>
      <c r="C669">
        <v>64.489999999999995</v>
      </c>
      <c r="D669">
        <v>203</v>
      </c>
      <c r="E669" t="b">
        <v>0</v>
      </c>
      <c r="F669" t="b">
        <v>1</v>
      </c>
      <c r="G669" t="b">
        <v>0</v>
      </c>
      <c r="H669" t="s">
        <v>25</v>
      </c>
      <c r="I669" t="s">
        <v>35</v>
      </c>
      <c r="J669" t="s">
        <v>50</v>
      </c>
      <c r="K669" t="s">
        <v>28</v>
      </c>
      <c r="L669" t="s">
        <v>51</v>
      </c>
      <c r="M669" t="s">
        <v>47</v>
      </c>
      <c r="P669" t="b">
        <v>0</v>
      </c>
      <c r="Q669">
        <v>5.3</v>
      </c>
      <c r="R669" t="b">
        <v>1</v>
      </c>
      <c r="S669" t="s">
        <v>64</v>
      </c>
      <c r="T669">
        <v>27.4</v>
      </c>
      <c r="U669">
        <v>57.8</v>
      </c>
      <c r="V669" t="b">
        <v>1</v>
      </c>
      <c r="W669" t="s">
        <v>41</v>
      </c>
    </row>
    <row r="670" spans="1:23" x14ac:dyDescent="0.25">
      <c r="A670" t="s">
        <v>61</v>
      </c>
      <c r="B670" t="s">
        <v>66</v>
      </c>
      <c r="C670">
        <v>63.52</v>
      </c>
      <c r="D670">
        <v>491</v>
      </c>
      <c r="E670" t="b">
        <v>0</v>
      </c>
      <c r="F670" t="b">
        <v>0</v>
      </c>
      <c r="G670" t="b">
        <v>0</v>
      </c>
      <c r="H670" t="s">
        <v>53</v>
      </c>
      <c r="I670" t="s">
        <v>67</v>
      </c>
      <c r="J670" t="s">
        <v>45</v>
      </c>
      <c r="K670" t="s">
        <v>28</v>
      </c>
      <c r="L670" t="s">
        <v>51</v>
      </c>
      <c r="M670" t="s">
        <v>47</v>
      </c>
      <c r="N670" t="s">
        <v>28</v>
      </c>
      <c r="P670" t="b">
        <v>1</v>
      </c>
      <c r="Q670">
        <v>6.2</v>
      </c>
      <c r="R670" t="b">
        <v>1</v>
      </c>
      <c r="S670" t="s">
        <v>30</v>
      </c>
      <c r="T670">
        <v>8.8000000000000007</v>
      </c>
      <c r="U670">
        <v>39.71</v>
      </c>
      <c r="V670" t="b">
        <v>0</v>
      </c>
      <c r="W670" t="s">
        <v>41</v>
      </c>
    </row>
    <row r="671" spans="1:23" x14ac:dyDescent="0.25">
      <c r="A671" t="s">
        <v>23</v>
      </c>
      <c r="B671" t="s">
        <v>49</v>
      </c>
      <c r="C671">
        <v>75.25</v>
      </c>
      <c r="D671">
        <v>66</v>
      </c>
      <c r="E671" t="b">
        <v>0</v>
      </c>
      <c r="F671" t="b">
        <v>1</v>
      </c>
      <c r="G671" t="b">
        <v>0</v>
      </c>
      <c r="H671" t="s">
        <v>53</v>
      </c>
      <c r="I671" t="s">
        <v>63</v>
      </c>
      <c r="J671" t="s">
        <v>27</v>
      </c>
      <c r="K671" t="s">
        <v>28</v>
      </c>
      <c r="L671" t="s">
        <v>69</v>
      </c>
      <c r="M671" t="s">
        <v>28</v>
      </c>
      <c r="N671" t="s">
        <v>28</v>
      </c>
      <c r="O671" t="b">
        <v>0</v>
      </c>
      <c r="P671" t="b">
        <v>1</v>
      </c>
      <c r="Q671">
        <v>8.3000000000000007</v>
      </c>
      <c r="R671" t="b">
        <v>0</v>
      </c>
      <c r="T671">
        <v>0</v>
      </c>
      <c r="U671">
        <v>73.459999999999994</v>
      </c>
      <c r="V671" t="b">
        <v>1</v>
      </c>
      <c r="W671" t="s">
        <v>58</v>
      </c>
    </row>
    <row r="672" spans="1:23" x14ac:dyDescent="0.25">
      <c r="A672" t="s">
        <v>61</v>
      </c>
      <c r="B672" t="s">
        <v>49</v>
      </c>
      <c r="C672">
        <v>76.41</v>
      </c>
      <c r="D672">
        <v>199</v>
      </c>
      <c r="E672" t="b">
        <v>1</v>
      </c>
      <c r="F672" t="b">
        <v>1</v>
      </c>
      <c r="G672" t="b">
        <v>0</v>
      </c>
      <c r="H672" t="s">
        <v>34</v>
      </c>
      <c r="I672" t="s">
        <v>35</v>
      </c>
      <c r="J672" t="s">
        <v>45</v>
      </c>
      <c r="K672" t="s">
        <v>46</v>
      </c>
      <c r="L672" t="s">
        <v>29</v>
      </c>
      <c r="M672" t="s">
        <v>39</v>
      </c>
      <c r="O672" t="b">
        <v>0</v>
      </c>
      <c r="P672" t="b">
        <v>1</v>
      </c>
      <c r="Q672">
        <v>7.6</v>
      </c>
      <c r="R672" t="b">
        <v>1</v>
      </c>
      <c r="S672" t="s">
        <v>40</v>
      </c>
      <c r="T672">
        <v>23.3</v>
      </c>
      <c r="U672">
        <v>74.900000000000006</v>
      </c>
      <c r="V672" t="b">
        <v>1</v>
      </c>
      <c r="W672" t="s">
        <v>41</v>
      </c>
    </row>
    <row r="673" spans="1:23" x14ac:dyDescent="0.25">
      <c r="A673" t="s">
        <v>61</v>
      </c>
      <c r="B673" t="s">
        <v>62</v>
      </c>
      <c r="C673">
        <v>54.3</v>
      </c>
      <c r="D673">
        <v>423</v>
      </c>
      <c r="E673" t="b">
        <v>0</v>
      </c>
      <c r="F673" t="b">
        <v>1</v>
      </c>
      <c r="G673" t="b">
        <v>0</v>
      </c>
      <c r="H673" t="s">
        <v>53</v>
      </c>
      <c r="I673" t="s">
        <v>67</v>
      </c>
      <c r="J673" t="s">
        <v>36</v>
      </c>
      <c r="K673" t="s">
        <v>37</v>
      </c>
      <c r="L673" t="s">
        <v>69</v>
      </c>
      <c r="M673" t="s">
        <v>28</v>
      </c>
      <c r="N673" t="s">
        <v>28</v>
      </c>
      <c r="O673" t="b">
        <v>1</v>
      </c>
      <c r="P673" t="b">
        <v>0</v>
      </c>
      <c r="Q673">
        <v>7.7</v>
      </c>
      <c r="R673" t="b">
        <v>1</v>
      </c>
      <c r="S673" t="s">
        <v>30</v>
      </c>
      <c r="T673">
        <v>43.2</v>
      </c>
      <c r="U673">
        <v>61.44</v>
      </c>
      <c r="V673" t="b">
        <v>1</v>
      </c>
      <c r="W673" t="s">
        <v>41</v>
      </c>
    </row>
    <row r="674" spans="1:23" x14ac:dyDescent="0.25">
      <c r="A674" t="s">
        <v>74</v>
      </c>
      <c r="B674" t="s">
        <v>59</v>
      </c>
      <c r="C674">
        <v>94.42</v>
      </c>
      <c r="D674">
        <v>684</v>
      </c>
      <c r="E674" t="b">
        <v>1</v>
      </c>
      <c r="F674" t="b">
        <v>1</v>
      </c>
      <c r="G674" t="b">
        <v>0</v>
      </c>
      <c r="H674" t="s">
        <v>53</v>
      </c>
      <c r="I674" t="s">
        <v>67</v>
      </c>
      <c r="J674" t="s">
        <v>54</v>
      </c>
      <c r="K674" t="s">
        <v>39</v>
      </c>
      <c r="L674" t="s">
        <v>37</v>
      </c>
      <c r="M674" t="s">
        <v>39</v>
      </c>
      <c r="P674" t="b">
        <v>1</v>
      </c>
      <c r="Q674">
        <v>9.6999999999999993</v>
      </c>
      <c r="R674" t="b">
        <v>1</v>
      </c>
      <c r="S674" t="s">
        <v>65</v>
      </c>
      <c r="T674">
        <v>38.200000000000003</v>
      </c>
      <c r="U674">
        <v>83.9</v>
      </c>
      <c r="V674" t="b">
        <v>1</v>
      </c>
      <c r="W674" t="s">
        <v>31</v>
      </c>
    </row>
    <row r="675" spans="1:23" x14ac:dyDescent="0.25">
      <c r="A675" t="s">
        <v>32</v>
      </c>
      <c r="B675" t="s">
        <v>42</v>
      </c>
      <c r="C675">
        <v>76.98</v>
      </c>
      <c r="D675">
        <v>507</v>
      </c>
      <c r="E675" t="b">
        <v>1</v>
      </c>
      <c r="F675" t="b">
        <v>0</v>
      </c>
      <c r="G675" t="b">
        <v>0</v>
      </c>
      <c r="H675" t="s">
        <v>43</v>
      </c>
      <c r="I675" t="s">
        <v>44</v>
      </c>
      <c r="J675" t="s">
        <v>36</v>
      </c>
      <c r="K675" t="s">
        <v>46</v>
      </c>
      <c r="L675" t="s">
        <v>37</v>
      </c>
      <c r="M675" t="s">
        <v>28</v>
      </c>
      <c r="N675" t="s">
        <v>46</v>
      </c>
      <c r="O675" t="b">
        <v>1</v>
      </c>
      <c r="P675" t="b">
        <v>0</v>
      </c>
      <c r="Q675">
        <v>10</v>
      </c>
      <c r="R675" t="b">
        <v>1</v>
      </c>
      <c r="S675" t="s">
        <v>75</v>
      </c>
      <c r="T675">
        <v>5</v>
      </c>
      <c r="U675">
        <v>64.540000000000006</v>
      </c>
      <c r="V675" t="b">
        <v>0</v>
      </c>
      <c r="W675" t="s">
        <v>31</v>
      </c>
    </row>
    <row r="676" spans="1:23" x14ac:dyDescent="0.25">
      <c r="A676" t="s">
        <v>61</v>
      </c>
      <c r="B676" t="s">
        <v>76</v>
      </c>
      <c r="C676">
        <v>89.04</v>
      </c>
      <c r="D676">
        <v>435</v>
      </c>
      <c r="E676" t="b">
        <v>1</v>
      </c>
      <c r="F676" t="b">
        <v>0</v>
      </c>
      <c r="G676" t="b">
        <v>0</v>
      </c>
      <c r="H676" t="s">
        <v>25</v>
      </c>
      <c r="I676" t="s">
        <v>67</v>
      </c>
      <c r="J676" t="s">
        <v>36</v>
      </c>
      <c r="K676" t="s">
        <v>37</v>
      </c>
      <c r="L676" t="s">
        <v>29</v>
      </c>
      <c r="M676" t="s">
        <v>28</v>
      </c>
      <c r="N676" t="s">
        <v>28</v>
      </c>
      <c r="O676" t="b">
        <v>0</v>
      </c>
      <c r="P676" t="b">
        <v>0</v>
      </c>
      <c r="Q676">
        <v>9.8000000000000007</v>
      </c>
      <c r="R676" t="b">
        <v>0</v>
      </c>
      <c r="T676">
        <v>0</v>
      </c>
      <c r="U676">
        <v>94.1</v>
      </c>
      <c r="V676" t="b">
        <v>1</v>
      </c>
      <c r="W676" t="s">
        <v>58</v>
      </c>
    </row>
    <row r="677" spans="1:23" x14ac:dyDescent="0.25">
      <c r="A677" t="s">
        <v>68</v>
      </c>
      <c r="B677" t="s">
        <v>42</v>
      </c>
      <c r="C677">
        <v>81.95</v>
      </c>
      <c r="D677">
        <v>323</v>
      </c>
      <c r="E677" t="b">
        <v>0</v>
      </c>
      <c r="F677" t="b">
        <v>1</v>
      </c>
      <c r="G677" t="b">
        <v>0</v>
      </c>
      <c r="H677" t="s">
        <v>53</v>
      </c>
      <c r="I677" t="s">
        <v>67</v>
      </c>
      <c r="J677" t="s">
        <v>45</v>
      </c>
      <c r="K677" t="s">
        <v>46</v>
      </c>
      <c r="L677" t="s">
        <v>69</v>
      </c>
      <c r="M677" t="s">
        <v>39</v>
      </c>
      <c r="N677" t="s">
        <v>28</v>
      </c>
      <c r="O677" t="b">
        <v>0</v>
      </c>
      <c r="P677" t="b">
        <v>0</v>
      </c>
      <c r="Q677">
        <v>7.4</v>
      </c>
      <c r="R677" t="b">
        <v>0</v>
      </c>
      <c r="T677">
        <v>0</v>
      </c>
      <c r="U677">
        <v>71.739999999999995</v>
      </c>
      <c r="V677" t="b">
        <v>1</v>
      </c>
      <c r="W677" t="s">
        <v>31</v>
      </c>
    </row>
    <row r="678" spans="1:23" x14ac:dyDescent="0.25">
      <c r="A678" t="s">
        <v>56</v>
      </c>
      <c r="B678" t="s">
        <v>59</v>
      </c>
      <c r="C678">
        <v>77.349999999999994</v>
      </c>
      <c r="D678">
        <v>749</v>
      </c>
      <c r="E678" t="b">
        <v>0</v>
      </c>
      <c r="F678" t="b">
        <v>1</v>
      </c>
      <c r="G678" t="b">
        <v>1</v>
      </c>
      <c r="H678" t="s">
        <v>53</v>
      </c>
      <c r="I678" t="s">
        <v>26</v>
      </c>
      <c r="J678" t="s">
        <v>36</v>
      </c>
      <c r="K678" t="s">
        <v>37</v>
      </c>
      <c r="L678" t="s">
        <v>69</v>
      </c>
      <c r="M678" t="s">
        <v>39</v>
      </c>
      <c r="N678" t="s">
        <v>39</v>
      </c>
      <c r="P678" t="b">
        <v>1</v>
      </c>
      <c r="Q678">
        <v>7</v>
      </c>
      <c r="R678" t="b">
        <v>1</v>
      </c>
      <c r="S678" t="s">
        <v>30</v>
      </c>
      <c r="T678">
        <v>40.6</v>
      </c>
      <c r="U678">
        <v>80.989999999999995</v>
      </c>
      <c r="V678" t="b">
        <v>1</v>
      </c>
      <c r="W678" t="s">
        <v>41</v>
      </c>
    </row>
    <row r="679" spans="1:23" x14ac:dyDescent="0.25">
      <c r="A679" t="s">
        <v>23</v>
      </c>
      <c r="B679" t="s">
        <v>70</v>
      </c>
      <c r="C679">
        <v>94.64</v>
      </c>
      <c r="D679">
        <v>520</v>
      </c>
      <c r="E679" t="b">
        <v>1</v>
      </c>
      <c r="F679" t="b">
        <v>1</v>
      </c>
      <c r="G679" t="b">
        <v>0</v>
      </c>
      <c r="H679" t="s">
        <v>53</v>
      </c>
      <c r="I679" t="s">
        <v>44</v>
      </c>
      <c r="J679" t="s">
        <v>54</v>
      </c>
      <c r="K679" t="s">
        <v>28</v>
      </c>
      <c r="L679" t="s">
        <v>38</v>
      </c>
      <c r="M679" t="s">
        <v>39</v>
      </c>
      <c r="N679" t="s">
        <v>28</v>
      </c>
      <c r="O679" t="b">
        <v>0</v>
      </c>
      <c r="P679" t="b">
        <v>0</v>
      </c>
      <c r="Q679">
        <v>10</v>
      </c>
      <c r="R679" t="b">
        <v>1</v>
      </c>
      <c r="S679" t="s">
        <v>40</v>
      </c>
      <c r="T679">
        <v>31.8</v>
      </c>
      <c r="U679">
        <v>96.59</v>
      </c>
      <c r="V679" t="b">
        <v>1</v>
      </c>
      <c r="W679" t="s">
        <v>31</v>
      </c>
    </row>
    <row r="680" spans="1:23" x14ac:dyDescent="0.25">
      <c r="A680" t="s">
        <v>56</v>
      </c>
      <c r="B680" t="s">
        <v>42</v>
      </c>
      <c r="C680">
        <v>66.47</v>
      </c>
      <c r="D680">
        <v>293</v>
      </c>
      <c r="E680" t="b">
        <v>0</v>
      </c>
      <c r="F680" t="b">
        <v>1</v>
      </c>
      <c r="G680" t="b">
        <v>1</v>
      </c>
      <c r="H680" t="s">
        <v>25</v>
      </c>
      <c r="I680" t="s">
        <v>44</v>
      </c>
      <c r="J680" t="s">
        <v>36</v>
      </c>
      <c r="K680" t="s">
        <v>28</v>
      </c>
      <c r="L680" t="s">
        <v>69</v>
      </c>
      <c r="M680" t="s">
        <v>28</v>
      </c>
      <c r="P680" t="b">
        <v>0</v>
      </c>
      <c r="Q680">
        <v>8.1</v>
      </c>
      <c r="R680" t="b">
        <v>1</v>
      </c>
      <c r="S680" t="s">
        <v>65</v>
      </c>
      <c r="T680">
        <v>31.5</v>
      </c>
      <c r="U680">
        <v>78.87</v>
      </c>
      <c r="V680" t="b">
        <v>1</v>
      </c>
      <c r="W680" t="s">
        <v>31</v>
      </c>
    </row>
    <row r="681" spans="1:23" x14ac:dyDescent="0.25">
      <c r="A681" t="s">
        <v>23</v>
      </c>
      <c r="B681" t="s">
        <v>33</v>
      </c>
      <c r="C681">
        <v>87.27</v>
      </c>
      <c r="D681">
        <v>165</v>
      </c>
      <c r="E681" t="b">
        <v>0</v>
      </c>
      <c r="F681" t="b">
        <v>1</v>
      </c>
      <c r="G681" t="b">
        <v>0</v>
      </c>
      <c r="H681" t="s">
        <v>53</v>
      </c>
      <c r="I681" t="s">
        <v>44</v>
      </c>
      <c r="J681" t="s">
        <v>27</v>
      </c>
      <c r="K681" t="s">
        <v>37</v>
      </c>
      <c r="L681" t="s">
        <v>37</v>
      </c>
      <c r="M681" t="s">
        <v>46</v>
      </c>
      <c r="N681" t="s">
        <v>39</v>
      </c>
      <c r="O681" t="b">
        <v>1</v>
      </c>
      <c r="P681" t="b">
        <v>0</v>
      </c>
      <c r="Q681">
        <v>9.3000000000000007</v>
      </c>
      <c r="R681" t="b">
        <v>0</v>
      </c>
      <c r="T681">
        <v>0</v>
      </c>
      <c r="U681">
        <v>81.11</v>
      </c>
      <c r="V681" t="b">
        <v>1</v>
      </c>
      <c r="W681" t="s">
        <v>58</v>
      </c>
    </row>
    <row r="682" spans="1:23" x14ac:dyDescent="0.25">
      <c r="A682" t="s">
        <v>68</v>
      </c>
      <c r="B682" t="s">
        <v>76</v>
      </c>
      <c r="C682">
        <v>72.67</v>
      </c>
      <c r="D682">
        <v>470</v>
      </c>
      <c r="E682" t="b">
        <v>1</v>
      </c>
      <c r="F682" t="b">
        <v>1</v>
      </c>
      <c r="G682" t="b">
        <v>1</v>
      </c>
      <c r="H682" t="s">
        <v>43</v>
      </c>
      <c r="I682" t="s">
        <v>35</v>
      </c>
      <c r="J682" t="s">
        <v>27</v>
      </c>
      <c r="K682" t="s">
        <v>46</v>
      </c>
      <c r="L682" t="s">
        <v>29</v>
      </c>
      <c r="M682" t="s">
        <v>47</v>
      </c>
      <c r="N682" t="s">
        <v>46</v>
      </c>
      <c r="O682" t="b">
        <v>0</v>
      </c>
      <c r="P682" t="b">
        <v>1</v>
      </c>
      <c r="Q682">
        <v>6.7</v>
      </c>
      <c r="R682" t="b">
        <v>1</v>
      </c>
      <c r="S682" t="s">
        <v>55</v>
      </c>
      <c r="T682">
        <v>36.4</v>
      </c>
      <c r="U682">
        <v>78.790000000000006</v>
      </c>
      <c r="V682" t="b">
        <v>1</v>
      </c>
      <c r="W682" t="s">
        <v>41</v>
      </c>
    </row>
    <row r="683" spans="1:23" x14ac:dyDescent="0.25">
      <c r="A683" t="s">
        <v>23</v>
      </c>
      <c r="B683" t="s">
        <v>62</v>
      </c>
      <c r="C683">
        <v>73.040000000000006</v>
      </c>
      <c r="D683">
        <v>624</v>
      </c>
      <c r="E683" t="b">
        <v>0</v>
      </c>
      <c r="F683" t="b">
        <v>0</v>
      </c>
      <c r="G683" t="b">
        <v>0</v>
      </c>
      <c r="H683" t="s">
        <v>53</v>
      </c>
      <c r="I683" t="s">
        <v>67</v>
      </c>
      <c r="J683" t="s">
        <v>54</v>
      </c>
      <c r="K683" t="s">
        <v>39</v>
      </c>
      <c r="L683" t="s">
        <v>38</v>
      </c>
      <c r="M683" t="s">
        <v>47</v>
      </c>
      <c r="N683" t="s">
        <v>39</v>
      </c>
      <c r="O683" t="b">
        <v>1</v>
      </c>
      <c r="P683" t="b">
        <v>0</v>
      </c>
      <c r="Q683">
        <v>8.6</v>
      </c>
      <c r="R683" t="b">
        <v>1</v>
      </c>
      <c r="S683" t="s">
        <v>55</v>
      </c>
      <c r="T683">
        <v>29.1</v>
      </c>
      <c r="U683">
        <v>78.02</v>
      </c>
      <c r="V683" t="b">
        <v>1</v>
      </c>
      <c r="W683" t="s">
        <v>31</v>
      </c>
    </row>
    <row r="684" spans="1:23" x14ac:dyDescent="0.25">
      <c r="A684" t="s">
        <v>68</v>
      </c>
      <c r="B684" t="s">
        <v>71</v>
      </c>
      <c r="C684">
        <v>58.32</v>
      </c>
      <c r="D684">
        <v>725</v>
      </c>
      <c r="E684" t="b">
        <v>0</v>
      </c>
      <c r="F684" t="b">
        <v>1</v>
      </c>
      <c r="G684" t="b">
        <v>0</v>
      </c>
      <c r="H684" t="s">
        <v>25</v>
      </c>
      <c r="I684" t="s">
        <v>44</v>
      </c>
      <c r="J684" t="s">
        <v>36</v>
      </c>
      <c r="K684" t="s">
        <v>28</v>
      </c>
      <c r="L684" t="s">
        <v>38</v>
      </c>
      <c r="M684" t="s">
        <v>28</v>
      </c>
      <c r="N684" t="s">
        <v>46</v>
      </c>
      <c r="P684" t="b">
        <v>0</v>
      </c>
      <c r="Q684">
        <v>7.8</v>
      </c>
      <c r="R684" t="b">
        <v>1</v>
      </c>
      <c r="S684" t="s">
        <v>52</v>
      </c>
      <c r="T684">
        <v>25.5</v>
      </c>
      <c r="U684">
        <v>60.13</v>
      </c>
      <c r="V684" t="b">
        <v>1</v>
      </c>
      <c r="W684" t="s">
        <v>41</v>
      </c>
    </row>
    <row r="685" spans="1:23" x14ac:dyDescent="0.25">
      <c r="A685" t="s">
        <v>23</v>
      </c>
      <c r="B685" t="s">
        <v>76</v>
      </c>
      <c r="C685">
        <v>78.83</v>
      </c>
      <c r="D685">
        <v>274</v>
      </c>
      <c r="E685" t="b">
        <v>1</v>
      </c>
      <c r="F685" t="b">
        <v>0</v>
      </c>
      <c r="G685" t="b">
        <v>0</v>
      </c>
      <c r="H685" t="s">
        <v>25</v>
      </c>
      <c r="I685" t="s">
        <v>57</v>
      </c>
      <c r="J685" t="s">
        <v>36</v>
      </c>
      <c r="K685" t="s">
        <v>28</v>
      </c>
      <c r="L685" t="s">
        <v>69</v>
      </c>
      <c r="M685" t="s">
        <v>46</v>
      </c>
      <c r="N685" t="s">
        <v>28</v>
      </c>
      <c r="P685" t="b">
        <v>1</v>
      </c>
      <c r="Q685">
        <v>10</v>
      </c>
      <c r="R685" t="b">
        <v>1</v>
      </c>
      <c r="S685" t="s">
        <v>52</v>
      </c>
      <c r="T685">
        <v>7.8</v>
      </c>
      <c r="U685">
        <v>92.34</v>
      </c>
      <c r="V685" t="b">
        <v>1</v>
      </c>
      <c r="W685" t="s">
        <v>31</v>
      </c>
    </row>
    <row r="686" spans="1:23" x14ac:dyDescent="0.25">
      <c r="A686" t="s">
        <v>61</v>
      </c>
      <c r="B686" t="s">
        <v>62</v>
      </c>
      <c r="C686">
        <v>73.959999999999994</v>
      </c>
      <c r="D686">
        <v>80</v>
      </c>
      <c r="E686" t="b">
        <v>0</v>
      </c>
      <c r="F686" t="b">
        <v>1</v>
      </c>
      <c r="G686" t="b">
        <v>0</v>
      </c>
      <c r="H686" t="s">
        <v>34</v>
      </c>
      <c r="I686" t="s">
        <v>57</v>
      </c>
      <c r="J686" t="s">
        <v>50</v>
      </c>
      <c r="K686" t="s">
        <v>37</v>
      </c>
      <c r="L686" t="s">
        <v>69</v>
      </c>
      <c r="M686" t="s">
        <v>46</v>
      </c>
      <c r="O686" t="b">
        <v>0</v>
      </c>
      <c r="P686" t="b">
        <v>1</v>
      </c>
      <c r="Q686">
        <v>6.8</v>
      </c>
      <c r="R686" t="b">
        <v>1</v>
      </c>
      <c r="S686" t="s">
        <v>40</v>
      </c>
      <c r="T686">
        <v>11.4</v>
      </c>
      <c r="U686">
        <v>68.239999999999995</v>
      </c>
      <c r="V686" t="b">
        <v>1</v>
      </c>
      <c r="W686" t="s">
        <v>41</v>
      </c>
    </row>
    <row r="687" spans="1:23" x14ac:dyDescent="0.25">
      <c r="A687" t="s">
        <v>23</v>
      </c>
      <c r="B687" t="s">
        <v>24</v>
      </c>
      <c r="C687">
        <v>92.28</v>
      </c>
      <c r="D687">
        <v>572</v>
      </c>
      <c r="E687" t="b">
        <v>1</v>
      </c>
      <c r="F687" t="b">
        <v>0</v>
      </c>
      <c r="G687" t="b">
        <v>0</v>
      </c>
      <c r="H687" t="s">
        <v>43</v>
      </c>
      <c r="I687" t="s">
        <v>26</v>
      </c>
      <c r="J687" t="s">
        <v>27</v>
      </c>
      <c r="K687" t="s">
        <v>28</v>
      </c>
      <c r="L687" t="s">
        <v>37</v>
      </c>
      <c r="M687" t="s">
        <v>28</v>
      </c>
      <c r="N687" t="s">
        <v>28</v>
      </c>
      <c r="O687" t="b">
        <v>0</v>
      </c>
      <c r="P687" t="b">
        <v>1</v>
      </c>
      <c r="Q687">
        <v>10</v>
      </c>
      <c r="R687" t="b">
        <v>1</v>
      </c>
      <c r="S687" t="s">
        <v>40</v>
      </c>
      <c r="T687">
        <v>27.6</v>
      </c>
      <c r="U687">
        <v>81.33</v>
      </c>
      <c r="V687" t="b">
        <v>1</v>
      </c>
      <c r="W687" t="s">
        <v>31</v>
      </c>
    </row>
    <row r="688" spans="1:23" x14ac:dyDescent="0.25">
      <c r="A688" t="s">
        <v>56</v>
      </c>
      <c r="B688" t="s">
        <v>60</v>
      </c>
      <c r="C688">
        <v>59.05</v>
      </c>
      <c r="D688">
        <v>497</v>
      </c>
      <c r="E688" t="b">
        <v>1</v>
      </c>
      <c r="F688" t="b">
        <v>0</v>
      </c>
      <c r="G688" t="b">
        <v>1</v>
      </c>
      <c r="H688" t="s">
        <v>43</v>
      </c>
      <c r="I688" t="s">
        <v>26</v>
      </c>
      <c r="J688" t="s">
        <v>36</v>
      </c>
      <c r="K688" t="s">
        <v>46</v>
      </c>
      <c r="L688" t="s">
        <v>51</v>
      </c>
      <c r="M688" t="s">
        <v>47</v>
      </c>
      <c r="N688" t="s">
        <v>28</v>
      </c>
      <c r="O688" t="b">
        <v>1</v>
      </c>
      <c r="P688" t="b">
        <v>0</v>
      </c>
      <c r="Q688">
        <v>8.6</v>
      </c>
      <c r="R688" t="b">
        <v>1</v>
      </c>
      <c r="S688" t="s">
        <v>40</v>
      </c>
      <c r="T688">
        <v>23.2</v>
      </c>
      <c r="U688">
        <v>66</v>
      </c>
      <c r="V688" t="b">
        <v>0</v>
      </c>
      <c r="W688" t="s">
        <v>31</v>
      </c>
    </row>
    <row r="689" spans="1:23" x14ac:dyDescent="0.25">
      <c r="A689" t="s">
        <v>68</v>
      </c>
      <c r="B689" t="s">
        <v>59</v>
      </c>
      <c r="C689">
        <v>87.61</v>
      </c>
      <c r="D689">
        <v>797</v>
      </c>
      <c r="E689" t="b">
        <v>0</v>
      </c>
      <c r="F689" t="b">
        <v>0</v>
      </c>
      <c r="G689" t="b">
        <v>1</v>
      </c>
      <c r="H689" t="s">
        <v>25</v>
      </c>
      <c r="I689" t="s">
        <v>44</v>
      </c>
      <c r="J689" t="s">
        <v>36</v>
      </c>
      <c r="K689" t="s">
        <v>37</v>
      </c>
      <c r="L689" t="s">
        <v>51</v>
      </c>
      <c r="M689" t="s">
        <v>28</v>
      </c>
      <c r="N689" t="s">
        <v>39</v>
      </c>
      <c r="O689" t="b">
        <v>0</v>
      </c>
      <c r="P689" t="b">
        <v>0</v>
      </c>
      <c r="Q689">
        <v>8.1999999999999993</v>
      </c>
      <c r="R689" t="b">
        <v>1</v>
      </c>
      <c r="S689" t="s">
        <v>75</v>
      </c>
      <c r="T689">
        <v>22.1</v>
      </c>
      <c r="U689">
        <v>84.05</v>
      </c>
      <c r="V689" t="b">
        <v>1</v>
      </c>
      <c r="W689" t="s">
        <v>31</v>
      </c>
    </row>
    <row r="690" spans="1:23" x14ac:dyDescent="0.25">
      <c r="A690" t="s">
        <v>23</v>
      </c>
      <c r="B690" t="s">
        <v>60</v>
      </c>
      <c r="C690">
        <v>47.18</v>
      </c>
      <c r="D690">
        <v>149</v>
      </c>
      <c r="E690" t="b">
        <v>1</v>
      </c>
      <c r="F690" t="b">
        <v>1</v>
      </c>
      <c r="G690" t="b">
        <v>1</v>
      </c>
      <c r="H690" t="s">
        <v>25</v>
      </c>
      <c r="I690" t="s">
        <v>57</v>
      </c>
      <c r="J690" t="s">
        <v>50</v>
      </c>
      <c r="K690" t="s">
        <v>46</v>
      </c>
      <c r="L690" t="s">
        <v>69</v>
      </c>
      <c r="M690" t="s">
        <v>47</v>
      </c>
      <c r="N690" t="s">
        <v>28</v>
      </c>
      <c r="P690" t="b">
        <v>1</v>
      </c>
      <c r="Q690">
        <v>6.2</v>
      </c>
      <c r="R690" t="b">
        <v>1</v>
      </c>
      <c r="S690" t="s">
        <v>30</v>
      </c>
      <c r="T690">
        <v>18.3</v>
      </c>
      <c r="U690">
        <v>45.65</v>
      </c>
      <c r="V690" t="b">
        <v>1</v>
      </c>
      <c r="W690" t="s">
        <v>41</v>
      </c>
    </row>
    <row r="691" spans="1:23" x14ac:dyDescent="0.25">
      <c r="A691" t="s">
        <v>56</v>
      </c>
      <c r="B691" t="s">
        <v>71</v>
      </c>
      <c r="C691">
        <v>41.25</v>
      </c>
      <c r="D691">
        <v>675</v>
      </c>
      <c r="E691" t="b">
        <v>1</v>
      </c>
      <c r="F691" t="b">
        <v>1</v>
      </c>
      <c r="G691" t="b">
        <v>1</v>
      </c>
      <c r="H691" t="s">
        <v>25</v>
      </c>
      <c r="I691" t="s">
        <v>63</v>
      </c>
      <c r="J691" t="s">
        <v>27</v>
      </c>
      <c r="K691" t="s">
        <v>37</v>
      </c>
      <c r="L691" t="s">
        <v>37</v>
      </c>
      <c r="M691" t="s">
        <v>28</v>
      </c>
      <c r="N691" t="s">
        <v>28</v>
      </c>
      <c r="O691" t="b">
        <v>0</v>
      </c>
      <c r="P691" t="b">
        <v>1</v>
      </c>
      <c r="Q691">
        <v>4</v>
      </c>
      <c r="R691" t="b">
        <v>1</v>
      </c>
      <c r="S691" t="s">
        <v>48</v>
      </c>
      <c r="T691">
        <v>26.5</v>
      </c>
      <c r="U691">
        <v>33.020000000000003</v>
      </c>
      <c r="V691" t="b">
        <v>1</v>
      </c>
      <c r="W691" t="s">
        <v>72</v>
      </c>
    </row>
    <row r="692" spans="1:23" x14ac:dyDescent="0.25">
      <c r="A692" t="s">
        <v>68</v>
      </c>
      <c r="B692" t="s">
        <v>66</v>
      </c>
      <c r="C692">
        <v>74.08</v>
      </c>
      <c r="D692">
        <v>303</v>
      </c>
      <c r="E692" t="b">
        <v>1</v>
      </c>
      <c r="F692" t="b">
        <v>0</v>
      </c>
      <c r="G692" t="b">
        <v>1</v>
      </c>
      <c r="H692" t="s">
        <v>34</v>
      </c>
      <c r="I692" t="s">
        <v>35</v>
      </c>
      <c r="J692" t="s">
        <v>27</v>
      </c>
      <c r="K692" t="s">
        <v>39</v>
      </c>
      <c r="L692" t="s">
        <v>51</v>
      </c>
      <c r="M692" t="s">
        <v>47</v>
      </c>
      <c r="N692" t="s">
        <v>39</v>
      </c>
      <c r="O692" t="b">
        <v>0</v>
      </c>
      <c r="P692" t="b">
        <v>0</v>
      </c>
      <c r="Q692">
        <v>6.1</v>
      </c>
      <c r="R692" t="b">
        <v>1</v>
      </c>
      <c r="S692" t="s">
        <v>64</v>
      </c>
      <c r="T692">
        <v>14.5</v>
      </c>
      <c r="U692">
        <v>73.05</v>
      </c>
      <c r="V692" t="b">
        <v>1</v>
      </c>
      <c r="W692" t="s">
        <v>41</v>
      </c>
    </row>
    <row r="693" spans="1:23" x14ac:dyDescent="0.25">
      <c r="A693" t="s">
        <v>56</v>
      </c>
      <c r="B693" t="s">
        <v>42</v>
      </c>
      <c r="C693">
        <v>79.89</v>
      </c>
      <c r="D693">
        <v>650</v>
      </c>
      <c r="E693" t="b">
        <v>1</v>
      </c>
      <c r="F693" t="b">
        <v>0</v>
      </c>
      <c r="G693" t="b">
        <v>1</v>
      </c>
      <c r="H693" t="s">
        <v>53</v>
      </c>
      <c r="I693" t="s">
        <v>44</v>
      </c>
      <c r="J693" t="s">
        <v>54</v>
      </c>
      <c r="K693" t="s">
        <v>39</v>
      </c>
      <c r="L693" t="s">
        <v>51</v>
      </c>
      <c r="M693" t="s">
        <v>46</v>
      </c>
      <c r="N693" t="s">
        <v>28</v>
      </c>
      <c r="P693" t="b">
        <v>1</v>
      </c>
      <c r="Q693">
        <v>8.9</v>
      </c>
      <c r="R693" t="b">
        <v>0</v>
      </c>
      <c r="T693">
        <v>0</v>
      </c>
      <c r="U693">
        <v>90.06</v>
      </c>
      <c r="V693" t="b">
        <v>1</v>
      </c>
      <c r="W693" t="s">
        <v>58</v>
      </c>
    </row>
    <row r="694" spans="1:23" x14ac:dyDescent="0.25">
      <c r="A694" t="s">
        <v>61</v>
      </c>
      <c r="B694" t="s">
        <v>62</v>
      </c>
      <c r="C694">
        <v>60.67</v>
      </c>
      <c r="D694">
        <v>410</v>
      </c>
      <c r="E694" t="b">
        <v>0</v>
      </c>
      <c r="F694" t="b">
        <v>0</v>
      </c>
      <c r="G694" t="b">
        <v>0</v>
      </c>
      <c r="H694" t="s">
        <v>53</v>
      </c>
      <c r="I694" t="s">
        <v>44</v>
      </c>
      <c r="J694" t="s">
        <v>54</v>
      </c>
      <c r="K694" t="s">
        <v>37</v>
      </c>
      <c r="L694" t="s">
        <v>51</v>
      </c>
      <c r="M694" t="s">
        <v>39</v>
      </c>
      <c r="N694" t="s">
        <v>28</v>
      </c>
      <c r="P694" t="b">
        <v>0</v>
      </c>
      <c r="Q694">
        <v>5.6</v>
      </c>
      <c r="R694" t="b">
        <v>1</v>
      </c>
      <c r="S694" t="s">
        <v>55</v>
      </c>
      <c r="T694">
        <v>38.200000000000003</v>
      </c>
      <c r="U694">
        <v>66.680000000000007</v>
      </c>
      <c r="V694" t="b">
        <v>1</v>
      </c>
      <c r="W694" t="s">
        <v>41</v>
      </c>
    </row>
    <row r="695" spans="1:23" x14ac:dyDescent="0.25">
      <c r="A695" t="s">
        <v>56</v>
      </c>
      <c r="B695" t="s">
        <v>76</v>
      </c>
      <c r="C695">
        <v>70.41</v>
      </c>
      <c r="D695">
        <v>420</v>
      </c>
      <c r="E695" t="b">
        <v>1</v>
      </c>
      <c r="F695" t="b">
        <v>0</v>
      </c>
      <c r="G695" t="b">
        <v>0</v>
      </c>
      <c r="H695" t="s">
        <v>25</v>
      </c>
      <c r="I695" t="s">
        <v>26</v>
      </c>
      <c r="J695" t="s">
        <v>45</v>
      </c>
      <c r="K695" t="s">
        <v>37</v>
      </c>
      <c r="L695" t="s">
        <v>69</v>
      </c>
      <c r="M695" t="s">
        <v>46</v>
      </c>
      <c r="N695" t="s">
        <v>28</v>
      </c>
      <c r="O695" t="b">
        <v>0</v>
      </c>
      <c r="P695" t="b">
        <v>1</v>
      </c>
      <c r="Q695">
        <v>7.8</v>
      </c>
      <c r="R695" t="b">
        <v>1</v>
      </c>
      <c r="S695" t="s">
        <v>64</v>
      </c>
      <c r="T695">
        <v>15.5</v>
      </c>
      <c r="U695">
        <v>58.65</v>
      </c>
      <c r="V695" t="b">
        <v>1</v>
      </c>
      <c r="W695" t="s">
        <v>41</v>
      </c>
    </row>
    <row r="696" spans="1:23" x14ac:dyDescent="0.25">
      <c r="A696" t="s">
        <v>68</v>
      </c>
      <c r="B696" t="s">
        <v>66</v>
      </c>
      <c r="C696">
        <v>63.23</v>
      </c>
      <c r="D696">
        <v>80</v>
      </c>
      <c r="E696" t="b">
        <v>1</v>
      </c>
      <c r="F696" t="b">
        <v>0</v>
      </c>
      <c r="G696" t="b">
        <v>0</v>
      </c>
      <c r="H696" t="s">
        <v>53</v>
      </c>
      <c r="I696" t="s">
        <v>26</v>
      </c>
      <c r="J696" t="s">
        <v>50</v>
      </c>
      <c r="K696" t="s">
        <v>28</v>
      </c>
      <c r="L696" t="s">
        <v>29</v>
      </c>
      <c r="M696" t="s">
        <v>39</v>
      </c>
      <c r="N696" t="s">
        <v>39</v>
      </c>
      <c r="P696" t="b">
        <v>0</v>
      </c>
      <c r="Q696">
        <v>7.9</v>
      </c>
      <c r="R696" t="b">
        <v>0</v>
      </c>
      <c r="T696">
        <v>0</v>
      </c>
      <c r="U696">
        <v>46.12</v>
      </c>
      <c r="V696" t="b">
        <v>0</v>
      </c>
      <c r="W696" t="s">
        <v>31</v>
      </c>
    </row>
    <row r="697" spans="1:23" x14ac:dyDescent="0.25">
      <c r="A697" t="s">
        <v>56</v>
      </c>
      <c r="B697" t="s">
        <v>73</v>
      </c>
      <c r="C697">
        <v>45.79</v>
      </c>
      <c r="D697">
        <v>359</v>
      </c>
      <c r="E697" t="b">
        <v>0</v>
      </c>
      <c r="F697" t="b">
        <v>0</v>
      </c>
      <c r="G697" t="b">
        <v>0</v>
      </c>
      <c r="H697" t="s">
        <v>34</v>
      </c>
      <c r="I697" t="s">
        <v>35</v>
      </c>
      <c r="J697" t="s">
        <v>50</v>
      </c>
      <c r="K697" t="s">
        <v>46</v>
      </c>
      <c r="L697" t="s">
        <v>37</v>
      </c>
      <c r="M697" t="s">
        <v>46</v>
      </c>
      <c r="N697" t="s">
        <v>46</v>
      </c>
      <c r="P697" t="b">
        <v>1</v>
      </c>
      <c r="Q697">
        <v>5</v>
      </c>
      <c r="R697" t="b">
        <v>1</v>
      </c>
      <c r="S697" t="s">
        <v>52</v>
      </c>
      <c r="T697">
        <v>14</v>
      </c>
      <c r="U697">
        <v>40.119999999999997</v>
      </c>
      <c r="V697" t="b">
        <v>1</v>
      </c>
      <c r="W697" t="s">
        <v>41</v>
      </c>
    </row>
    <row r="698" spans="1:23" x14ac:dyDescent="0.25">
      <c r="A698" t="s">
        <v>56</v>
      </c>
      <c r="B698" t="s">
        <v>42</v>
      </c>
      <c r="C698">
        <v>68.069999999999993</v>
      </c>
      <c r="D698">
        <v>529</v>
      </c>
      <c r="E698" t="b">
        <v>0</v>
      </c>
      <c r="F698" t="b">
        <v>1</v>
      </c>
      <c r="G698" t="b">
        <v>1</v>
      </c>
      <c r="H698" t="s">
        <v>53</v>
      </c>
      <c r="I698" t="s">
        <v>35</v>
      </c>
      <c r="J698" t="s">
        <v>45</v>
      </c>
      <c r="K698" t="s">
        <v>39</v>
      </c>
      <c r="L698" t="s">
        <v>51</v>
      </c>
      <c r="M698" t="s">
        <v>47</v>
      </c>
      <c r="N698" t="s">
        <v>46</v>
      </c>
      <c r="O698" t="b">
        <v>1</v>
      </c>
      <c r="P698" t="b">
        <v>1</v>
      </c>
      <c r="Q698">
        <v>7.2</v>
      </c>
      <c r="R698" t="b">
        <v>0</v>
      </c>
      <c r="T698">
        <v>0</v>
      </c>
      <c r="U698">
        <v>75.760000000000005</v>
      </c>
      <c r="V698" t="b">
        <v>1</v>
      </c>
      <c r="W698" t="s">
        <v>31</v>
      </c>
    </row>
    <row r="699" spans="1:23" x14ac:dyDescent="0.25">
      <c r="A699" t="s">
        <v>23</v>
      </c>
      <c r="B699" t="s">
        <v>59</v>
      </c>
      <c r="C699">
        <v>89.29</v>
      </c>
      <c r="D699">
        <v>265</v>
      </c>
      <c r="E699" t="b">
        <v>0</v>
      </c>
      <c r="F699" t="b">
        <v>0</v>
      </c>
      <c r="G699" t="b">
        <v>0</v>
      </c>
      <c r="H699" t="s">
        <v>53</v>
      </c>
      <c r="I699" t="s">
        <v>44</v>
      </c>
      <c r="J699" t="s">
        <v>54</v>
      </c>
      <c r="K699" t="s">
        <v>37</v>
      </c>
      <c r="L699" t="s">
        <v>69</v>
      </c>
      <c r="M699" t="s">
        <v>47</v>
      </c>
      <c r="N699" t="s">
        <v>46</v>
      </c>
      <c r="P699" t="b">
        <v>0</v>
      </c>
      <c r="Q699">
        <v>9.1</v>
      </c>
      <c r="R699" t="b">
        <v>0</v>
      </c>
      <c r="T699">
        <v>0</v>
      </c>
      <c r="U699">
        <v>79.64</v>
      </c>
      <c r="V699" t="b">
        <v>1</v>
      </c>
      <c r="W699" t="s">
        <v>58</v>
      </c>
    </row>
    <row r="700" spans="1:23" x14ac:dyDescent="0.25">
      <c r="A700" t="s">
        <v>56</v>
      </c>
      <c r="B700" t="s">
        <v>42</v>
      </c>
      <c r="C700">
        <v>80.59</v>
      </c>
      <c r="D700">
        <v>666</v>
      </c>
      <c r="E700" t="b">
        <v>0</v>
      </c>
      <c r="F700" t="b">
        <v>1</v>
      </c>
      <c r="G700" t="b">
        <v>0</v>
      </c>
      <c r="H700" t="s">
        <v>25</v>
      </c>
      <c r="I700" t="s">
        <v>26</v>
      </c>
      <c r="J700" t="s">
        <v>54</v>
      </c>
      <c r="K700" t="s">
        <v>37</v>
      </c>
      <c r="L700" t="s">
        <v>38</v>
      </c>
      <c r="M700" t="s">
        <v>46</v>
      </c>
      <c r="O700" t="b">
        <v>0</v>
      </c>
      <c r="P700" t="b">
        <v>1</v>
      </c>
      <c r="Q700">
        <v>7.6</v>
      </c>
      <c r="R700" t="b">
        <v>1</v>
      </c>
      <c r="S700" t="s">
        <v>65</v>
      </c>
      <c r="T700">
        <v>14.1</v>
      </c>
      <c r="U700">
        <v>83</v>
      </c>
      <c r="V700" t="b">
        <v>1</v>
      </c>
      <c r="W700" t="s">
        <v>41</v>
      </c>
    </row>
    <row r="701" spans="1:23" x14ac:dyDescent="0.25">
      <c r="A701" t="s">
        <v>74</v>
      </c>
      <c r="B701" t="s">
        <v>71</v>
      </c>
      <c r="C701">
        <v>48.91</v>
      </c>
      <c r="D701">
        <v>542</v>
      </c>
      <c r="E701" t="b">
        <v>1</v>
      </c>
      <c r="F701" t="b">
        <v>0</v>
      </c>
      <c r="G701" t="b">
        <v>0</v>
      </c>
      <c r="H701" t="s">
        <v>43</v>
      </c>
      <c r="I701" t="s">
        <v>35</v>
      </c>
      <c r="J701" t="s">
        <v>50</v>
      </c>
      <c r="K701" t="s">
        <v>46</v>
      </c>
      <c r="L701" t="s">
        <v>69</v>
      </c>
      <c r="M701" t="s">
        <v>28</v>
      </c>
      <c r="N701" t="s">
        <v>46</v>
      </c>
      <c r="P701" t="b">
        <v>1</v>
      </c>
      <c r="Q701">
        <v>8.1</v>
      </c>
      <c r="R701" t="b">
        <v>0</v>
      </c>
      <c r="T701">
        <v>0</v>
      </c>
      <c r="U701">
        <v>26.43</v>
      </c>
      <c r="V701" t="b">
        <v>0</v>
      </c>
      <c r="W701" t="s">
        <v>58</v>
      </c>
    </row>
    <row r="702" spans="1:23" x14ac:dyDescent="0.25">
      <c r="A702" t="s">
        <v>74</v>
      </c>
      <c r="B702" t="s">
        <v>76</v>
      </c>
      <c r="C702">
        <v>71.400000000000006</v>
      </c>
      <c r="D702">
        <v>601</v>
      </c>
      <c r="E702" t="b">
        <v>0</v>
      </c>
      <c r="F702" t="b">
        <v>0</v>
      </c>
      <c r="G702" t="b">
        <v>1</v>
      </c>
      <c r="H702" t="s">
        <v>43</v>
      </c>
      <c r="I702" t="s">
        <v>26</v>
      </c>
      <c r="J702" t="s">
        <v>27</v>
      </c>
      <c r="K702" t="s">
        <v>46</v>
      </c>
      <c r="L702" t="s">
        <v>51</v>
      </c>
      <c r="M702" t="s">
        <v>39</v>
      </c>
      <c r="N702" t="s">
        <v>28</v>
      </c>
      <c r="O702" t="b">
        <v>1</v>
      </c>
      <c r="P702" t="b">
        <v>1</v>
      </c>
      <c r="Q702">
        <v>9.1</v>
      </c>
      <c r="R702" t="b">
        <v>0</v>
      </c>
      <c r="T702">
        <v>0</v>
      </c>
      <c r="U702">
        <v>69.83</v>
      </c>
      <c r="V702" t="b">
        <v>0</v>
      </c>
      <c r="W702" t="s">
        <v>58</v>
      </c>
    </row>
    <row r="703" spans="1:23" x14ac:dyDescent="0.25">
      <c r="A703" t="s">
        <v>61</v>
      </c>
      <c r="B703" t="s">
        <v>60</v>
      </c>
      <c r="C703">
        <v>54.93</v>
      </c>
      <c r="D703">
        <v>228</v>
      </c>
      <c r="E703" t="b">
        <v>0</v>
      </c>
      <c r="F703" t="b">
        <v>1</v>
      </c>
      <c r="G703" t="b">
        <v>1</v>
      </c>
      <c r="H703" t="s">
        <v>34</v>
      </c>
      <c r="I703" t="s">
        <v>67</v>
      </c>
      <c r="J703" t="s">
        <v>50</v>
      </c>
      <c r="K703" t="s">
        <v>46</v>
      </c>
      <c r="L703" t="s">
        <v>69</v>
      </c>
      <c r="M703" t="s">
        <v>28</v>
      </c>
      <c r="N703" t="s">
        <v>28</v>
      </c>
      <c r="O703" t="b">
        <v>0</v>
      </c>
      <c r="P703" t="b">
        <v>0</v>
      </c>
      <c r="Q703">
        <v>6</v>
      </c>
      <c r="R703" t="b">
        <v>1</v>
      </c>
      <c r="S703" t="s">
        <v>65</v>
      </c>
      <c r="T703">
        <v>3</v>
      </c>
      <c r="U703">
        <v>61.09</v>
      </c>
      <c r="V703" t="b">
        <v>1</v>
      </c>
      <c r="W703" t="s">
        <v>41</v>
      </c>
    </row>
    <row r="704" spans="1:23" x14ac:dyDescent="0.25">
      <c r="A704" t="s">
        <v>56</v>
      </c>
      <c r="B704" t="s">
        <v>60</v>
      </c>
      <c r="C704">
        <v>50.73</v>
      </c>
      <c r="D704">
        <v>559</v>
      </c>
      <c r="E704" t="b">
        <v>0</v>
      </c>
      <c r="F704" t="b">
        <v>0</v>
      </c>
      <c r="G704" t="b">
        <v>0</v>
      </c>
      <c r="H704" t="s">
        <v>53</v>
      </c>
      <c r="I704" t="s">
        <v>44</v>
      </c>
      <c r="J704" t="s">
        <v>54</v>
      </c>
      <c r="K704" t="s">
        <v>37</v>
      </c>
      <c r="L704" t="s">
        <v>69</v>
      </c>
      <c r="M704" t="s">
        <v>47</v>
      </c>
      <c r="N704" t="s">
        <v>28</v>
      </c>
      <c r="P704" t="b">
        <v>1</v>
      </c>
      <c r="Q704">
        <v>4.8</v>
      </c>
      <c r="R704" t="b">
        <v>1</v>
      </c>
      <c r="S704" t="s">
        <v>40</v>
      </c>
      <c r="T704">
        <v>21.6</v>
      </c>
      <c r="U704">
        <v>54.21</v>
      </c>
      <c r="V704" t="b">
        <v>1</v>
      </c>
      <c r="W704" t="s">
        <v>72</v>
      </c>
    </row>
    <row r="705" spans="1:23" x14ac:dyDescent="0.25">
      <c r="A705" t="s">
        <v>23</v>
      </c>
      <c r="B705" t="s">
        <v>62</v>
      </c>
      <c r="C705">
        <v>58.62</v>
      </c>
      <c r="D705">
        <v>95</v>
      </c>
      <c r="E705" t="b">
        <v>0</v>
      </c>
      <c r="F705" t="b">
        <v>0</v>
      </c>
      <c r="G705" t="b">
        <v>0</v>
      </c>
      <c r="H705" t="s">
        <v>34</v>
      </c>
      <c r="I705" t="s">
        <v>26</v>
      </c>
      <c r="J705" t="s">
        <v>36</v>
      </c>
      <c r="K705" t="s">
        <v>28</v>
      </c>
      <c r="L705" t="s">
        <v>38</v>
      </c>
      <c r="M705" t="s">
        <v>39</v>
      </c>
      <c r="N705" t="s">
        <v>28</v>
      </c>
      <c r="O705" t="b">
        <v>1</v>
      </c>
      <c r="P705" t="b">
        <v>0</v>
      </c>
      <c r="Q705">
        <v>8.5</v>
      </c>
      <c r="R705" t="b">
        <v>1</v>
      </c>
      <c r="S705" t="s">
        <v>40</v>
      </c>
      <c r="T705">
        <v>39.799999999999997</v>
      </c>
      <c r="U705">
        <v>58.38</v>
      </c>
      <c r="V705" t="b">
        <v>0</v>
      </c>
      <c r="W705" t="s">
        <v>31</v>
      </c>
    </row>
    <row r="706" spans="1:23" x14ac:dyDescent="0.25">
      <c r="A706" t="s">
        <v>74</v>
      </c>
      <c r="B706" t="s">
        <v>33</v>
      </c>
      <c r="C706">
        <v>80.290000000000006</v>
      </c>
      <c r="D706">
        <v>487</v>
      </c>
      <c r="E706" t="b">
        <v>1</v>
      </c>
      <c r="F706" t="b">
        <v>1</v>
      </c>
      <c r="G706" t="b">
        <v>1</v>
      </c>
      <c r="H706" t="s">
        <v>25</v>
      </c>
      <c r="I706" t="s">
        <v>67</v>
      </c>
      <c r="J706" t="s">
        <v>27</v>
      </c>
      <c r="K706" t="s">
        <v>37</v>
      </c>
      <c r="L706" t="s">
        <v>51</v>
      </c>
      <c r="M706" t="s">
        <v>46</v>
      </c>
      <c r="N706" t="s">
        <v>28</v>
      </c>
      <c r="P706" t="b">
        <v>0</v>
      </c>
      <c r="Q706">
        <v>8.1</v>
      </c>
      <c r="R706" t="b">
        <v>0</v>
      </c>
      <c r="T706">
        <v>0</v>
      </c>
      <c r="U706">
        <v>80.239999999999995</v>
      </c>
      <c r="V706" t="b">
        <v>1</v>
      </c>
      <c r="W706" t="s">
        <v>58</v>
      </c>
    </row>
    <row r="707" spans="1:23" x14ac:dyDescent="0.25">
      <c r="A707" t="s">
        <v>56</v>
      </c>
      <c r="B707" t="s">
        <v>60</v>
      </c>
      <c r="C707">
        <v>41.85</v>
      </c>
      <c r="D707">
        <v>650</v>
      </c>
      <c r="E707" t="b">
        <v>0</v>
      </c>
      <c r="F707" t="b">
        <v>0</v>
      </c>
      <c r="G707" t="b">
        <v>1</v>
      </c>
      <c r="H707" t="s">
        <v>25</v>
      </c>
      <c r="I707" t="s">
        <v>67</v>
      </c>
      <c r="J707" t="s">
        <v>50</v>
      </c>
      <c r="K707" t="s">
        <v>46</v>
      </c>
      <c r="L707" t="s">
        <v>38</v>
      </c>
      <c r="M707" t="s">
        <v>39</v>
      </c>
      <c r="N707" t="s">
        <v>39</v>
      </c>
      <c r="O707" t="b">
        <v>0</v>
      </c>
      <c r="P707" t="b">
        <v>0</v>
      </c>
      <c r="Q707">
        <v>4</v>
      </c>
      <c r="R707" t="b">
        <v>1</v>
      </c>
      <c r="S707" t="s">
        <v>48</v>
      </c>
      <c r="T707">
        <v>24.4</v>
      </c>
      <c r="U707">
        <v>39.549999999999997</v>
      </c>
      <c r="V707" t="b">
        <v>1</v>
      </c>
      <c r="W707" t="s">
        <v>72</v>
      </c>
    </row>
    <row r="708" spans="1:23" x14ac:dyDescent="0.25">
      <c r="A708" t="s">
        <v>68</v>
      </c>
      <c r="B708" t="s">
        <v>60</v>
      </c>
      <c r="C708">
        <v>53.92</v>
      </c>
      <c r="D708">
        <v>442</v>
      </c>
      <c r="E708" t="b">
        <v>1</v>
      </c>
      <c r="F708" t="b">
        <v>0</v>
      </c>
      <c r="G708" t="b">
        <v>0</v>
      </c>
      <c r="H708" t="s">
        <v>25</v>
      </c>
      <c r="I708" t="s">
        <v>63</v>
      </c>
      <c r="J708" t="s">
        <v>36</v>
      </c>
      <c r="K708" t="s">
        <v>39</v>
      </c>
      <c r="L708" t="s">
        <v>37</v>
      </c>
      <c r="M708" t="s">
        <v>28</v>
      </c>
      <c r="P708" t="b">
        <v>0</v>
      </c>
      <c r="Q708">
        <v>6.8</v>
      </c>
      <c r="R708" t="b">
        <v>1</v>
      </c>
      <c r="S708" t="s">
        <v>40</v>
      </c>
      <c r="T708">
        <v>22.8</v>
      </c>
      <c r="U708">
        <v>41.98</v>
      </c>
      <c r="V708" t="b">
        <v>0</v>
      </c>
      <c r="W708" t="s">
        <v>41</v>
      </c>
    </row>
    <row r="709" spans="1:23" x14ac:dyDescent="0.25">
      <c r="A709" t="s">
        <v>32</v>
      </c>
      <c r="B709" t="s">
        <v>62</v>
      </c>
      <c r="C709">
        <v>59.75</v>
      </c>
      <c r="D709">
        <v>287</v>
      </c>
      <c r="E709" t="b">
        <v>0</v>
      </c>
      <c r="F709" t="b">
        <v>0</v>
      </c>
      <c r="G709" t="b">
        <v>0</v>
      </c>
      <c r="H709" t="s">
        <v>34</v>
      </c>
      <c r="I709" t="s">
        <v>67</v>
      </c>
      <c r="J709" t="s">
        <v>36</v>
      </c>
      <c r="K709" t="s">
        <v>46</v>
      </c>
      <c r="L709" t="s">
        <v>51</v>
      </c>
      <c r="M709" t="s">
        <v>39</v>
      </c>
      <c r="N709" t="s">
        <v>46</v>
      </c>
      <c r="O709" t="b">
        <v>0</v>
      </c>
      <c r="P709" t="b">
        <v>1</v>
      </c>
      <c r="Q709">
        <v>4.9000000000000004</v>
      </c>
      <c r="R709" t="b">
        <v>1</v>
      </c>
      <c r="S709" t="s">
        <v>48</v>
      </c>
      <c r="T709">
        <v>3.4</v>
      </c>
      <c r="U709">
        <v>50.96</v>
      </c>
      <c r="V709" t="b">
        <v>1</v>
      </c>
      <c r="W709" t="s">
        <v>72</v>
      </c>
    </row>
    <row r="710" spans="1:23" x14ac:dyDescent="0.25">
      <c r="A710" t="s">
        <v>74</v>
      </c>
      <c r="B710" t="s">
        <v>49</v>
      </c>
      <c r="C710">
        <v>79.95</v>
      </c>
      <c r="D710">
        <v>137</v>
      </c>
      <c r="E710" t="b">
        <v>1</v>
      </c>
      <c r="F710" t="b">
        <v>0</v>
      </c>
      <c r="G710" t="b">
        <v>0</v>
      </c>
      <c r="H710" t="s">
        <v>43</v>
      </c>
      <c r="I710" t="s">
        <v>44</v>
      </c>
      <c r="J710" t="s">
        <v>45</v>
      </c>
      <c r="K710" t="s">
        <v>37</v>
      </c>
      <c r="L710" t="s">
        <v>37</v>
      </c>
      <c r="M710" t="s">
        <v>47</v>
      </c>
      <c r="N710" t="s">
        <v>28</v>
      </c>
      <c r="O710" t="b">
        <v>1</v>
      </c>
      <c r="P710" t="b">
        <v>0</v>
      </c>
      <c r="Q710">
        <v>10</v>
      </c>
      <c r="R710" t="b">
        <v>1</v>
      </c>
      <c r="S710" t="s">
        <v>55</v>
      </c>
      <c r="T710">
        <v>8.6999999999999993</v>
      </c>
      <c r="U710">
        <v>73.489999999999995</v>
      </c>
      <c r="V710" t="b">
        <v>0</v>
      </c>
      <c r="W710" t="s">
        <v>31</v>
      </c>
    </row>
    <row r="711" spans="1:23" x14ac:dyDescent="0.25">
      <c r="A711" t="s">
        <v>56</v>
      </c>
      <c r="B711" t="s">
        <v>59</v>
      </c>
      <c r="C711">
        <v>90.5</v>
      </c>
      <c r="D711">
        <v>224</v>
      </c>
      <c r="E711" t="b">
        <v>1</v>
      </c>
      <c r="F711" t="b">
        <v>1</v>
      </c>
      <c r="G711" t="b">
        <v>1</v>
      </c>
      <c r="H711" t="s">
        <v>53</v>
      </c>
      <c r="I711" t="s">
        <v>44</v>
      </c>
      <c r="J711" t="s">
        <v>27</v>
      </c>
      <c r="K711" t="s">
        <v>28</v>
      </c>
      <c r="L711" t="s">
        <v>37</v>
      </c>
      <c r="M711" t="s">
        <v>28</v>
      </c>
      <c r="N711" t="s">
        <v>39</v>
      </c>
      <c r="O711" t="b">
        <v>0</v>
      </c>
      <c r="P711" t="b">
        <v>0</v>
      </c>
      <c r="Q711">
        <v>9.6999999999999993</v>
      </c>
      <c r="R711" t="b">
        <v>0</v>
      </c>
      <c r="T711">
        <v>0</v>
      </c>
      <c r="U711">
        <v>99.46</v>
      </c>
      <c r="V711" t="b">
        <v>1</v>
      </c>
      <c r="W711" t="s">
        <v>58</v>
      </c>
    </row>
    <row r="712" spans="1:23" x14ac:dyDescent="0.25">
      <c r="A712" t="s">
        <v>32</v>
      </c>
      <c r="B712" t="s">
        <v>66</v>
      </c>
      <c r="C712">
        <v>57.98</v>
      </c>
      <c r="D712">
        <v>170</v>
      </c>
      <c r="E712" t="b">
        <v>0</v>
      </c>
      <c r="F712" t="b">
        <v>1</v>
      </c>
      <c r="G712" t="b">
        <v>0</v>
      </c>
      <c r="H712" t="s">
        <v>34</v>
      </c>
      <c r="I712" t="s">
        <v>26</v>
      </c>
      <c r="J712" t="s">
        <v>54</v>
      </c>
      <c r="K712" t="s">
        <v>46</v>
      </c>
      <c r="L712" t="s">
        <v>29</v>
      </c>
      <c r="M712" t="s">
        <v>47</v>
      </c>
      <c r="P712" t="b">
        <v>0</v>
      </c>
      <c r="Q712">
        <v>5</v>
      </c>
      <c r="R712" t="b">
        <v>1</v>
      </c>
      <c r="S712" t="s">
        <v>55</v>
      </c>
      <c r="T712">
        <v>43.7</v>
      </c>
      <c r="U712">
        <v>35.369999999999997</v>
      </c>
      <c r="V712" t="b">
        <v>1</v>
      </c>
      <c r="W712" t="s">
        <v>41</v>
      </c>
    </row>
    <row r="713" spans="1:23" x14ac:dyDescent="0.25">
      <c r="A713" t="s">
        <v>23</v>
      </c>
      <c r="B713" t="s">
        <v>59</v>
      </c>
      <c r="C713">
        <v>90.1</v>
      </c>
      <c r="D713">
        <v>246</v>
      </c>
      <c r="E713" t="b">
        <v>0</v>
      </c>
      <c r="F713" t="b">
        <v>1</v>
      </c>
      <c r="G713" t="b">
        <v>1</v>
      </c>
      <c r="H713" t="s">
        <v>34</v>
      </c>
      <c r="I713" t="s">
        <v>44</v>
      </c>
      <c r="J713" t="s">
        <v>50</v>
      </c>
      <c r="K713" t="s">
        <v>46</v>
      </c>
      <c r="L713" t="s">
        <v>37</v>
      </c>
      <c r="M713" t="s">
        <v>47</v>
      </c>
      <c r="N713" t="s">
        <v>28</v>
      </c>
      <c r="O713" t="b">
        <v>0</v>
      </c>
      <c r="P713" t="b">
        <v>1</v>
      </c>
      <c r="Q713">
        <v>7.8</v>
      </c>
      <c r="R713" t="b">
        <v>1</v>
      </c>
      <c r="S713" t="s">
        <v>52</v>
      </c>
      <c r="T713">
        <v>24.5</v>
      </c>
      <c r="U713">
        <v>80.92</v>
      </c>
      <c r="V713" t="b">
        <v>1</v>
      </c>
      <c r="W713" t="s">
        <v>41</v>
      </c>
    </row>
    <row r="714" spans="1:23" x14ac:dyDescent="0.25">
      <c r="A714" t="s">
        <v>61</v>
      </c>
      <c r="B714" t="s">
        <v>71</v>
      </c>
      <c r="C714">
        <v>47.49</v>
      </c>
      <c r="D714">
        <v>299</v>
      </c>
      <c r="E714" t="b">
        <v>0</v>
      </c>
      <c r="F714" t="b">
        <v>0</v>
      </c>
      <c r="G714" t="b">
        <v>0</v>
      </c>
      <c r="H714" t="s">
        <v>53</v>
      </c>
      <c r="I714" t="s">
        <v>26</v>
      </c>
      <c r="J714" t="s">
        <v>45</v>
      </c>
      <c r="K714" t="s">
        <v>39</v>
      </c>
      <c r="L714" t="s">
        <v>37</v>
      </c>
      <c r="M714" t="s">
        <v>39</v>
      </c>
      <c r="N714" t="s">
        <v>39</v>
      </c>
      <c r="O714" t="b">
        <v>1</v>
      </c>
      <c r="P714" t="b">
        <v>0</v>
      </c>
      <c r="Q714">
        <v>6</v>
      </c>
      <c r="R714" t="b">
        <v>0</v>
      </c>
      <c r="T714">
        <v>0</v>
      </c>
      <c r="U714">
        <v>35.72</v>
      </c>
      <c r="V714" t="b">
        <v>0</v>
      </c>
      <c r="W714" t="s">
        <v>31</v>
      </c>
    </row>
    <row r="715" spans="1:23" x14ac:dyDescent="0.25">
      <c r="A715" t="s">
        <v>23</v>
      </c>
      <c r="B715" t="s">
        <v>66</v>
      </c>
      <c r="C715">
        <v>73.040000000000006</v>
      </c>
      <c r="D715">
        <v>753</v>
      </c>
      <c r="E715" t="b">
        <v>1</v>
      </c>
      <c r="F715" t="b">
        <v>1</v>
      </c>
      <c r="G715" t="b">
        <v>0</v>
      </c>
      <c r="H715" t="s">
        <v>53</v>
      </c>
      <c r="I715" t="s">
        <v>57</v>
      </c>
      <c r="J715" t="s">
        <v>50</v>
      </c>
      <c r="K715" t="s">
        <v>46</v>
      </c>
      <c r="L715" t="s">
        <v>29</v>
      </c>
      <c r="M715" t="s">
        <v>47</v>
      </c>
      <c r="N715" t="s">
        <v>39</v>
      </c>
      <c r="P715" t="b">
        <v>0</v>
      </c>
      <c r="Q715">
        <v>8.3000000000000007</v>
      </c>
      <c r="R715" t="b">
        <v>0</v>
      </c>
      <c r="T715">
        <v>0</v>
      </c>
      <c r="U715">
        <v>62.39</v>
      </c>
      <c r="V715" t="b">
        <v>0</v>
      </c>
      <c r="W715" t="s">
        <v>58</v>
      </c>
    </row>
    <row r="716" spans="1:23" x14ac:dyDescent="0.25">
      <c r="A716" t="s">
        <v>68</v>
      </c>
      <c r="B716" t="s">
        <v>62</v>
      </c>
      <c r="C716">
        <v>67.319999999999993</v>
      </c>
      <c r="D716">
        <v>71</v>
      </c>
      <c r="E716" t="b">
        <v>1</v>
      </c>
      <c r="F716" t="b">
        <v>1</v>
      </c>
      <c r="G716" t="b">
        <v>0</v>
      </c>
      <c r="H716" t="s">
        <v>34</v>
      </c>
      <c r="I716" t="s">
        <v>67</v>
      </c>
      <c r="J716" t="s">
        <v>27</v>
      </c>
      <c r="K716" t="s">
        <v>37</v>
      </c>
      <c r="L716" t="s">
        <v>37</v>
      </c>
      <c r="M716" t="s">
        <v>28</v>
      </c>
      <c r="N716" t="s">
        <v>46</v>
      </c>
      <c r="O716" t="b">
        <v>1</v>
      </c>
      <c r="P716" t="b">
        <v>1</v>
      </c>
      <c r="Q716">
        <v>10</v>
      </c>
      <c r="R716" t="b">
        <v>1</v>
      </c>
      <c r="S716" t="s">
        <v>55</v>
      </c>
      <c r="T716">
        <v>19.3</v>
      </c>
      <c r="U716">
        <v>56.44</v>
      </c>
      <c r="V716" t="b">
        <v>0</v>
      </c>
      <c r="W716" t="s">
        <v>31</v>
      </c>
    </row>
    <row r="717" spans="1:23" x14ac:dyDescent="0.25">
      <c r="A717" t="s">
        <v>32</v>
      </c>
      <c r="B717" t="s">
        <v>70</v>
      </c>
      <c r="C717">
        <v>81.569999999999993</v>
      </c>
      <c r="D717">
        <v>447</v>
      </c>
      <c r="E717" t="b">
        <v>0</v>
      </c>
      <c r="F717" t="b">
        <v>1</v>
      </c>
      <c r="G717" t="b">
        <v>0</v>
      </c>
      <c r="H717" t="s">
        <v>43</v>
      </c>
      <c r="I717" t="s">
        <v>63</v>
      </c>
      <c r="J717" t="s">
        <v>50</v>
      </c>
      <c r="K717" t="s">
        <v>37</v>
      </c>
      <c r="L717" t="s">
        <v>51</v>
      </c>
      <c r="M717" t="s">
        <v>28</v>
      </c>
      <c r="N717" t="s">
        <v>39</v>
      </c>
      <c r="O717" t="b">
        <v>0</v>
      </c>
      <c r="P717" t="b">
        <v>0</v>
      </c>
      <c r="Q717">
        <v>6.9</v>
      </c>
      <c r="R717" t="b">
        <v>1</v>
      </c>
      <c r="S717" t="s">
        <v>52</v>
      </c>
      <c r="T717">
        <v>32.5</v>
      </c>
      <c r="U717">
        <v>74.67</v>
      </c>
      <c r="V717" t="b">
        <v>1</v>
      </c>
      <c r="W717" t="s">
        <v>41</v>
      </c>
    </row>
    <row r="718" spans="1:23" x14ac:dyDescent="0.25">
      <c r="A718" t="s">
        <v>23</v>
      </c>
      <c r="B718" t="s">
        <v>62</v>
      </c>
      <c r="C718">
        <v>58.83</v>
      </c>
      <c r="D718">
        <v>724</v>
      </c>
      <c r="E718" t="b">
        <v>0</v>
      </c>
      <c r="F718" t="b">
        <v>1</v>
      </c>
      <c r="G718" t="b">
        <v>1</v>
      </c>
      <c r="H718" t="s">
        <v>53</v>
      </c>
      <c r="I718" t="s">
        <v>35</v>
      </c>
      <c r="J718" t="s">
        <v>54</v>
      </c>
      <c r="K718" t="s">
        <v>37</v>
      </c>
      <c r="L718" t="s">
        <v>37</v>
      </c>
      <c r="M718" t="s">
        <v>39</v>
      </c>
      <c r="N718" t="s">
        <v>46</v>
      </c>
      <c r="O718" t="b">
        <v>1</v>
      </c>
      <c r="P718" t="b">
        <v>0</v>
      </c>
      <c r="Q718">
        <v>6.4</v>
      </c>
      <c r="R718" t="b">
        <v>1</v>
      </c>
      <c r="S718" t="s">
        <v>64</v>
      </c>
      <c r="T718">
        <v>11.3</v>
      </c>
      <c r="U718">
        <v>46.25</v>
      </c>
      <c r="V718" t="b">
        <v>1</v>
      </c>
      <c r="W718" t="s">
        <v>41</v>
      </c>
    </row>
    <row r="719" spans="1:23" x14ac:dyDescent="0.25">
      <c r="A719" t="s">
        <v>32</v>
      </c>
      <c r="B719" t="s">
        <v>49</v>
      </c>
      <c r="C719">
        <v>79.31</v>
      </c>
      <c r="D719">
        <v>694</v>
      </c>
      <c r="E719" t="b">
        <v>0</v>
      </c>
      <c r="F719" t="b">
        <v>0</v>
      </c>
      <c r="G719" t="b">
        <v>1</v>
      </c>
      <c r="H719" t="s">
        <v>25</v>
      </c>
      <c r="I719" t="s">
        <v>26</v>
      </c>
      <c r="J719" t="s">
        <v>45</v>
      </c>
      <c r="K719" t="s">
        <v>28</v>
      </c>
      <c r="L719" t="s">
        <v>38</v>
      </c>
      <c r="M719" t="s">
        <v>39</v>
      </c>
      <c r="O719" t="b">
        <v>0</v>
      </c>
      <c r="P719" t="b">
        <v>0</v>
      </c>
      <c r="Q719">
        <v>7.5</v>
      </c>
      <c r="R719" t="b">
        <v>0</v>
      </c>
      <c r="T719">
        <v>0</v>
      </c>
      <c r="U719">
        <v>76.55</v>
      </c>
      <c r="V719" t="b">
        <v>1</v>
      </c>
      <c r="W719" t="s">
        <v>31</v>
      </c>
    </row>
    <row r="720" spans="1:23" x14ac:dyDescent="0.25">
      <c r="A720" t="s">
        <v>32</v>
      </c>
      <c r="B720" t="s">
        <v>24</v>
      </c>
      <c r="C720">
        <v>93.96</v>
      </c>
      <c r="D720">
        <v>660</v>
      </c>
      <c r="E720" t="b">
        <v>0</v>
      </c>
      <c r="F720" t="b">
        <v>0</v>
      </c>
      <c r="G720" t="b">
        <v>0</v>
      </c>
      <c r="H720" t="s">
        <v>25</v>
      </c>
      <c r="I720" t="s">
        <v>67</v>
      </c>
      <c r="J720" t="s">
        <v>54</v>
      </c>
      <c r="K720" t="s">
        <v>39</v>
      </c>
      <c r="L720" t="s">
        <v>29</v>
      </c>
      <c r="M720" t="s">
        <v>28</v>
      </c>
      <c r="N720" t="s">
        <v>46</v>
      </c>
      <c r="O720" t="b">
        <v>1</v>
      </c>
      <c r="P720" t="b">
        <v>0</v>
      </c>
      <c r="Q720">
        <v>10</v>
      </c>
      <c r="R720" t="b">
        <v>1</v>
      </c>
      <c r="S720" t="s">
        <v>75</v>
      </c>
      <c r="T720">
        <v>44.8</v>
      </c>
      <c r="U720">
        <v>92.88</v>
      </c>
      <c r="V720" t="b">
        <v>1</v>
      </c>
      <c r="W720" t="s">
        <v>31</v>
      </c>
    </row>
    <row r="721" spans="1:23" x14ac:dyDescent="0.25">
      <c r="A721" t="s">
        <v>68</v>
      </c>
      <c r="B721" t="s">
        <v>33</v>
      </c>
      <c r="C721">
        <v>87.86</v>
      </c>
      <c r="D721">
        <v>543</v>
      </c>
      <c r="E721" t="b">
        <v>1</v>
      </c>
      <c r="F721" t="b">
        <v>1</v>
      </c>
      <c r="G721" t="b">
        <v>1</v>
      </c>
      <c r="H721" t="s">
        <v>25</v>
      </c>
      <c r="I721" t="s">
        <v>67</v>
      </c>
      <c r="J721" t="s">
        <v>27</v>
      </c>
      <c r="K721" t="s">
        <v>28</v>
      </c>
      <c r="L721" t="s">
        <v>38</v>
      </c>
      <c r="M721" t="s">
        <v>39</v>
      </c>
      <c r="N721" t="s">
        <v>28</v>
      </c>
      <c r="O721" t="b">
        <v>0</v>
      </c>
      <c r="P721" t="b">
        <v>0</v>
      </c>
      <c r="Q721">
        <v>9.6999999999999993</v>
      </c>
      <c r="R721" t="b">
        <v>1</v>
      </c>
      <c r="S721" t="s">
        <v>75</v>
      </c>
      <c r="T721">
        <v>28.2</v>
      </c>
      <c r="U721">
        <v>73.33</v>
      </c>
      <c r="V721" t="b">
        <v>0</v>
      </c>
      <c r="W721" t="s">
        <v>31</v>
      </c>
    </row>
    <row r="722" spans="1:23" x14ac:dyDescent="0.25">
      <c r="A722" t="s">
        <v>32</v>
      </c>
      <c r="B722" t="s">
        <v>70</v>
      </c>
      <c r="C722">
        <v>86.02</v>
      </c>
      <c r="D722">
        <v>665</v>
      </c>
      <c r="E722" t="b">
        <v>1</v>
      </c>
      <c r="F722" t="b">
        <v>0</v>
      </c>
      <c r="G722" t="b">
        <v>1</v>
      </c>
      <c r="H722" t="s">
        <v>25</v>
      </c>
      <c r="I722" t="s">
        <v>57</v>
      </c>
      <c r="J722" t="s">
        <v>27</v>
      </c>
      <c r="K722" t="s">
        <v>37</v>
      </c>
      <c r="L722" t="s">
        <v>38</v>
      </c>
      <c r="M722" t="s">
        <v>28</v>
      </c>
      <c r="O722" t="b">
        <v>0</v>
      </c>
      <c r="P722" t="b">
        <v>0</v>
      </c>
      <c r="Q722">
        <v>9.6</v>
      </c>
      <c r="R722" t="b">
        <v>0</v>
      </c>
      <c r="T722">
        <v>0</v>
      </c>
      <c r="U722">
        <v>100</v>
      </c>
      <c r="V722" t="b">
        <v>1</v>
      </c>
      <c r="W722" t="s">
        <v>58</v>
      </c>
    </row>
    <row r="723" spans="1:23" x14ac:dyDescent="0.25">
      <c r="A723" t="s">
        <v>23</v>
      </c>
      <c r="B723" t="s">
        <v>70</v>
      </c>
      <c r="C723">
        <v>83.02</v>
      </c>
      <c r="D723">
        <v>770</v>
      </c>
      <c r="E723" t="b">
        <v>0</v>
      </c>
      <c r="F723" t="b">
        <v>1</v>
      </c>
      <c r="G723" t="b">
        <v>0</v>
      </c>
      <c r="H723" t="s">
        <v>34</v>
      </c>
      <c r="I723" t="s">
        <v>63</v>
      </c>
      <c r="J723" t="s">
        <v>27</v>
      </c>
      <c r="K723" t="s">
        <v>37</v>
      </c>
      <c r="L723" t="s">
        <v>29</v>
      </c>
      <c r="M723" t="s">
        <v>28</v>
      </c>
      <c r="N723" t="s">
        <v>28</v>
      </c>
      <c r="O723" t="b">
        <v>1</v>
      </c>
      <c r="P723" t="b">
        <v>0</v>
      </c>
      <c r="Q723">
        <v>9.5</v>
      </c>
      <c r="R723" t="b">
        <v>1</v>
      </c>
      <c r="S723" t="s">
        <v>64</v>
      </c>
      <c r="T723">
        <v>33.1</v>
      </c>
      <c r="U723">
        <v>90.06</v>
      </c>
      <c r="V723" t="b">
        <v>1</v>
      </c>
      <c r="W723" t="s">
        <v>31</v>
      </c>
    </row>
    <row r="724" spans="1:23" x14ac:dyDescent="0.25">
      <c r="A724" t="s">
        <v>56</v>
      </c>
      <c r="B724" t="s">
        <v>33</v>
      </c>
      <c r="C724">
        <v>81.540000000000006</v>
      </c>
      <c r="D724">
        <v>670</v>
      </c>
      <c r="E724" t="b">
        <v>1</v>
      </c>
      <c r="F724" t="b">
        <v>1</v>
      </c>
      <c r="G724" t="b">
        <v>0</v>
      </c>
      <c r="H724" t="s">
        <v>34</v>
      </c>
      <c r="I724" t="s">
        <v>44</v>
      </c>
      <c r="J724" t="s">
        <v>45</v>
      </c>
      <c r="K724" t="s">
        <v>37</v>
      </c>
      <c r="L724" t="s">
        <v>29</v>
      </c>
      <c r="M724" t="s">
        <v>46</v>
      </c>
      <c r="N724" t="s">
        <v>46</v>
      </c>
      <c r="O724" t="b">
        <v>0</v>
      </c>
      <c r="P724" t="b">
        <v>0</v>
      </c>
      <c r="Q724">
        <v>8.6</v>
      </c>
      <c r="R724" t="b">
        <v>0</v>
      </c>
      <c r="T724">
        <v>0</v>
      </c>
      <c r="U724">
        <v>81.680000000000007</v>
      </c>
      <c r="V724" t="b">
        <v>1</v>
      </c>
      <c r="W724" t="s">
        <v>58</v>
      </c>
    </row>
    <row r="725" spans="1:23" x14ac:dyDescent="0.25">
      <c r="A725" t="s">
        <v>56</v>
      </c>
      <c r="B725" t="s">
        <v>59</v>
      </c>
      <c r="C725">
        <v>79.5</v>
      </c>
      <c r="D725">
        <v>349</v>
      </c>
      <c r="E725" t="b">
        <v>1</v>
      </c>
      <c r="F725" t="b">
        <v>0</v>
      </c>
      <c r="G725" t="b">
        <v>0</v>
      </c>
      <c r="H725" t="s">
        <v>53</v>
      </c>
      <c r="I725" t="s">
        <v>67</v>
      </c>
      <c r="J725" t="s">
        <v>36</v>
      </c>
      <c r="K725" t="s">
        <v>37</v>
      </c>
      <c r="L725" t="s">
        <v>29</v>
      </c>
      <c r="M725" t="s">
        <v>47</v>
      </c>
      <c r="N725" t="s">
        <v>28</v>
      </c>
      <c r="P725" t="b">
        <v>0</v>
      </c>
      <c r="Q725">
        <v>8.1999999999999993</v>
      </c>
      <c r="R725" t="b">
        <v>1</v>
      </c>
      <c r="S725" t="s">
        <v>30</v>
      </c>
      <c r="T725">
        <v>30.2</v>
      </c>
      <c r="U725">
        <v>82.55</v>
      </c>
      <c r="V725" t="b">
        <v>1</v>
      </c>
      <c r="W725" t="s">
        <v>31</v>
      </c>
    </row>
    <row r="726" spans="1:23" x14ac:dyDescent="0.25">
      <c r="A726" t="s">
        <v>23</v>
      </c>
      <c r="B726" t="s">
        <v>33</v>
      </c>
      <c r="C726">
        <v>82.68</v>
      </c>
      <c r="D726">
        <v>693</v>
      </c>
      <c r="E726" t="b">
        <v>0</v>
      </c>
      <c r="F726" t="b">
        <v>0</v>
      </c>
      <c r="G726" t="b">
        <v>0</v>
      </c>
      <c r="H726" t="s">
        <v>25</v>
      </c>
      <c r="I726" t="s">
        <v>67</v>
      </c>
      <c r="J726" t="s">
        <v>45</v>
      </c>
      <c r="K726" t="s">
        <v>37</v>
      </c>
      <c r="L726" t="s">
        <v>51</v>
      </c>
      <c r="M726" t="s">
        <v>39</v>
      </c>
      <c r="N726" t="s">
        <v>46</v>
      </c>
      <c r="O726" t="b">
        <v>1</v>
      </c>
      <c r="P726" t="b">
        <v>0</v>
      </c>
      <c r="Q726">
        <v>8.9</v>
      </c>
      <c r="R726" t="b">
        <v>0</v>
      </c>
      <c r="T726">
        <v>0</v>
      </c>
      <c r="U726">
        <v>84.81</v>
      </c>
      <c r="V726" t="b">
        <v>1</v>
      </c>
      <c r="W726" t="s">
        <v>58</v>
      </c>
    </row>
    <row r="727" spans="1:23" x14ac:dyDescent="0.25">
      <c r="A727" t="s">
        <v>32</v>
      </c>
      <c r="B727" t="s">
        <v>70</v>
      </c>
      <c r="C727">
        <v>80.75</v>
      </c>
      <c r="D727">
        <v>730</v>
      </c>
      <c r="E727" t="b">
        <v>0</v>
      </c>
      <c r="F727" t="b">
        <v>0</v>
      </c>
      <c r="G727" t="b">
        <v>0</v>
      </c>
      <c r="H727" t="s">
        <v>53</v>
      </c>
      <c r="I727" t="s">
        <v>63</v>
      </c>
      <c r="J727" t="s">
        <v>36</v>
      </c>
      <c r="K727" t="s">
        <v>46</v>
      </c>
      <c r="L727" t="s">
        <v>38</v>
      </c>
      <c r="M727" t="s">
        <v>46</v>
      </c>
      <c r="O727" t="b">
        <v>1</v>
      </c>
      <c r="P727" t="b">
        <v>1</v>
      </c>
      <c r="Q727">
        <v>10</v>
      </c>
      <c r="R727" t="b">
        <v>1</v>
      </c>
      <c r="S727" t="s">
        <v>52</v>
      </c>
      <c r="T727">
        <v>35.700000000000003</v>
      </c>
      <c r="U727">
        <v>76.72</v>
      </c>
      <c r="V727" t="b">
        <v>0</v>
      </c>
      <c r="W727" t="s">
        <v>31</v>
      </c>
    </row>
    <row r="728" spans="1:23" x14ac:dyDescent="0.25">
      <c r="A728" t="s">
        <v>56</v>
      </c>
      <c r="B728" t="s">
        <v>76</v>
      </c>
      <c r="C728">
        <v>87.95</v>
      </c>
      <c r="D728">
        <v>727</v>
      </c>
      <c r="E728" t="b">
        <v>0</v>
      </c>
      <c r="F728" t="b">
        <v>0</v>
      </c>
      <c r="G728" t="b">
        <v>0</v>
      </c>
      <c r="H728" t="s">
        <v>43</v>
      </c>
      <c r="I728" t="s">
        <v>67</v>
      </c>
      <c r="J728" t="s">
        <v>45</v>
      </c>
      <c r="K728" t="s">
        <v>28</v>
      </c>
      <c r="L728" t="s">
        <v>69</v>
      </c>
      <c r="M728" t="s">
        <v>46</v>
      </c>
      <c r="N728" t="s">
        <v>46</v>
      </c>
      <c r="P728" t="b">
        <v>1</v>
      </c>
      <c r="Q728">
        <v>10</v>
      </c>
      <c r="R728" t="b">
        <v>0</v>
      </c>
      <c r="T728">
        <v>0</v>
      </c>
      <c r="U728">
        <v>76.69</v>
      </c>
      <c r="V728" t="b">
        <v>0</v>
      </c>
      <c r="W728" t="s">
        <v>58</v>
      </c>
    </row>
    <row r="729" spans="1:23" x14ac:dyDescent="0.25">
      <c r="A729" t="s">
        <v>61</v>
      </c>
      <c r="B729" t="s">
        <v>66</v>
      </c>
      <c r="C729">
        <v>68.62</v>
      </c>
      <c r="D729">
        <v>165</v>
      </c>
      <c r="E729" t="b">
        <v>0</v>
      </c>
      <c r="F729" t="b">
        <v>0</v>
      </c>
      <c r="G729" t="b">
        <v>1</v>
      </c>
      <c r="H729" t="s">
        <v>53</v>
      </c>
      <c r="I729" t="s">
        <v>57</v>
      </c>
      <c r="J729" t="s">
        <v>54</v>
      </c>
      <c r="K729" t="s">
        <v>28</v>
      </c>
      <c r="L729" t="s">
        <v>37</v>
      </c>
      <c r="M729" t="s">
        <v>47</v>
      </c>
      <c r="O729" t="b">
        <v>0</v>
      </c>
      <c r="P729" t="b">
        <v>0</v>
      </c>
      <c r="Q729">
        <v>5.4</v>
      </c>
      <c r="R729" t="b">
        <v>1</v>
      </c>
      <c r="S729" t="s">
        <v>52</v>
      </c>
      <c r="T729">
        <v>28.2</v>
      </c>
      <c r="U729">
        <v>47.13</v>
      </c>
      <c r="V729" t="b">
        <v>1</v>
      </c>
      <c r="W729" t="s">
        <v>41</v>
      </c>
    </row>
    <row r="730" spans="1:23" x14ac:dyDescent="0.25">
      <c r="A730" t="s">
        <v>61</v>
      </c>
      <c r="B730" t="s">
        <v>76</v>
      </c>
      <c r="C730">
        <v>72.290000000000006</v>
      </c>
      <c r="D730">
        <v>574</v>
      </c>
      <c r="E730" t="b">
        <v>1</v>
      </c>
      <c r="F730" t="b">
        <v>1</v>
      </c>
      <c r="G730" t="b">
        <v>1</v>
      </c>
      <c r="H730" t="s">
        <v>25</v>
      </c>
      <c r="I730" t="s">
        <v>26</v>
      </c>
      <c r="J730" t="s">
        <v>50</v>
      </c>
      <c r="K730" t="s">
        <v>39</v>
      </c>
      <c r="L730" t="s">
        <v>38</v>
      </c>
      <c r="M730" t="s">
        <v>46</v>
      </c>
      <c r="O730" t="b">
        <v>0</v>
      </c>
      <c r="P730" t="b">
        <v>1</v>
      </c>
      <c r="Q730">
        <v>7.3</v>
      </c>
      <c r="R730" t="b">
        <v>1</v>
      </c>
      <c r="S730" t="s">
        <v>64</v>
      </c>
      <c r="T730">
        <v>40.299999999999997</v>
      </c>
      <c r="U730">
        <v>83.14</v>
      </c>
      <c r="V730" t="b">
        <v>1</v>
      </c>
      <c r="W730" t="s">
        <v>41</v>
      </c>
    </row>
    <row r="731" spans="1:23" x14ac:dyDescent="0.25">
      <c r="A731" t="s">
        <v>56</v>
      </c>
      <c r="B731" t="s">
        <v>60</v>
      </c>
      <c r="C731">
        <v>45.52</v>
      </c>
      <c r="D731">
        <v>196</v>
      </c>
      <c r="E731" t="b">
        <v>0</v>
      </c>
      <c r="F731" t="b">
        <v>0</v>
      </c>
      <c r="G731" t="b">
        <v>0</v>
      </c>
      <c r="H731" t="s">
        <v>53</v>
      </c>
      <c r="I731" t="s">
        <v>63</v>
      </c>
      <c r="J731" t="s">
        <v>54</v>
      </c>
      <c r="K731" t="s">
        <v>46</v>
      </c>
      <c r="L731" t="s">
        <v>38</v>
      </c>
      <c r="M731" t="s">
        <v>46</v>
      </c>
      <c r="N731" t="s">
        <v>46</v>
      </c>
      <c r="O731" t="b">
        <v>1</v>
      </c>
      <c r="P731" t="b">
        <v>1</v>
      </c>
      <c r="Q731">
        <v>7.5</v>
      </c>
      <c r="R731" t="b">
        <v>0</v>
      </c>
      <c r="T731">
        <v>0</v>
      </c>
      <c r="U731">
        <v>54.94</v>
      </c>
      <c r="V731" t="b">
        <v>0</v>
      </c>
      <c r="W731" t="s">
        <v>31</v>
      </c>
    </row>
    <row r="732" spans="1:23" x14ac:dyDescent="0.25">
      <c r="A732" t="s">
        <v>32</v>
      </c>
      <c r="B732" t="s">
        <v>73</v>
      </c>
      <c r="C732">
        <v>62.63</v>
      </c>
      <c r="D732">
        <v>407</v>
      </c>
      <c r="E732" t="b">
        <v>0</v>
      </c>
      <c r="F732" t="b">
        <v>1</v>
      </c>
      <c r="G732" t="b">
        <v>1</v>
      </c>
      <c r="H732" t="s">
        <v>34</v>
      </c>
      <c r="I732" t="s">
        <v>44</v>
      </c>
      <c r="J732" t="s">
        <v>54</v>
      </c>
      <c r="K732" t="s">
        <v>46</v>
      </c>
      <c r="L732" t="s">
        <v>37</v>
      </c>
      <c r="M732" t="s">
        <v>47</v>
      </c>
      <c r="P732" t="b">
        <v>1</v>
      </c>
      <c r="Q732">
        <v>5.6</v>
      </c>
      <c r="R732" t="b">
        <v>1</v>
      </c>
      <c r="S732" t="s">
        <v>75</v>
      </c>
      <c r="T732">
        <v>42.6</v>
      </c>
      <c r="U732">
        <v>74.260000000000005</v>
      </c>
      <c r="V732" t="b">
        <v>1</v>
      </c>
      <c r="W732" t="s">
        <v>41</v>
      </c>
    </row>
    <row r="733" spans="1:23" x14ac:dyDescent="0.25">
      <c r="A733" t="s">
        <v>74</v>
      </c>
      <c r="B733" t="s">
        <v>60</v>
      </c>
      <c r="C733">
        <v>52.61</v>
      </c>
      <c r="D733">
        <v>792</v>
      </c>
      <c r="E733" t="b">
        <v>1</v>
      </c>
      <c r="F733" t="b">
        <v>0</v>
      </c>
      <c r="G733" t="b">
        <v>0</v>
      </c>
      <c r="H733" t="s">
        <v>43</v>
      </c>
      <c r="I733" t="s">
        <v>67</v>
      </c>
      <c r="J733" t="s">
        <v>50</v>
      </c>
      <c r="K733" t="s">
        <v>39</v>
      </c>
      <c r="L733" t="s">
        <v>29</v>
      </c>
      <c r="M733" t="s">
        <v>28</v>
      </c>
      <c r="N733" t="s">
        <v>39</v>
      </c>
      <c r="O733" t="b">
        <v>1</v>
      </c>
      <c r="P733" t="b">
        <v>1</v>
      </c>
      <c r="Q733">
        <v>8.4</v>
      </c>
      <c r="R733" t="b">
        <v>1</v>
      </c>
      <c r="S733" t="s">
        <v>64</v>
      </c>
      <c r="T733">
        <v>27.8</v>
      </c>
      <c r="U733">
        <v>48.5</v>
      </c>
      <c r="V733" t="b">
        <v>0</v>
      </c>
      <c r="W733" t="s">
        <v>31</v>
      </c>
    </row>
    <row r="734" spans="1:23" x14ac:dyDescent="0.25">
      <c r="A734" t="s">
        <v>32</v>
      </c>
      <c r="B734" t="s">
        <v>73</v>
      </c>
      <c r="C734">
        <v>57.59</v>
      </c>
      <c r="D734">
        <v>113</v>
      </c>
      <c r="E734" t="b">
        <v>1</v>
      </c>
      <c r="F734" t="b">
        <v>0</v>
      </c>
      <c r="G734" t="b">
        <v>1</v>
      </c>
      <c r="H734" t="s">
        <v>43</v>
      </c>
      <c r="I734" t="s">
        <v>26</v>
      </c>
      <c r="J734" t="s">
        <v>50</v>
      </c>
      <c r="K734" t="s">
        <v>39</v>
      </c>
      <c r="L734" t="s">
        <v>37</v>
      </c>
      <c r="M734" t="s">
        <v>28</v>
      </c>
      <c r="N734" t="s">
        <v>28</v>
      </c>
      <c r="O734" t="b">
        <v>0</v>
      </c>
      <c r="P734" t="b">
        <v>1</v>
      </c>
      <c r="Q734">
        <v>6.9</v>
      </c>
      <c r="R734" t="b">
        <v>1</v>
      </c>
      <c r="S734" t="s">
        <v>64</v>
      </c>
      <c r="T734">
        <v>19.5</v>
      </c>
      <c r="U734">
        <v>61.27</v>
      </c>
      <c r="V734" t="b">
        <v>1</v>
      </c>
      <c r="W734" t="s">
        <v>41</v>
      </c>
    </row>
    <row r="735" spans="1:23" x14ac:dyDescent="0.25">
      <c r="A735" t="s">
        <v>32</v>
      </c>
      <c r="B735" t="s">
        <v>42</v>
      </c>
      <c r="C735">
        <v>80.17</v>
      </c>
      <c r="D735">
        <v>708</v>
      </c>
      <c r="E735" t="b">
        <v>1</v>
      </c>
      <c r="F735" t="b">
        <v>1</v>
      </c>
      <c r="G735" t="b">
        <v>0</v>
      </c>
      <c r="H735" t="s">
        <v>53</v>
      </c>
      <c r="I735" t="s">
        <v>67</v>
      </c>
      <c r="J735" t="s">
        <v>50</v>
      </c>
      <c r="K735" t="s">
        <v>46</v>
      </c>
      <c r="L735" t="s">
        <v>37</v>
      </c>
      <c r="M735" t="s">
        <v>28</v>
      </c>
      <c r="N735" t="s">
        <v>28</v>
      </c>
      <c r="O735" t="b">
        <v>1</v>
      </c>
      <c r="P735" t="b">
        <v>0</v>
      </c>
      <c r="Q735">
        <v>10</v>
      </c>
      <c r="R735" t="b">
        <v>1</v>
      </c>
      <c r="S735" t="s">
        <v>40</v>
      </c>
      <c r="T735">
        <v>29.1</v>
      </c>
      <c r="U735">
        <v>85.51</v>
      </c>
      <c r="V735" t="b">
        <v>1</v>
      </c>
      <c r="W735" t="s">
        <v>31</v>
      </c>
    </row>
    <row r="736" spans="1:23" x14ac:dyDescent="0.25">
      <c r="A736" t="s">
        <v>32</v>
      </c>
      <c r="B736" t="s">
        <v>24</v>
      </c>
      <c r="C736">
        <v>96.55</v>
      </c>
      <c r="D736">
        <v>637</v>
      </c>
      <c r="E736" t="b">
        <v>1</v>
      </c>
      <c r="F736" t="b">
        <v>1</v>
      </c>
      <c r="G736" t="b">
        <v>1</v>
      </c>
      <c r="H736" t="s">
        <v>34</v>
      </c>
      <c r="I736" t="s">
        <v>67</v>
      </c>
      <c r="J736" t="s">
        <v>27</v>
      </c>
      <c r="K736" t="s">
        <v>37</v>
      </c>
      <c r="L736" t="s">
        <v>69</v>
      </c>
      <c r="M736" t="s">
        <v>39</v>
      </c>
      <c r="N736" t="s">
        <v>39</v>
      </c>
      <c r="P736" t="b">
        <v>0</v>
      </c>
      <c r="Q736">
        <v>10</v>
      </c>
      <c r="R736" t="b">
        <v>1</v>
      </c>
      <c r="S736" t="s">
        <v>40</v>
      </c>
      <c r="T736">
        <v>17.600000000000001</v>
      </c>
      <c r="U736">
        <v>81.59</v>
      </c>
      <c r="V736" t="b">
        <v>1</v>
      </c>
      <c r="W736" t="s">
        <v>31</v>
      </c>
    </row>
    <row r="737" spans="1:23" x14ac:dyDescent="0.25">
      <c r="A737" t="s">
        <v>68</v>
      </c>
      <c r="B737" t="s">
        <v>24</v>
      </c>
      <c r="C737">
        <v>94.07</v>
      </c>
      <c r="D737">
        <v>532</v>
      </c>
      <c r="E737" t="b">
        <v>0</v>
      </c>
      <c r="F737" t="b">
        <v>0</v>
      </c>
      <c r="G737" t="b">
        <v>1</v>
      </c>
      <c r="H737" t="s">
        <v>25</v>
      </c>
      <c r="I737" t="s">
        <v>26</v>
      </c>
      <c r="J737" t="s">
        <v>45</v>
      </c>
      <c r="K737" t="s">
        <v>37</v>
      </c>
      <c r="L737" t="s">
        <v>38</v>
      </c>
      <c r="M737" t="s">
        <v>46</v>
      </c>
      <c r="O737" t="b">
        <v>1</v>
      </c>
      <c r="P737" t="b">
        <v>1</v>
      </c>
      <c r="Q737">
        <v>10</v>
      </c>
      <c r="R737" t="b">
        <v>1</v>
      </c>
      <c r="S737" t="s">
        <v>75</v>
      </c>
      <c r="T737">
        <v>5.3</v>
      </c>
      <c r="U737">
        <v>96.87</v>
      </c>
      <c r="V737" t="b">
        <v>1</v>
      </c>
      <c r="W737" t="s">
        <v>31</v>
      </c>
    </row>
    <row r="738" spans="1:23" x14ac:dyDescent="0.25">
      <c r="A738" t="s">
        <v>56</v>
      </c>
      <c r="B738" t="s">
        <v>70</v>
      </c>
      <c r="C738">
        <v>93.4</v>
      </c>
      <c r="D738">
        <v>470</v>
      </c>
      <c r="E738" t="b">
        <v>1</v>
      </c>
      <c r="F738" t="b">
        <v>0</v>
      </c>
      <c r="G738" t="b">
        <v>1</v>
      </c>
      <c r="H738" t="s">
        <v>43</v>
      </c>
      <c r="I738" t="s">
        <v>44</v>
      </c>
      <c r="J738" t="s">
        <v>45</v>
      </c>
      <c r="K738" t="s">
        <v>37</v>
      </c>
      <c r="L738" t="s">
        <v>29</v>
      </c>
      <c r="M738" t="s">
        <v>46</v>
      </c>
      <c r="N738" t="s">
        <v>39</v>
      </c>
      <c r="O738" t="b">
        <v>1</v>
      </c>
      <c r="P738" t="b">
        <v>0</v>
      </c>
      <c r="Q738">
        <v>10</v>
      </c>
      <c r="R738" t="b">
        <v>0</v>
      </c>
      <c r="T738">
        <v>0</v>
      </c>
      <c r="U738">
        <v>78.67</v>
      </c>
      <c r="V738" t="b">
        <v>0</v>
      </c>
      <c r="W738" t="s">
        <v>58</v>
      </c>
    </row>
    <row r="739" spans="1:23" x14ac:dyDescent="0.25">
      <c r="A739" t="s">
        <v>32</v>
      </c>
      <c r="B739" t="s">
        <v>73</v>
      </c>
      <c r="C739">
        <v>51.71</v>
      </c>
      <c r="D739">
        <v>711</v>
      </c>
      <c r="E739" t="b">
        <v>0</v>
      </c>
      <c r="F739" t="b">
        <v>1</v>
      </c>
      <c r="G739" t="b">
        <v>0</v>
      </c>
      <c r="H739" t="s">
        <v>53</v>
      </c>
      <c r="I739" t="s">
        <v>57</v>
      </c>
      <c r="J739" t="s">
        <v>54</v>
      </c>
      <c r="K739" t="s">
        <v>37</v>
      </c>
      <c r="L739" t="s">
        <v>51</v>
      </c>
      <c r="M739" t="s">
        <v>28</v>
      </c>
      <c r="N739" t="s">
        <v>28</v>
      </c>
      <c r="O739" t="b">
        <v>0</v>
      </c>
      <c r="P739" t="b">
        <v>0</v>
      </c>
      <c r="Q739">
        <v>3.9</v>
      </c>
      <c r="R739" t="b">
        <v>1</v>
      </c>
      <c r="S739" t="s">
        <v>55</v>
      </c>
      <c r="T739">
        <v>18.2</v>
      </c>
      <c r="U739">
        <v>56.54</v>
      </c>
      <c r="V739" t="b">
        <v>1</v>
      </c>
      <c r="W739" t="s">
        <v>72</v>
      </c>
    </row>
    <row r="740" spans="1:23" x14ac:dyDescent="0.25">
      <c r="A740" t="s">
        <v>68</v>
      </c>
      <c r="B740" t="s">
        <v>42</v>
      </c>
      <c r="C740">
        <v>84.92</v>
      </c>
      <c r="D740">
        <v>734</v>
      </c>
      <c r="E740" t="b">
        <v>1</v>
      </c>
      <c r="F740" t="b">
        <v>1</v>
      </c>
      <c r="G740" t="b">
        <v>0</v>
      </c>
      <c r="H740" t="s">
        <v>53</v>
      </c>
      <c r="I740" t="s">
        <v>35</v>
      </c>
      <c r="J740" t="s">
        <v>45</v>
      </c>
      <c r="K740" t="s">
        <v>37</v>
      </c>
      <c r="L740" t="s">
        <v>51</v>
      </c>
      <c r="M740" t="s">
        <v>39</v>
      </c>
      <c r="N740" t="s">
        <v>39</v>
      </c>
      <c r="O740" t="b">
        <v>0</v>
      </c>
      <c r="P740" t="b">
        <v>0</v>
      </c>
      <c r="Q740">
        <v>8.1999999999999993</v>
      </c>
      <c r="R740" t="b">
        <v>1</v>
      </c>
      <c r="S740" t="s">
        <v>75</v>
      </c>
      <c r="T740">
        <v>5.5</v>
      </c>
      <c r="U740">
        <v>77.47</v>
      </c>
      <c r="V740" t="b">
        <v>1</v>
      </c>
      <c r="W740" t="s">
        <v>31</v>
      </c>
    </row>
    <row r="741" spans="1:23" x14ac:dyDescent="0.25">
      <c r="A741" t="s">
        <v>61</v>
      </c>
      <c r="B741" t="s">
        <v>70</v>
      </c>
      <c r="C741">
        <v>82.15</v>
      </c>
      <c r="D741">
        <v>572</v>
      </c>
      <c r="E741" t="b">
        <v>0</v>
      </c>
      <c r="F741" t="b">
        <v>0</v>
      </c>
      <c r="G741" t="b">
        <v>1</v>
      </c>
      <c r="H741" t="s">
        <v>53</v>
      </c>
      <c r="I741" t="s">
        <v>44</v>
      </c>
      <c r="J741" t="s">
        <v>36</v>
      </c>
      <c r="K741" t="s">
        <v>46</v>
      </c>
      <c r="L741" t="s">
        <v>29</v>
      </c>
      <c r="M741" t="s">
        <v>28</v>
      </c>
      <c r="N741" t="s">
        <v>39</v>
      </c>
      <c r="P741" t="b">
        <v>0</v>
      </c>
      <c r="Q741">
        <v>9.6</v>
      </c>
      <c r="R741" t="b">
        <v>0</v>
      </c>
      <c r="T741">
        <v>0</v>
      </c>
      <c r="U741">
        <v>69.430000000000007</v>
      </c>
      <c r="V741" t="b">
        <v>0</v>
      </c>
      <c r="W741" t="s">
        <v>58</v>
      </c>
    </row>
    <row r="742" spans="1:23" x14ac:dyDescent="0.25">
      <c r="A742" t="s">
        <v>61</v>
      </c>
      <c r="B742" t="s">
        <v>70</v>
      </c>
      <c r="C742">
        <v>92.84</v>
      </c>
      <c r="D742">
        <v>434</v>
      </c>
      <c r="E742" t="b">
        <v>0</v>
      </c>
      <c r="F742" t="b">
        <v>0</v>
      </c>
      <c r="G742" t="b">
        <v>1</v>
      </c>
      <c r="H742" t="s">
        <v>34</v>
      </c>
      <c r="I742" t="s">
        <v>35</v>
      </c>
      <c r="J742" t="s">
        <v>36</v>
      </c>
      <c r="K742" t="s">
        <v>37</v>
      </c>
      <c r="L742" t="s">
        <v>69</v>
      </c>
      <c r="M742" t="s">
        <v>46</v>
      </c>
      <c r="N742" t="s">
        <v>39</v>
      </c>
      <c r="O742" t="b">
        <v>0</v>
      </c>
      <c r="P742" t="b">
        <v>1</v>
      </c>
      <c r="Q742">
        <v>9.1</v>
      </c>
      <c r="R742" t="b">
        <v>0</v>
      </c>
      <c r="T742">
        <v>0</v>
      </c>
      <c r="U742">
        <v>92.26</v>
      </c>
      <c r="V742" t="b">
        <v>1</v>
      </c>
      <c r="W742" t="s">
        <v>58</v>
      </c>
    </row>
    <row r="743" spans="1:23" x14ac:dyDescent="0.25">
      <c r="A743" t="s">
        <v>74</v>
      </c>
      <c r="B743" t="s">
        <v>62</v>
      </c>
      <c r="C743">
        <v>56.18</v>
      </c>
      <c r="D743">
        <v>60</v>
      </c>
      <c r="E743" t="b">
        <v>0</v>
      </c>
      <c r="F743" t="b">
        <v>1</v>
      </c>
      <c r="G743" t="b">
        <v>0</v>
      </c>
      <c r="H743" t="s">
        <v>34</v>
      </c>
      <c r="I743" t="s">
        <v>63</v>
      </c>
      <c r="J743" t="s">
        <v>27</v>
      </c>
      <c r="K743" t="s">
        <v>39</v>
      </c>
      <c r="L743" t="s">
        <v>38</v>
      </c>
      <c r="M743" t="s">
        <v>28</v>
      </c>
      <c r="N743" t="s">
        <v>28</v>
      </c>
      <c r="O743" t="b">
        <v>0</v>
      </c>
      <c r="P743" t="b">
        <v>1</v>
      </c>
      <c r="Q743">
        <v>5.7</v>
      </c>
      <c r="R743" t="b">
        <v>1</v>
      </c>
      <c r="S743" t="s">
        <v>48</v>
      </c>
      <c r="T743">
        <v>41.6</v>
      </c>
      <c r="U743">
        <v>70.05</v>
      </c>
      <c r="V743" t="b">
        <v>1</v>
      </c>
      <c r="W743" t="s">
        <v>41</v>
      </c>
    </row>
    <row r="744" spans="1:23" x14ac:dyDescent="0.25">
      <c r="A744" t="s">
        <v>61</v>
      </c>
      <c r="B744" t="s">
        <v>33</v>
      </c>
      <c r="C744">
        <v>84.48</v>
      </c>
      <c r="D744">
        <v>122</v>
      </c>
      <c r="E744" t="b">
        <v>0</v>
      </c>
      <c r="F744" t="b">
        <v>1</v>
      </c>
      <c r="G744" t="b">
        <v>1</v>
      </c>
      <c r="H744" t="s">
        <v>43</v>
      </c>
      <c r="I744" t="s">
        <v>63</v>
      </c>
      <c r="J744" t="s">
        <v>54</v>
      </c>
      <c r="K744" t="s">
        <v>28</v>
      </c>
      <c r="L744" t="s">
        <v>37</v>
      </c>
      <c r="M744" t="s">
        <v>39</v>
      </c>
      <c r="P744" t="b">
        <v>0</v>
      </c>
      <c r="Q744">
        <v>8</v>
      </c>
      <c r="R744" t="b">
        <v>1</v>
      </c>
      <c r="S744" t="s">
        <v>48</v>
      </c>
      <c r="T744">
        <v>40.5</v>
      </c>
      <c r="U744">
        <v>83.16</v>
      </c>
      <c r="V744" t="b">
        <v>1</v>
      </c>
      <c r="W744" t="s">
        <v>31</v>
      </c>
    </row>
    <row r="745" spans="1:23" x14ac:dyDescent="0.25">
      <c r="A745" t="s">
        <v>68</v>
      </c>
      <c r="B745" t="s">
        <v>60</v>
      </c>
      <c r="C745">
        <v>48.41</v>
      </c>
      <c r="D745">
        <v>798</v>
      </c>
      <c r="E745" t="b">
        <v>0</v>
      </c>
      <c r="F745" t="b">
        <v>1</v>
      </c>
      <c r="G745" t="b">
        <v>1</v>
      </c>
      <c r="H745" t="s">
        <v>53</v>
      </c>
      <c r="I745" t="s">
        <v>35</v>
      </c>
      <c r="J745" t="s">
        <v>54</v>
      </c>
      <c r="K745" t="s">
        <v>39</v>
      </c>
      <c r="L745" t="s">
        <v>29</v>
      </c>
      <c r="M745" t="s">
        <v>39</v>
      </c>
      <c r="N745" t="s">
        <v>46</v>
      </c>
      <c r="O745" t="b">
        <v>0</v>
      </c>
      <c r="P745" t="b">
        <v>0</v>
      </c>
      <c r="Q745">
        <v>2.2999999999999998</v>
      </c>
      <c r="R745" t="b">
        <v>1</v>
      </c>
      <c r="S745" t="s">
        <v>40</v>
      </c>
      <c r="T745">
        <v>17.899999999999999</v>
      </c>
      <c r="U745">
        <v>51.08</v>
      </c>
      <c r="V745" t="b">
        <v>0</v>
      </c>
      <c r="W745" t="s">
        <v>72</v>
      </c>
    </row>
    <row r="746" spans="1:23" x14ac:dyDescent="0.25">
      <c r="A746" t="s">
        <v>32</v>
      </c>
      <c r="B746" t="s">
        <v>71</v>
      </c>
      <c r="C746">
        <v>43.78</v>
      </c>
      <c r="D746">
        <v>737</v>
      </c>
      <c r="E746" t="b">
        <v>1</v>
      </c>
      <c r="F746" t="b">
        <v>0</v>
      </c>
      <c r="G746" t="b">
        <v>1</v>
      </c>
      <c r="H746" t="s">
        <v>25</v>
      </c>
      <c r="I746" t="s">
        <v>44</v>
      </c>
      <c r="J746" t="s">
        <v>36</v>
      </c>
      <c r="K746" t="s">
        <v>28</v>
      </c>
      <c r="L746" t="s">
        <v>51</v>
      </c>
      <c r="M746" t="s">
        <v>28</v>
      </c>
      <c r="N746" t="s">
        <v>46</v>
      </c>
      <c r="P746" t="b">
        <v>1</v>
      </c>
      <c r="Q746">
        <v>6.2</v>
      </c>
      <c r="R746" t="b">
        <v>1</v>
      </c>
      <c r="S746" t="s">
        <v>64</v>
      </c>
      <c r="T746">
        <v>33.799999999999997</v>
      </c>
      <c r="U746">
        <v>33.06</v>
      </c>
      <c r="V746" t="b">
        <v>0</v>
      </c>
      <c r="W746" t="s">
        <v>41</v>
      </c>
    </row>
    <row r="747" spans="1:23" x14ac:dyDescent="0.25">
      <c r="A747" t="s">
        <v>56</v>
      </c>
      <c r="B747" t="s">
        <v>62</v>
      </c>
      <c r="C747">
        <v>57.46</v>
      </c>
      <c r="D747">
        <v>280</v>
      </c>
      <c r="E747" t="b">
        <v>1</v>
      </c>
      <c r="F747" t="b">
        <v>0</v>
      </c>
      <c r="G747" t="b">
        <v>0</v>
      </c>
      <c r="H747" t="s">
        <v>53</v>
      </c>
      <c r="I747" t="s">
        <v>57</v>
      </c>
      <c r="J747" t="s">
        <v>45</v>
      </c>
      <c r="K747" t="s">
        <v>37</v>
      </c>
      <c r="L747" t="s">
        <v>38</v>
      </c>
      <c r="M747" t="s">
        <v>28</v>
      </c>
      <c r="P747" t="b">
        <v>1</v>
      </c>
      <c r="Q747">
        <v>8</v>
      </c>
      <c r="R747" t="b">
        <v>0</v>
      </c>
      <c r="T747">
        <v>0</v>
      </c>
      <c r="U747">
        <v>54.9</v>
      </c>
      <c r="V747" t="b">
        <v>0</v>
      </c>
      <c r="W747" t="s">
        <v>58</v>
      </c>
    </row>
    <row r="748" spans="1:23" x14ac:dyDescent="0.25">
      <c r="A748" t="s">
        <v>23</v>
      </c>
      <c r="B748" t="s">
        <v>60</v>
      </c>
      <c r="C748">
        <v>60.59</v>
      </c>
      <c r="D748">
        <v>89</v>
      </c>
      <c r="E748" t="b">
        <v>1</v>
      </c>
      <c r="F748" t="b">
        <v>1</v>
      </c>
      <c r="G748" t="b">
        <v>0</v>
      </c>
      <c r="H748" t="s">
        <v>43</v>
      </c>
      <c r="I748" t="s">
        <v>67</v>
      </c>
      <c r="J748" t="s">
        <v>36</v>
      </c>
      <c r="K748" t="s">
        <v>28</v>
      </c>
      <c r="L748" t="s">
        <v>38</v>
      </c>
      <c r="M748" t="s">
        <v>39</v>
      </c>
      <c r="N748" t="s">
        <v>46</v>
      </c>
      <c r="P748" t="b">
        <v>1</v>
      </c>
      <c r="Q748">
        <v>7.5</v>
      </c>
      <c r="R748" t="b">
        <v>1</v>
      </c>
      <c r="S748" t="s">
        <v>75</v>
      </c>
      <c r="T748">
        <v>23.1</v>
      </c>
      <c r="U748">
        <v>57.08</v>
      </c>
      <c r="V748" t="b">
        <v>1</v>
      </c>
      <c r="W748" t="s">
        <v>41</v>
      </c>
    </row>
    <row r="749" spans="1:23" x14ac:dyDescent="0.25">
      <c r="A749" t="s">
        <v>56</v>
      </c>
      <c r="B749" t="s">
        <v>70</v>
      </c>
      <c r="C749">
        <v>70.260000000000005</v>
      </c>
      <c r="D749">
        <v>498</v>
      </c>
      <c r="E749" t="b">
        <v>1</v>
      </c>
      <c r="F749" t="b">
        <v>0</v>
      </c>
      <c r="G749" t="b">
        <v>0</v>
      </c>
      <c r="H749" t="s">
        <v>43</v>
      </c>
      <c r="I749" t="s">
        <v>67</v>
      </c>
      <c r="J749" t="s">
        <v>45</v>
      </c>
      <c r="K749" t="s">
        <v>37</v>
      </c>
      <c r="L749" t="s">
        <v>37</v>
      </c>
      <c r="M749" t="s">
        <v>39</v>
      </c>
      <c r="N749" t="s">
        <v>46</v>
      </c>
      <c r="O749" t="b">
        <v>0</v>
      </c>
      <c r="P749" t="b">
        <v>1</v>
      </c>
      <c r="Q749">
        <v>6.6</v>
      </c>
      <c r="R749" t="b">
        <v>0</v>
      </c>
      <c r="T749">
        <v>0</v>
      </c>
      <c r="U749">
        <v>62.8</v>
      </c>
      <c r="V749" t="b">
        <v>1</v>
      </c>
      <c r="W749" t="s">
        <v>31</v>
      </c>
    </row>
    <row r="750" spans="1:23" x14ac:dyDescent="0.25">
      <c r="A750" t="s">
        <v>68</v>
      </c>
      <c r="B750" t="s">
        <v>71</v>
      </c>
      <c r="C750">
        <v>45.7</v>
      </c>
      <c r="D750">
        <v>226</v>
      </c>
      <c r="E750" t="b">
        <v>0</v>
      </c>
      <c r="F750" t="b">
        <v>0</v>
      </c>
      <c r="G750" t="b">
        <v>0</v>
      </c>
      <c r="H750" t="s">
        <v>43</v>
      </c>
      <c r="I750" t="s">
        <v>44</v>
      </c>
      <c r="J750" t="s">
        <v>36</v>
      </c>
      <c r="K750" t="s">
        <v>46</v>
      </c>
      <c r="L750" t="s">
        <v>29</v>
      </c>
      <c r="M750" t="s">
        <v>46</v>
      </c>
      <c r="N750" t="s">
        <v>39</v>
      </c>
      <c r="P750" t="b">
        <v>1</v>
      </c>
      <c r="Q750">
        <v>5</v>
      </c>
      <c r="R750" t="b">
        <v>0</v>
      </c>
      <c r="T750">
        <v>0</v>
      </c>
      <c r="U750">
        <v>46.48</v>
      </c>
      <c r="V750" t="b">
        <v>1</v>
      </c>
      <c r="W750" t="s">
        <v>41</v>
      </c>
    </row>
    <row r="751" spans="1:23" x14ac:dyDescent="0.25">
      <c r="A751" t="s">
        <v>23</v>
      </c>
      <c r="B751" t="s">
        <v>49</v>
      </c>
      <c r="C751">
        <v>68.52</v>
      </c>
      <c r="D751">
        <v>125</v>
      </c>
      <c r="E751" t="b">
        <v>0</v>
      </c>
      <c r="F751" t="b">
        <v>1</v>
      </c>
      <c r="G751" t="b">
        <v>1</v>
      </c>
      <c r="H751" t="s">
        <v>25</v>
      </c>
      <c r="I751" t="s">
        <v>26</v>
      </c>
      <c r="J751" t="s">
        <v>36</v>
      </c>
      <c r="K751" t="s">
        <v>46</v>
      </c>
      <c r="L751" t="s">
        <v>69</v>
      </c>
      <c r="M751" t="s">
        <v>46</v>
      </c>
      <c r="N751" t="s">
        <v>39</v>
      </c>
      <c r="O751" t="b">
        <v>1</v>
      </c>
      <c r="P751" t="b">
        <v>0</v>
      </c>
      <c r="Q751">
        <v>8.6999999999999993</v>
      </c>
      <c r="R751" t="b">
        <v>0</v>
      </c>
      <c r="T751">
        <v>0</v>
      </c>
      <c r="U751">
        <v>70.77</v>
      </c>
      <c r="V751" t="b">
        <v>1</v>
      </c>
      <c r="W751" t="s">
        <v>58</v>
      </c>
    </row>
    <row r="752" spans="1:23" x14ac:dyDescent="0.25">
      <c r="A752" t="s">
        <v>68</v>
      </c>
      <c r="B752" t="s">
        <v>42</v>
      </c>
      <c r="C752">
        <v>69.95</v>
      </c>
      <c r="D752">
        <v>295</v>
      </c>
      <c r="E752" t="b">
        <v>0</v>
      </c>
      <c r="F752" t="b">
        <v>0</v>
      </c>
      <c r="G752" t="b">
        <v>1</v>
      </c>
      <c r="H752" t="s">
        <v>25</v>
      </c>
      <c r="I752" t="s">
        <v>35</v>
      </c>
      <c r="J752" t="s">
        <v>54</v>
      </c>
      <c r="K752" t="s">
        <v>28</v>
      </c>
      <c r="L752" t="s">
        <v>69</v>
      </c>
      <c r="M752" t="s">
        <v>39</v>
      </c>
      <c r="N752" t="s">
        <v>46</v>
      </c>
      <c r="O752" t="b">
        <v>1</v>
      </c>
      <c r="P752" t="b">
        <v>0</v>
      </c>
      <c r="Q752">
        <v>9.4</v>
      </c>
      <c r="R752" t="b">
        <v>0</v>
      </c>
      <c r="T752">
        <v>0</v>
      </c>
      <c r="U752">
        <v>72.39</v>
      </c>
      <c r="V752" t="b">
        <v>0</v>
      </c>
      <c r="W752" t="s">
        <v>58</v>
      </c>
    </row>
    <row r="753" spans="1:23" x14ac:dyDescent="0.25">
      <c r="A753" t="s">
        <v>68</v>
      </c>
      <c r="B753" t="s">
        <v>59</v>
      </c>
      <c r="C753">
        <v>85.42</v>
      </c>
      <c r="D753">
        <v>428</v>
      </c>
      <c r="E753" t="b">
        <v>0</v>
      </c>
      <c r="F753" t="b">
        <v>0</v>
      </c>
      <c r="G753" t="b">
        <v>0</v>
      </c>
      <c r="H753" t="s">
        <v>34</v>
      </c>
      <c r="I753" t="s">
        <v>44</v>
      </c>
      <c r="J753" t="s">
        <v>54</v>
      </c>
      <c r="K753" t="s">
        <v>39</v>
      </c>
      <c r="L753" t="s">
        <v>37</v>
      </c>
      <c r="M753" t="s">
        <v>28</v>
      </c>
      <c r="N753" t="s">
        <v>28</v>
      </c>
      <c r="P753" t="b">
        <v>0</v>
      </c>
      <c r="Q753">
        <v>9</v>
      </c>
      <c r="R753" t="b">
        <v>0</v>
      </c>
      <c r="T753">
        <v>0</v>
      </c>
      <c r="U753">
        <v>90.23</v>
      </c>
      <c r="V753" t="b">
        <v>1</v>
      </c>
      <c r="W753" t="s">
        <v>58</v>
      </c>
    </row>
    <row r="754" spans="1:23" x14ac:dyDescent="0.25">
      <c r="A754" t="s">
        <v>74</v>
      </c>
      <c r="B754" t="s">
        <v>66</v>
      </c>
      <c r="C754">
        <v>63.93</v>
      </c>
      <c r="D754">
        <v>520</v>
      </c>
      <c r="E754" t="b">
        <v>0</v>
      </c>
      <c r="F754" t="b">
        <v>1</v>
      </c>
      <c r="G754" t="b">
        <v>0</v>
      </c>
      <c r="H754" t="s">
        <v>43</v>
      </c>
      <c r="I754" t="s">
        <v>57</v>
      </c>
      <c r="J754" t="s">
        <v>36</v>
      </c>
      <c r="K754" t="s">
        <v>46</v>
      </c>
      <c r="L754" t="s">
        <v>37</v>
      </c>
      <c r="M754" t="s">
        <v>39</v>
      </c>
      <c r="N754" t="s">
        <v>39</v>
      </c>
      <c r="O754" t="b">
        <v>1</v>
      </c>
      <c r="P754" t="b">
        <v>1</v>
      </c>
      <c r="Q754">
        <v>7.8</v>
      </c>
      <c r="R754" t="b">
        <v>0</v>
      </c>
      <c r="T754">
        <v>0</v>
      </c>
      <c r="U754">
        <v>59.11</v>
      </c>
      <c r="V754" t="b">
        <v>1</v>
      </c>
      <c r="W754" t="s">
        <v>31</v>
      </c>
    </row>
    <row r="755" spans="1:23" x14ac:dyDescent="0.25">
      <c r="A755" t="s">
        <v>32</v>
      </c>
      <c r="B755" t="s">
        <v>33</v>
      </c>
      <c r="C755">
        <v>75.16</v>
      </c>
      <c r="D755">
        <v>92</v>
      </c>
      <c r="E755" t="b">
        <v>1</v>
      </c>
      <c r="F755" t="b">
        <v>0</v>
      </c>
      <c r="G755" t="b">
        <v>1</v>
      </c>
      <c r="H755" t="s">
        <v>53</v>
      </c>
      <c r="I755" t="s">
        <v>44</v>
      </c>
      <c r="J755" t="s">
        <v>50</v>
      </c>
      <c r="K755" t="s">
        <v>39</v>
      </c>
      <c r="L755" t="s">
        <v>37</v>
      </c>
      <c r="M755" t="s">
        <v>28</v>
      </c>
      <c r="O755" t="b">
        <v>1</v>
      </c>
      <c r="P755" t="b">
        <v>1</v>
      </c>
      <c r="Q755">
        <v>10</v>
      </c>
      <c r="R755" t="b">
        <v>0</v>
      </c>
      <c r="T755">
        <v>0</v>
      </c>
      <c r="U755">
        <v>67.08</v>
      </c>
      <c r="V755" t="b">
        <v>0</v>
      </c>
      <c r="W755" t="s">
        <v>58</v>
      </c>
    </row>
    <row r="756" spans="1:23" x14ac:dyDescent="0.25">
      <c r="A756" t="s">
        <v>23</v>
      </c>
      <c r="B756" t="s">
        <v>24</v>
      </c>
      <c r="C756">
        <v>91.31</v>
      </c>
      <c r="D756">
        <v>560</v>
      </c>
      <c r="E756" t="b">
        <v>1</v>
      </c>
      <c r="F756" t="b">
        <v>1</v>
      </c>
      <c r="G756" t="b">
        <v>1</v>
      </c>
      <c r="H756" t="s">
        <v>25</v>
      </c>
      <c r="I756" t="s">
        <v>57</v>
      </c>
      <c r="J756" t="s">
        <v>54</v>
      </c>
      <c r="K756" t="s">
        <v>46</v>
      </c>
      <c r="L756" t="s">
        <v>29</v>
      </c>
      <c r="M756" t="s">
        <v>39</v>
      </c>
      <c r="N756" t="s">
        <v>46</v>
      </c>
      <c r="P756" t="b">
        <v>0</v>
      </c>
      <c r="Q756">
        <v>8.9</v>
      </c>
      <c r="R756" t="b">
        <v>0</v>
      </c>
      <c r="T756">
        <v>0</v>
      </c>
      <c r="U756">
        <v>92.59</v>
      </c>
      <c r="V756" t="b">
        <v>1</v>
      </c>
      <c r="W756" t="s">
        <v>58</v>
      </c>
    </row>
    <row r="757" spans="1:23" x14ac:dyDescent="0.25">
      <c r="A757" t="s">
        <v>23</v>
      </c>
      <c r="B757" t="s">
        <v>62</v>
      </c>
      <c r="C757">
        <v>66.599999999999994</v>
      </c>
      <c r="D757">
        <v>338</v>
      </c>
      <c r="E757" t="b">
        <v>0</v>
      </c>
      <c r="F757" t="b">
        <v>1</v>
      </c>
      <c r="G757" t="b">
        <v>0</v>
      </c>
      <c r="H757" t="s">
        <v>25</v>
      </c>
      <c r="I757" t="s">
        <v>44</v>
      </c>
      <c r="J757" t="s">
        <v>45</v>
      </c>
      <c r="K757" t="s">
        <v>28</v>
      </c>
      <c r="L757" t="s">
        <v>69</v>
      </c>
      <c r="M757" t="s">
        <v>39</v>
      </c>
      <c r="N757" t="s">
        <v>28</v>
      </c>
      <c r="P757" t="b">
        <v>1</v>
      </c>
      <c r="Q757">
        <v>7.2</v>
      </c>
      <c r="R757" t="b">
        <v>1</v>
      </c>
      <c r="S757" t="s">
        <v>40</v>
      </c>
      <c r="T757">
        <v>7.8</v>
      </c>
      <c r="U757">
        <v>72.19</v>
      </c>
      <c r="V757" t="b">
        <v>1</v>
      </c>
      <c r="W757" t="s">
        <v>41</v>
      </c>
    </row>
    <row r="758" spans="1:23" x14ac:dyDescent="0.25">
      <c r="A758" t="s">
        <v>74</v>
      </c>
      <c r="B758" t="s">
        <v>73</v>
      </c>
      <c r="C758">
        <v>55.34</v>
      </c>
      <c r="D758">
        <v>415</v>
      </c>
      <c r="E758" t="b">
        <v>0</v>
      </c>
      <c r="F758" t="b">
        <v>0</v>
      </c>
      <c r="G758" t="b">
        <v>1</v>
      </c>
      <c r="H758" t="s">
        <v>53</v>
      </c>
      <c r="I758" t="s">
        <v>63</v>
      </c>
      <c r="J758" t="s">
        <v>54</v>
      </c>
      <c r="K758" t="s">
        <v>37</v>
      </c>
      <c r="L758" t="s">
        <v>38</v>
      </c>
      <c r="M758" t="s">
        <v>46</v>
      </c>
      <c r="N758" t="s">
        <v>46</v>
      </c>
      <c r="O758" t="b">
        <v>1</v>
      </c>
      <c r="P758" t="b">
        <v>1</v>
      </c>
      <c r="Q758">
        <v>8.1999999999999993</v>
      </c>
      <c r="R758" t="b">
        <v>1</v>
      </c>
      <c r="S758" t="s">
        <v>64</v>
      </c>
      <c r="T758">
        <v>17.2</v>
      </c>
      <c r="U758">
        <v>50.52</v>
      </c>
      <c r="V758" t="b">
        <v>0</v>
      </c>
      <c r="W758" t="s">
        <v>31</v>
      </c>
    </row>
    <row r="759" spans="1:23" x14ac:dyDescent="0.25">
      <c r="A759" t="s">
        <v>56</v>
      </c>
      <c r="B759" t="s">
        <v>66</v>
      </c>
      <c r="C759">
        <v>73.37</v>
      </c>
      <c r="D759">
        <v>467</v>
      </c>
      <c r="E759" t="b">
        <v>0</v>
      </c>
      <c r="F759" t="b">
        <v>1</v>
      </c>
      <c r="G759" t="b">
        <v>1</v>
      </c>
      <c r="H759" t="s">
        <v>53</v>
      </c>
      <c r="I759" t="s">
        <v>35</v>
      </c>
      <c r="J759" t="s">
        <v>36</v>
      </c>
      <c r="K759" t="s">
        <v>28</v>
      </c>
      <c r="L759" t="s">
        <v>69</v>
      </c>
      <c r="M759" t="s">
        <v>46</v>
      </c>
      <c r="N759" t="s">
        <v>39</v>
      </c>
      <c r="P759" t="b">
        <v>0</v>
      </c>
      <c r="Q759">
        <v>8.4</v>
      </c>
      <c r="R759" t="b">
        <v>0</v>
      </c>
      <c r="T759">
        <v>0</v>
      </c>
      <c r="U759">
        <v>51.63</v>
      </c>
      <c r="V759" t="b">
        <v>0</v>
      </c>
      <c r="W759" t="s">
        <v>58</v>
      </c>
    </row>
    <row r="760" spans="1:23" x14ac:dyDescent="0.25">
      <c r="A760" t="s">
        <v>23</v>
      </c>
      <c r="B760" t="s">
        <v>62</v>
      </c>
      <c r="C760">
        <v>70.459999999999994</v>
      </c>
      <c r="D760">
        <v>275</v>
      </c>
      <c r="E760" t="b">
        <v>0</v>
      </c>
      <c r="F760" t="b">
        <v>0</v>
      </c>
      <c r="G760" t="b">
        <v>1</v>
      </c>
      <c r="H760" t="s">
        <v>34</v>
      </c>
      <c r="I760" t="s">
        <v>26</v>
      </c>
      <c r="J760" t="s">
        <v>27</v>
      </c>
      <c r="K760" t="s">
        <v>37</v>
      </c>
      <c r="L760" t="s">
        <v>38</v>
      </c>
      <c r="M760" t="s">
        <v>46</v>
      </c>
      <c r="N760" t="s">
        <v>39</v>
      </c>
      <c r="O760" t="b">
        <v>1</v>
      </c>
      <c r="P760" t="b">
        <v>1</v>
      </c>
      <c r="Q760">
        <v>9.4</v>
      </c>
      <c r="R760" t="b">
        <v>0</v>
      </c>
      <c r="T760">
        <v>0</v>
      </c>
      <c r="U760">
        <v>82.93</v>
      </c>
      <c r="V760" t="b">
        <v>1</v>
      </c>
      <c r="W760" t="s">
        <v>58</v>
      </c>
    </row>
    <row r="761" spans="1:23" x14ac:dyDescent="0.25">
      <c r="A761" t="s">
        <v>61</v>
      </c>
      <c r="B761" t="s">
        <v>73</v>
      </c>
      <c r="C761">
        <v>67.25</v>
      </c>
      <c r="D761">
        <v>438</v>
      </c>
      <c r="E761" t="b">
        <v>0</v>
      </c>
      <c r="F761" t="b">
        <v>0</v>
      </c>
      <c r="G761" t="b">
        <v>0</v>
      </c>
      <c r="H761" t="s">
        <v>53</v>
      </c>
      <c r="I761" t="s">
        <v>67</v>
      </c>
      <c r="J761" t="s">
        <v>50</v>
      </c>
      <c r="K761" t="s">
        <v>39</v>
      </c>
      <c r="L761" t="s">
        <v>51</v>
      </c>
      <c r="M761" t="s">
        <v>46</v>
      </c>
      <c r="N761" t="s">
        <v>39</v>
      </c>
      <c r="O761" t="b">
        <v>0</v>
      </c>
      <c r="P761" t="b">
        <v>0</v>
      </c>
      <c r="Q761">
        <v>5.8</v>
      </c>
      <c r="R761" t="b">
        <v>1</v>
      </c>
      <c r="S761" t="s">
        <v>52</v>
      </c>
      <c r="T761">
        <v>2.5</v>
      </c>
      <c r="U761">
        <v>70.84</v>
      </c>
      <c r="V761" t="b">
        <v>1</v>
      </c>
      <c r="W761" t="s">
        <v>41</v>
      </c>
    </row>
    <row r="762" spans="1:23" x14ac:dyDescent="0.25">
      <c r="A762" t="s">
        <v>68</v>
      </c>
      <c r="B762" t="s">
        <v>62</v>
      </c>
      <c r="C762">
        <v>66.23</v>
      </c>
      <c r="D762">
        <v>128</v>
      </c>
      <c r="E762" t="b">
        <v>1</v>
      </c>
      <c r="F762" t="b">
        <v>1</v>
      </c>
      <c r="G762" t="b">
        <v>0</v>
      </c>
      <c r="H762" t="s">
        <v>25</v>
      </c>
      <c r="I762" t="s">
        <v>44</v>
      </c>
      <c r="J762" t="s">
        <v>27</v>
      </c>
      <c r="K762" t="s">
        <v>46</v>
      </c>
      <c r="L762" t="s">
        <v>37</v>
      </c>
      <c r="M762" t="s">
        <v>46</v>
      </c>
      <c r="P762" t="b">
        <v>1</v>
      </c>
      <c r="Q762">
        <v>8.4</v>
      </c>
      <c r="R762" t="b">
        <v>1</v>
      </c>
      <c r="S762" t="s">
        <v>65</v>
      </c>
      <c r="T762">
        <v>2</v>
      </c>
      <c r="U762">
        <v>59.4</v>
      </c>
      <c r="V762" t="b">
        <v>0</v>
      </c>
      <c r="W762" t="s">
        <v>31</v>
      </c>
    </row>
    <row r="763" spans="1:23" x14ac:dyDescent="0.25">
      <c r="A763" t="s">
        <v>23</v>
      </c>
      <c r="B763" t="s">
        <v>60</v>
      </c>
      <c r="C763">
        <v>61.47</v>
      </c>
      <c r="D763">
        <v>369</v>
      </c>
      <c r="E763" t="b">
        <v>1</v>
      </c>
      <c r="F763" t="b">
        <v>1</v>
      </c>
      <c r="G763" t="b">
        <v>1</v>
      </c>
      <c r="H763" t="s">
        <v>43</v>
      </c>
      <c r="I763" t="s">
        <v>57</v>
      </c>
      <c r="J763" t="s">
        <v>36</v>
      </c>
      <c r="K763" t="s">
        <v>28</v>
      </c>
      <c r="L763" t="s">
        <v>69</v>
      </c>
      <c r="M763" t="s">
        <v>39</v>
      </c>
      <c r="N763" t="s">
        <v>28</v>
      </c>
      <c r="P763" t="b">
        <v>0</v>
      </c>
      <c r="Q763">
        <v>7.1</v>
      </c>
      <c r="R763" t="b">
        <v>1</v>
      </c>
      <c r="S763" t="s">
        <v>48</v>
      </c>
      <c r="T763">
        <v>41.1</v>
      </c>
      <c r="U763">
        <v>66.86</v>
      </c>
      <c r="V763" t="b">
        <v>1</v>
      </c>
      <c r="W763" t="s">
        <v>41</v>
      </c>
    </row>
    <row r="764" spans="1:23" x14ac:dyDescent="0.25">
      <c r="A764" t="s">
        <v>68</v>
      </c>
      <c r="B764" t="s">
        <v>42</v>
      </c>
      <c r="C764">
        <v>83.36</v>
      </c>
      <c r="D764">
        <v>360</v>
      </c>
      <c r="E764" t="b">
        <v>1</v>
      </c>
      <c r="F764" t="b">
        <v>1</v>
      </c>
      <c r="G764" t="b">
        <v>0</v>
      </c>
      <c r="H764" t="s">
        <v>25</v>
      </c>
      <c r="I764" t="s">
        <v>35</v>
      </c>
      <c r="J764" t="s">
        <v>36</v>
      </c>
      <c r="K764" t="s">
        <v>46</v>
      </c>
      <c r="L764" t="s">
        <v>38</v>
      </c>
      <c r="M764" t="s">
        <v>39</v>
      </c>
      <c r="N764" t="s">
        <v>28</v>
      </c>
      <c r="O764" t="b">
        <v>0</v>
      </c>
      <c r="P764" t="b">
        <v>1</v>
      </c>
      <c r="Q764">
        <v>8.9</v>
      </c>
      <c r="R764" t="b">
        <v>1</v>
      </c>
      <c r="S764" t="s">
        <v>65</v>
      </c>
      <c r="T764">
        <v>20.399999999999999</v>
      </c>
      <c r="U764">
        <v>81.05</v>
      </c>
      <c r="V764" t="b">
        <v>1</v>
      </c>
      <c r="W764" t="s">
        <v>31</v>
      </c>
    </row>
    <row r="765" spans="1:23" x14ac:dyDescent="0.25">
      <c r="A765" t="s">
        <v>74</v>
      </c>
      <c r="B765" t="s">
        <v>70</v>
      </c>
      <c r="C765">
        <v>82.66</v>
      </c>
      <c r="D765">
        <v>104</v>
      </c>
      <c r="E765" t="b">
        <v>0</v>
      </c>
      <c r="F765" t="b">
        <v>0</v>
      </c>
      <c r="G765" t="b">
        <v>0</v>
      </c>
      <c r="H765" t="s">
        <v>53</v>
      </c>
      <c r="I765" t="s">
        <v>26</v>
      </c>
      <c r="J765" t="s">
        <v>36</v>
      </c>
      <c r="K765" t="s">
        <v>46</v>
      </c>
      <c r="L765" t="s">
        <v>69</v>
      </c>
      <c r="M765" t="s">
        <v>46</v>
      </c>
      <c r="N765" t="s">
        <v>28</v>
      </c>
      <c r="O765" t="b">
        <v>0</v>
      </c>
      <c r="P765" t="b">
        <v>1</v>
      </c>
      <c r="Q765">
        <v>8.8000000000000007</v>
      </c>
      <c r="R765" t="b">
        <v>0</v>
      </c>
      <c r="T765">
        <v>0</v>
      </c>
      <c r="U765">
        <v>76.72</v>
      </c>
      <c r="V765" t="b">
        <v>1</v>
      </c>
      <c r="W765" t="s">
        <v>58</v>
      </c>
    </row>
    <row r="766" spans="1:23" x14ac:dyDescent="0.25">
      <c r="A766" t="s">
        <v>56</v>
      </c>
      <c r="B766" t="s">
        <v>71</v>
      </c>
      <c r="C766">
        <v>59.41</v>
      </c>
      <c r="D766">
        <v>663</v>
      </c>
      <c r="E766" t="b">
        <v>1</v>
      </c>
      <c r="F766" t="b">
        <v>0</v>
      </c>
      <c r="G766" t="b">
        <v>0</v>
      </c>
      <c r="H766" t="s">
        <v>53</v>
      </c>
      <c r="I766" t="s">
        <v>57</v>
      </c>
      <c r="J766" t="s">
        <v>45</v>
      </c>
      <c r="K766" t="s">
        <v>37</v>
      </c>
      <c r="L766" t="s">
        <v>51</v>
      </c>
      <c r="M766" t="s">
        <v>46</v>
      </c>
      <c r="O766" t="b">
        <v>1</v>
      </c>
      <c r="P766" t="b">
        <v>0</v>
      </c>
      <c r="Q766">
        <v>8.4</v>
      </c>
      <c r="R766" t="b">
        <v>0</v>
      </c>
      <c r="T766">
        <v>0</v>
      </c>
      <c r="U766">
        <v>47.7</v>
      </c>
      <c r="V766" t="b">
        <v>0</v>
      </c>
      <c r="W766" t="s">
        <v>58</v>
      </c>
    </row>
    <row r="767" spans="1:23" x14ac:dyDescent="0.25">
      <c r="A767" t="s">
        <v>23</v>
      </c>
      <c r="B767" t="s">
        <v>42</v>
      </c>
      <c r="C767">
        <v>65.22</v>
      </c>
      <c r="D767">
        <v>528</v>
      </c>
      <c r="E767" t="b">
        <v>1</v>
      </c>
      <c r="F767" t="b">
        <v>0</v>
      </c>
      <c r="G767" t="b">
        <v>1</v>
      </c>
      <c r="H767" t="s">
        <v>53</v>
      </c>
      <c r="I767" t="s">
        <v>57</v>
      </c>
      <c r="J767" t="s">
        <v>45</v>
      </c>
      <c r="K767" t="s">
        <v>37</v>
      </c>
      <c r="L767" t="s">
        <v>51</v>
      </c>
      <c r="M767" t="s">
        <v>46</v>
      </c>
      <c r="P767" t="b">
        <v>1</v>
      </c>
      <c r="Q767">
        <v>7.4</v>
      </c>
      <c r="R767" t="b">
        <v>1</v>
      </c>
      <c r="S767" t="s">
        <v>52</v>
      </c>
      <c r="T767">
        <v>34.299999999999997</v>
      </c>
      <c r="U767">
        <v>50.29</v>
      </c>
      <c r="V767" t="b">
        <v>0</v>
      </c>
      <c r="W767" t="s">
        <v>41</v>
      </c>
    </row>
    <row r="768" spans="1:23" x14ac:dyDescent="0.25">
      <c r="A768" t="s">
        <v>61</v>
      </c>
      <c r="B768" t="s">
        <v>33</v>
      </c>
      <c r="C768">
        <v>85.62</v>
      </c>
      <c r="D768">
        <v>635</v>
      </c>
      <c r="E768" t="b">
        <v>0</v>
      </c>
      <c r="F768" t="b">
        <v>1</v>
      </c>
      <c r="G768" t="b">
        <v>0</v>
      </c>
      <c r="H768" t="s">
        <v>34</v>
      </c>
      <c r="I768" t="s">
        <v>63</v>
      </c>
      <c r="J768" t="s">
        <v>27</v>
      </c>
      <c r="K768" t="s">
        <v>28</v>
      </c>
      <c r="L768" t="s">
        <v>29</v>
      </c>
      <c r="M768" t="s">
        <v>46</v>
      </c>
      <c r="N768" t="s">
        <v>39</v>
      </c>
      <c r="P768" t="b">
        <v>1</v>
      </c>
      <c r="Q768">
        <v>8.5</v>
      </c>
      <c r="R768" t="b">
        <v>1</v>
      </c>
      <c r="S768" t="s">
        <v>48</v>
      </c>
      <c r="T768">
        <v>13.7</v>
      </c>
      <c r="U768">
        <v>97.17</v>
      </c>
      <c r="V768" t="b">
        <v>1</v>
      </c>
      <c r="W768" t="s">
        <v>31</v>
      </c>
    </row>
    <row r="769" spans="1:23" x14ac:dyDescent="0.25">
      <c r="A769" t="s">
        <v>32</v>
      </c>
      <c r="B769" t="s">
        <v>24</v>
      </c>
      <c r="C769">
        <v>94.67</v>
      </c>
      <c r="D769">
        <v>643</v>
      </c>
      <c r="E769" t="b">
        <v>1</v>
      </c>
      <c r="F769" t="b">
        <v>1</v>
      </c>
      <c r="G769" t="b">
        <v>1</v>
      </c>
      <c r="H769" t="s">
        <v>43</v>
      </c>
      <c r="I769" t="s">
        <v>26</v>
      </c>
      <c r="J769" t="s">
        <v>36</v>
      </c>
      <c r="K769" t="s">
        <v>39</v>
      </c>
      <c r="L769" t="s">
        <v>69</v>
      </c>
      <c r="M769" t="s">
        <v>39</v>
      </c>
      <c r="N769" t="s">
        <v>46</v>
      </c>
      <c r="O769" t="b">
        <v>0</v>
      </c>
      <c r="P769" t="b">
        <v>0</v>
      </c>
      <c r="Q769">
        <v>8.4</v>
      </c>
      <c r="R769" t="b">
        <v>0</v>
      </c>
      <c r="T769">
        <v>0</v>
      </c>
      <c r="U769">
        <v>79.83</v>
      </c>
      <c r="V769" t="b">
        <v>1</v>
      </c>
      <c r="W769" t="s">
        <v>58</v>
      </c>
    </row>
    <row r="770" spans="1:23" x14ac:dyDescent="0.25">
      <c r="A770" t="s">
        <v>68</v>
      </c>
      <c r="B770" t="s">
        <v>70</v>
      </c>
      <c r="C770">
        <v>90.32</v>
      </c>
      <c r="D770">
        <v>147</v>
      </c>
      <c r="E770" t="b">
        <v>1</v>
      </c>
      <c r="F770" t="b">
        <v>1</v>
      </c>
      <c r="G770" t="b">
        <v>0</v>
      </c>
      <c r="H770" t="s">
        <v>53</v>
      </c>
      <c r="I770" t="s">
        <v>67</v>
      </c>
      <c r="J770" t="s">
        <v>45</v>
      </c>
      <c r="K770" t="s">
        <v>39</v>
      </c>
      <c r="L770" t="s">
        <v>69</v>
      </c>
      <c r="M770" t="s">
        <v>39</v>
      </c>
      <c r="N770" t="s">
        <v>39</v>
      </c>
      <c r="P770" t="b">
        <v>0</v>
      </c>
      <c r="Q770">
        <v>10</v>
      </c>
      <c r="R770" t="b">
        <v>0</v>
      </c>
      <c r="T770">
        <v>0</v>
      </c>
      <c r="U770">
        <v>100</v>
      </c>
      <c r="V770" t="b">
        <v>1</v>
      </c>
      <c r="W770" t="s">
        <v>58</v>
      </c>
    </row>
    <row r="771" spans="1:23" x14ac:dyDescent="0.25">
      <c r="A771" t="s">
        <v>23</v>
      </c>
      <c r="B771" t="s">
        <v>49</v>
      </c>
      <c r="C771">
        <v>70.680000000000007</v>
      </c>
      <c r="D771">
        <v>636</v>
      </c>
      <c r="E771" t="b">
        <v>1</v>
      </c>
      <c r="F771" t="b">
        <v>0</v>
      </c>
      <c r="G771" t="b">
        <v>0</v>
      </c>
      <c r="H771" t="s">
        <v>43</v>
      </c>
      <c r="I771" t="s">
        <v>63</v>
      </c>
      <c r="J771" t="s">
        <v>27</v>
      </c>
      <c r="K771" t="s">
        <v>37</v>
      </c>
      <c r="L771" t="s">
        <v>37</v>
      </c>
      <c r="M771" t="s">
        <v>46</v>
      </c>
      <c r="N771" t="s">
        <v>46</v>
      </c>
      <c r="O771" t="b">
        <v>1</v>
      </c>
      <c r="P771" t="b">
        <v>1</v>
      </c>
      <c r="Q771">
        <v>9.1999999999999993</v>
      </c>
      <c r="R771" t="b">
        <v>1</v>
      </c>
      <c r="S771" t="s">
        <v>64</v>
      </c>
      <c r="T771">
        <v>35.799999999999997</v>
      </c>
      <c r="U771">
        <v>79.58</v>
      </c>
      <c r="V771" t="b">
        <v>1</v>
      </c>
      <c r="W771" t="s">
        <v>31</v>
      </c>
    </row>
    <row r="772" spans="1:23" x14ac:dyDescent="0.25">
      <c r="A772" t="s">
        <v>68</v>
      </c>
      <c r="B772" t="s">
        <v>33</v>
      </c>
      <c r="C772">
        <v>75.47</v>
      </c>
      <c r="D772">
        <v>439</v>
      </c>
      <c r="E772" t="b">
        <v>1</v>
      </c>
      <c r="F772" t="b">
        <v>1</v>
      </c>
      <c r="G772" t="b">
        <v>1</v>
      </c>
      <c r="H772" t="s">
        <v>34</v>
      </c>
      <c r="I772" t="s">
        <v>57</v>
      </c>
      <c r="J772" t="s">
        <v>50</v>
      </c>
      <c r="K772" t="s">
        <v>39</v>
      </c>
      <c r="L772" t="s">
        <v>29</v>
      </c>
      <c r="M772" t="s">
        <v>46</v>
      </c>
      <c r="P772" t="b">
        <v>1</v>
      </c>
      <c r="Q772">
        <v>7.9</v>
      </c>
      <c r="R772" t="b">
        <v>1</v>
      </c>
      <c r="S772" t="s">
        <v>75</v>
      </c>
      <c r="T772">
        <v>13.8</v>
      </c>
      <c r="U772">
        <v>68.48</v>
      </c>
      <c r="V772" t="b">
        <v>1</v>
      </c>
      <c r="W772" t="s">
        <v>41</v>
      </c>
    </row>
    <row r="773" spans="1:23" x14ac:dyDescent="0.25">
      <c r="A773" t="s">
        <v>23</v>
      </c>
      <c r="B773" t="s">
        <v>70</v>
      </c>
      <c r="C773">
        <v>84.5</v>
      </c>
      <c r="D773">
        <v>143</v>
      </c>
      <c r="E773" t="b">
        <v>0</v>
      </c>
      <c r="F773" t="b">
        <v>0</v>
      </c>
      <c r="G773" t="b">
        <v>1</v>
      </c>
      <c r="H773" t="s">
        <v>43</v>
      </c>
      <c r="I773" t="s">
        <v>63</v>
      </c>
      <c r="J773" t="s">
        <v>54</v>
      </c>
      <c r="K773" t="s">
        <v>39</v>
      </c>
      <c r="L773" t="s">
        <v>69</v>
      </c>
      <c r="M773" t="s">
        <v>39</v>
      </c>
      <c r="N773" t="s">
        <v>39</v>
      </c>
      <c r="O773" t="b">
        <v>0</v>
      </c>
      <c r="P773" t="b">
        <v>1</v>
      </c>
      <c r="Q773">
        <v>8.1</v>
      </c>
      <c r="R773" t="b">
        <v>0</v>
      </c>
      <c r="T773">
        <v>0</v>
      </c>
      <c r="U773">
        <v>79.62</v>
      </c>
      <c r="V773" t="b">
        <v>1</v>
      </c>
      <c r="W773" t="s">
        <v>58</v>
      </c>
    </row>
    <row r="774" spans="1:23" x14ac:dyDescent="0.25">
      <c r="A774" t="s">
        <v>61</v>
      </c>
      <c r="B774" t="s">
        <v>49</v>
      </c>
      <c r="C774">
        <v>77.41</v>
      </c>
      <c r="D774">
        <v>251</v>
      </c>
      <c r="E774" t="b">
        <v>0</v>
      </c>
      <c r="F774" t="b">
        <v>1</v>
      </c>
      <c r="G774" t="b">
        <v>1</v>
      </c>
      <c r="H774" t="s">
        <v>25</v>
      </c>
      <c r="I774" t="s">
        <v>63</v>
      </c>
      <c r="J774" t="s">
        <v>50</v>
      </c>
      <c r="K774" t="s">
        <v>39</v>
      </c>
      <c r="L774" t="s">
        <v>69</v>
      </c>
      <c r="M774" t="s">
        <v>47</v>
      </c>
      <c r="N774" t="s">
        <v>39</v>
      </c>
      <c r="O774" t="b">
        <v>1</v>
      </c>
      <c r="P774" t="b">
        <v>1</v>
      </c>
      <c r="Q774">
        <v>8.6</v>
      </c>
      <c r="R774" t="b">
        <v>0</v>
      </c>
      <c r="T774">
        <v>0</v>
      </c>
      <c r="U774">
        <v>75.14</v>
      </c>
      <c r="V774" t="b">
        <v>1</v>
      </c>
      <c r="W774" t="s">
        <v>58</v>
      </c>
    </row>
    <row r="775" spans="1:23" x14ac:dyDescent="0.25">
      <c r="A775" t="s">
        <v>56</v>
      </c>
      <c r="B775" t="s">
        <v>59</v>
      </c>
      <c r="C775">
        <v>77.739999999999995</v>
      </c>
      <c r="D775">
        <v>275</v>
      </c>
      <c r="E775" t="b">
        <v>1</v>
      </c>
      <c r="F775" t="b">
        <v>1</v>
      </c>
      <c r="G775" t="b">
        <v>0</v>
      </c>
      <c r="H775" t="s">
        <v>53</v>
      </c>
      <c r="I775" t="s">
        <v>63</v>
      </c>
      <c r="J775" t="s">
        <v>36</v>
      </c>
      <c r="K775" t="s">
        <v>39</v>
      </c>
      <c r="L775" t="s">
        <v>37</v>
      </c>
      <c r="M775" t="s">
        <v>39</v>
      </c>
      <c r="N775" t="s">
        <v>39</v>
      </c>
      <c r="O775" t="b">
        <v>1</v>
      </c>
      <c r="P775" t="b">
        <v>1</v>
      </c>
      <c r="Q775">
        <v>8.9</v>
      </c>
      <c r="R775" t="b">
        <v>1</v>
      </c>
      <c r="S775" t="s">
        <v>30</v>
      </c>
      <c r="T775">
        <v>9.1999999999999993</v>
      </c>
      <c r="U775">
        <v>70.650000000000006</v>
      </c>
      <c r="V775" t="b">
        <v>1</v>
      </c>
      <c r="W775" t="s">
        <v>31</v>
      </c>
    </row>
    <row r="776" spans="1:23" x14ac:dyDescent="0.25">
      <c r="A776" t="s">
        <v>32</v>
      </c>
      <c r="B776" t="s">
        <v>33</v>
      </c>
      <c r="C776">
        <v>78.39</v>
      </c>
      <c r="D776">
        <v>517</v>
      </c>
      <c r="E776" t="b">
        <v>1</v>
      </c>
      <c r="F776" t="b">
        <v>1</v>
      </c>
      <c r="G776" t="b">
        <v>0</v>
      </c>
      <c r="H776" t="s">
        <v>25</v>
      </c>
      <c r="I776" t="s">
        <v>63</v>
      </c>
      <c r="J776" t="s">
        <v>45</v>
      </c>
      <c r="K776" t="s">
        <v>46</v>
      </c>
      <c r="L776" t="s">
        <v>37</v>
      </c>
      <c r="M776" t="s">
        <v>46</v>
      </c>
      <c r="O776" t="b">
        <v>0</v>
      </c>
      <c r="P776" t="b">
        <v>1</v>
      </c>
      <c r="Q776">
        <v>7.4</v>
      </c>
      <c r="R776" t="b">
        <v>0</v>
      </c>
      <c r="T776">
        <v>0</v>
      </c>
      <c r="U776">
        <v>83.84</v>
      </c>
      <c r="V776" t="b">
        <v>1</v>
      </c>
      <c r="W776" t="s">
        <v>31</v>
      </c>
    </row>
    <row r="777" spans="1:23" x14ac:dyDescent="0.25">
      <c r="A777" t="s">
        <v>61</v>
      </c>
      <c r="B777" t="s">
        <v>70</v>
      </c>
      <c r="C777">
        <v>78.069999999999993</v>
      </c>
      <c r="D777">
        <v>80</v>
      </c>
      <c r="E777" t="b">
        <v>1</v>
      </c>
      <c r="F777" t="b">
        <v>0</v>
      </c>
      <c r="G777" t="b">
        <v>1</v>
      </c>
      <c r="H777" t="s">
        <v>43</v>
      </c>
      <c r="I777" t="s">
        <v>44</v>
      </c>
      <c r="J777" t="s">
        <v>50</v>
      </c>
      <c r="K777" t="s">
        <v>28</v>
      </c>
      <c r="L777" t="s">
        <v>69</v>
      </c>
      <c r="M777" t="s">
        <v>47</v>
      </c>
      <c r="N777" t="s">
        <v>28</v>
      </c>
      <c r="P777" t="b">
        <v>0</v>
      </c>
      <c r="Q777">
        <v>8.4</v>
      </c>
      <c r="R777" t="b">
        <v>1</v>
      </c>
      <c r="S777" t="s">
        <v>65</v>
      </c>
      <c r="T777">
        <v>5.0999999999999996</v>
      </c>
      <c r="U777">
        <v>90.32</v>
      </c>
      <c r="V777" t="b">
        <v>1</v>
      </c>
      <c r="W777" t="s">
        <v>31</v>
      </c>
    </row>
    <row r="778" spans="1:23" x14ac:dyDescent="0.25">
      <c r="A778" t="s">
        <v>61</v>
      </c>
      <c r="B778" t="s">
        <v>42</v>
      </c>
      <c r="C778">
        <v>81.73</v>
      </c>
      <c r="D778">
        <v>482</v>
      </c>
      <c r="E778" t="b">
        <v>0</v>
      </c>
      <c r="F778" t="b">
        <v>0</v>
      </c>
      <c r="G778" t="b">
        <v>1</v>
      </c>
      <c r="H778" t="s">
        <v>43</v>
      </c>
      <c r="I778" t="s">
        <v>26</v>
      </c>
      <c r="J778" t="s">
        <v>27</v>
      </c>
      <c r="K778" t="s">
        <v>28</v>
      </c>
      <c r="L778" t="s">
        <v>29</v>
      </c>
      <c r="M778" t="s">
        <v>28</v>
      </c>
      <c r="N778" t="s">
        <v>39</v>
      </c>
      <c r="P778" t="b">
        <v>0</v>
      </c>
      <c r="Q778">
        <v>9.1999999999999993</v>
      </c>
      <c r="R778" t="b">
        <v>1</v>
      </c>
      <c r="S778" t="s">
        <v>75</v>
      </c>
      <c r="T778">
        <v>2.6</v>
      </c>
      <c r="U778">
        <v>85.3</v>
      </c>
      <c r="V778" t="b">
        <v>1</v>
      </c>
      <c r="W778" t="s">
        <v>31</v>
      </c>
    </row>
    <row r="779" spans="1:23" x14ac:dyDescent="0.25">
      <c r="A779" t="s">
        <v>32</v>
      </c>
      <c r="B779" t="s">
        <v>70</v>
      </c>
      <c r="C779">
        <v>70.8</v>
      </c>
      <c r="D779">
        <v>562</v>
      </c>
      <c r="E779" t="b">
        <v>0</v>
      </c>
      <c r="F779" t="b">
        <v>1</v>
      </c>
      <c r="G779" t="b">
        <v>1</v>
      </c>
      <c r="H779" t="s">
        <v>43</v>
      </c>
      <c r="I779" t="s">
        <v>57</v>
      </c>
      <c r="J779" t="s">
        <v>36</v>
      </c>
      <c r="K779" t="s">
        <v>46</v>
      </c>
      <c r="L779" t="s">
        <v>51</v>
      </c>
      <c r="M779" t="s">
        <v>39</v>
      </c>
      <c r="N779" t="s">
        <v>39</v>
      </c>
      <c r="P779" t="b">
        <v>1</v>
      </c>
      <c r="Q779">
        <v>6.5</v>
      </c>
      <c r="R779" t="b">
        <v>1</v>
      </c>
      <c r="S779" t="s">
        <v>30</v>
      </c>
      <c r="T779">
        <v>44.8</v>
      </c>
      <c r="U779">
        <v>71.22</v>
      </c>
      <c r="V779" t="b">
        <v>1</v>
      </c>
      <c r="W779" t="s">
        <v>41</v>
      </c>
    </row>
    <row r="780" spans="1:23" x14ac:dyDescent="0.25">
      <c r="A780" t="s">
        <v>61</v>
      </c>
      <c r="B780" t="s">
        <v>59</v>
      </c>
      <c r="C780">
        <v>79.849999999999994</v>
      </c>
      <c r="D780">
        <v>752</v>
      </c>
      <c r="E780" t="b">
        <v>0</v>
      </c>
      <c r="F780" t="b">
        <v>0</v>
      </c>
      <c r="G780" t="b">
        <v>1</v>
      </c>
      <c r="H780" t="s">
        <v>34</v>
      </c>
      <c r="I780" t="s">
        <v>26</v>
      </c>
      <c r="J780" t="s">
        <v>36</v>
      </c>
      <c r="K780" t="s">
        <v>28</v>
      </c>
      <c r="L780" t="s">
        <v>29</v>
      </c>
      <c r="M780" t="s">
        <v>47</v>
      </c>
      <c r="N780" t="s">
        <v>46</v>
      </c>
      <c r="P780" t="b">
        <v>0</v>
      </c>
      <c r="Q780">
        <v>7.9</v>
      </c>
      <c r="R780" t="b">
        <v>1</v>
      </c>
      <c r="S780" t="s">
        <v>48</v>
      </c>
      <c r="T780">
        <v>42.3</v>
      </c>
      <c r="U780">
        <v>86.66</v>
      </c>
      <c r="V780" t="b">
        <v>1</v>
      </c>
      <c r="W780" t="s">
        <v>41</v>
      </c>
    </row>
    <row r="781" spans="1:23" x14ac:dyDescent="0.25">
      <c r="A781" t="s">
        <v>61</v>
      </c>
      <c r="B781" t="s">
        <v>24</v>
      </c>
      <c r="C781">
        <v>86.87</v>
      </c>
      <c r="D781">
        <v>359</v>
      </c>
      <c r="E781" t="b">
        <v>1</v>
      </c>
      <c r="F781" t="b">
        <v>0</v>
      </c>
      <c r="G781" t="b">
        <v>0</v>
      </c>
      <c r="H781" t="s">
        <v>53</v>
      </c>
      <c r="I781" t="s">
        <v>67</v>
      </c>
      <c r="J781" t="s">
        <v>45</v>
      </c>
      <c r="K781" t="s">
        <v>28</v>
      </c>
      <c r="L781" t="s">
        <v>37</v>
      </c>
      <c r="M781" t="s">
        <v>39</v>
      </c>
      <c r="N781" t="s">
        <v>39</v>
      </c>
      <c r="O781" t="b">
        <v>0</v>
      </c>
      <c r="P781" t="b">
        <v>1</v>
      </c>
      <c r="Q781">
        <v>8.6</v>
      </c>
      <c r="R781" t="b">
        <v>0</v>
      </c>
      <c r="T781">
        <v>0</v>
      </c>
      <c r="U781">
        <v>73.400000000000006</v>
      </c>
      <c r="V781" t="b">
        <v>1</v>
      </c>
      <c r="W781" t="s">
        <v>58</v>
      </c>
    </row>
    <row r="782" spans="1:23" x14ac:dyDescent="0.25">
      <c r="A782" t="s">
        <v>74</v>
      </c>
      <c r="B782" t="s">
        <v>60</v>
      </c>
      <c r="C782">
        <v>54.43</v>
      </c>
      <c r="D782">
        <v>420</v>
      </c>
      <c r="E782" t="b">
        <v>1</v>
      </c>
      <c r="F782" t="b">
        <v>1</v>
      </c>
      <c r="G782" t="b">
        <v>0</v>
      </c>
      <c r="H782" t="s">
        <v>53</v>
      </c>
      <c r="I782" t="s">
        <v>57</v>
      </c>
      <c r="J782" t="s">
        <v>36</v>
      </c>
      <c r="K782" t="s">
        <v>39</v>
      </c>
      <c r="L782" t="s">
        <v>69</v>
      </c>
      <c r="M782" t="s">
        <v>28</v>
      </c>
      <c r="N782" t="s">
        <v>46</v>
      </c>
      <c r="O782" t="b">
        <v>0</v>
      </c>
      <c r="P782" t="b">
        <v>0</v>
      </c>
      <c r="Q782">
        <v>6.1</v>
      </c>
      <c r="R782" t="b">
        <v>1</v>
      </c>
      <c r="S782" t="s">
        <v>48</v>
      </c>
      <c r="T782">
        <v>16</v>
      </c>
      <c r="U782">
        <v>56.42</v>
      </c>
      <c r="V782" t="b">
        <v>1</v>
      </c>
      <c r="W782" t="s">
        <v>41</v>
      </c>
    </row>
    <row r="783" spans="1:23" x14ac:dyDescent="0.25">
      <c r="A783" t="s">
        <v>32</v>
      </c>
      <c r="B783" t="s">
        <v>24</v>
      </c>
      <c r="C783">
        <v>92.18</v>
      </c>
      <c r="D783">
        <v>311</v>
      </c>
      <c r="E783" t="b">
        <v>0</v>
      </c>
      <c r="F783" t="b">
        <v>1</v>
      </c>
      <c r="G783" t="b">
        <v>1</v>
      </c>
      <c r="H783" t="s">
        <v>34</v>
      </c>
      <c r="I783" t="s">
        <v>35</v>
      </c>
      <c r="J783" t="s">
        <v>45</v>
      </c>
      <c r="K783" t="s">
        <v>46</v>
      </c>
      <c r="L783" t="s">
        <v>69</v>
      </c>
      <c r="M783" t="s">
        <v>47</v>
      </c>
      <c r="P783" t="b">
        <v>0</v>
      </c>
      <c r="Q783">
        <v>8.6</v>
      </c>
      <c r="R783" t="b">
        <v>1</v>
      </c>
      <c r="S783" t="s">
        <v>52</v>
      </c>
      <c r="T783">
        <v>39.799999999999997</v>
      </c>
      <c r="U783">
        <v>100</v>
      </c>
      <c r="V783" t="b">
        <v>1</v>
      </c>
      <c r="W783" t="s">
        <v>31</v>
      </c>
    </row>
    <row r="784" spans="1:23" x14ac:dyDescent="0.25">
      <c r="A784" t="s">
        <v>56</v>
      </c>
      <c r="B784" t="s">
        <v>59</v>
      </c>
      <c r="C784">
        <v>81.099999999999994</v>
      </c>
      <c r="D784">
        <v>654</v>
      </c>
      <c r="E784" t="b">
        <v>0</v>
      </c>
      <c r="F784" t="b">
        <v>1</v>
      </c>
      <c r="G784" t="b">
        <v>1</v>
      </c>
      <c r="H784" t="s">
        <v>34</v>
      </c>
      <c r="I784" t="s">
        <v>35</v>
      </c>
      <c r="J784" t="s">
        <v>45</v>
      </c>
      <c r="K784" t="s">
        <v>37</v>
      </c>
      <c r="L784" t="s">
        <v>38</v>
      </c>
      <c r="M784" t="s">
        <v>39</v>
      </c>
      <c r="N784" t="s">
        <v>28</v>
      </c>
      <c r="O784" t="b">
        <v>0</v>
      </c>
      <c r="P784" t="b">
        <v>1</v>
      </c>
      <c r="Q784">
        <v>7</v>
      </c>
      <c r="R784" t="b">
        <v>1</v>
      </c>
      <c r="S784" t="s">
        <v>75</v>
      </c>
      <c r="T784">
        <v>28.3</v>
      </c>
      <c r="U784">
        <v>75.680000000000007</v>
      </c>
      <c r="V784" t="b">
        <v>1</v>
      </c>
      <c r="W784" t="s">
        <v>41</v>
      </c>
    </row>
    <row r="785" spans="1:23" x14ac:dyDescent="0.25">
      <c r="A785" t="s">
        <v>61</v>
      </c>
      <c r="B785" t="s">
        <v>76</v>
      </c>
      <c r="C785">
        <v>79.45</v>
      </c>
      <c r="D785">
        <v>185</v>
      </c>
      <c r="E785" t="b">
        <v>1</v>
      </c>
      <c r="F785" t="b">
        <v>0</v>
      </c>
      <c r="G785" t="b">
        <v>0</v>
      </c>
      <c r="H785" t="s">
        <v>43</v>
      </c>
      <c r="I785" t="s">
        <v>35</v>
      </c>
      <c r="J785" t="s">
        <v>50</v>
      </c>
      <c r="K785" t="s">
        <v>37</v>
      </c>
      <c r="L785" t="s">
        <v>29</v>
      </c>
      <c r="M785" t="s">
        <v>46</v>
      </c>
      <c r="N785" t="s">
        <v>39</v>
      </c>
      <c r="O785" t="b">
        <v>0</v>
      </c>
      <c r="P785" t="b">
        <v>0</v>
      </c>
      <c r="Q785">
        <v>8.1999999999999993</v>
      </c>
      <c r="R785" t="b">
        <v>1</v>
      </c>
      <c r="S785" t="s">
        <v>30</v>
      </c>
      <c r="T785">
        <v>28</v>
      </c>
      <c r="U785">
        <v>93.81</v>
      </c>
      <c r="V785" t="b">
        <v>1</v>
      </c>
      <c r="W785" t="s">
        <v>31</v>
      </c>
    </row>
    <row r="786" spans="1:23" x14ac:dyDescent="0.25">
      <c r="A786" t="s">
        <v>32</v>
      </c>
      <c r="B786" t="s">
        <v>66</v>
      </c>
      <c r="C786">
        <v>65.459999999999994</v>
      </c>
      <c r="D786">
        <v>653</v>
      </c>
      <c r="E786" t="b">
        <v>0</v>
      </c>
      <c r="F786" t="b">
        <v>1</v>
      </c>
      <c r="G786" t="b">
        <v>0</v>
      </c>
      <c r="H786" t="s">
        <v>34</v>
      </c>
      <c r="I786" t="s">
        <v>57</v>
      </c>
      <c r="J786" t="s">
        <v>50</v>
      </c>
      <c r="K786" t="s">
        <v>46</v>
      </c>
      <c r="L786" t="s">
        <v>51</v>
      </c>
      <c r="M786" t="s">
        <v>47</v>
      </c>
      <c r="N786" t="s">
        <v>39</v>
      </c>
      <c r="P786" t="b">
        <v>0</v>
      </c>
      <c r="Q786">
        <v>5.6</v>
      </c>
      <c r="R786" t="b">
        <v>1</v>
      </c>
      <c r="S786" t="s">
        <v>40</v>
      </c>
      <c r="T786">
        <v>21.5</v>
      </c>
      <c r="U786">
        <v>50.08</v>
      </c>
      <c r="V786" t="b">
        <v>1</v>
      </c>
      <c r="W786" t="s">
        <v>41</v>
      </c>
    </row>
    <row r="787" spans="1:23" x14ac:dyDescent="0.25">
      <c r="A787" t="s">
        <v>23</v>
      </c>
      <c r="B787" t="s">
        <v>49</v>
      </c>
      <c r="C787">
        <v>72.95</v>
      </c>
      <c r="D787">
        <v>787</v>
      </c>
      <c r="E787" t="b">
        <v>1</v>
      </c>
      <c r="F787" t="b">
        <v>0</v>
      </c>
      <c r="G787" t="b">
        <v>0</v>
      </c>
      <c r="H787" t="s">
        <v>53</v>
      </c>
      <c r="I787" t="s">
        <v>57</v>
      </c>
      <c r="J787" t="s">
        <v>45</v>
      </c>
      <c r="K787" t="s">
        <v>39</v>
      </c>
      <c r="L787" t="s">
        <v>38</v>
      </c>
      <c r="M787" t="s">
        <v>28</v>
      </c>
      <c r="N787" t="s">
        <v>46</v>
      </c>
      <c r="P787" t="b">
        <v>1</v>
      </c>
      <c r="Q787">
        <v>9.3000000000000007</v>
      </c>
      <c r="R787" t="b">
        <v>0</v>
      </c>
      <c r="T787">
        <v>0</v>
      </c>
      <c r="U787">
        <v>66.62</v>
      </c>
      <c r="V787" t="b">
        <v>0</v>
      </c>
      <c r="W787" t="s">
        <v>58</v>
      </c>
    </row>
    <row r="788" spans="1:23" x14ac:dyDescent="0.25">
      <c r="A788" t="s">
        <v>56</v>
      </c>
      <c r="B788" t="s">
        <v>76</v>
      </c>
      <c r="C788">
        <v>89.23</v>
      </c>
      <c r="D788">
        <v>759</v>
      </c>
      <c r="E788" t="b">
        <v>1</v>
      </c>
      <c r="F788" t="b">
        <v>1</v>
      </c>
      <c r="G788" t="b">
        <v>0</v>
      </c>
      <c r="H788" t="s">
        <v>25</v>
      </c>
      <c r="I788" t="s">
        <v>63</v>
      </c>
      <c r="J788" t="s">
        <v>27</v>
      </c>
      <c r="K788" t="s">
        <v>39</v>
      </c>
      <c r="L788" t="s">
        <v>51</v>
      </c>
      <c r="M788" t="s">
        <v>46</v>
      </c>
      <c r="N788" t="s">
        <v>39</v>
      </c>
      <c r="O788" t="b">
        <v>1</v>
      </c>
      <c r="P788" t="b">
        <v>0</v>
      </c>
      <c r="Q788">
        <v>10</v>
      </c>
      <c r="R788" t="b">
        <v>1</v>
      </c>
      <c r="S788" t="s">
        <v>75</v>
      </c>
      <c r="T788">
        <v>13.4</v>
      </c>
      <c r="U788">
        <v>81.62</v>
      </c>
      <c r="V788" t="b">
        <v>1</v>
      </c>
      <c r="W788" t="s">
        <v>31</v>
      </c>
    </row>
    <row r="789" spans="1:23" x14ac:dyDescent="0.25">
      <c r="A789" t="s">
        <v>68</v>
      </c>
      <c r="B789" t="s">
        <v>42</v>
      </c>
      <c r="C789">
        <v>68.959999999999994</v>
      </c>
      <c r="D789">
        <v>196</v>
      </c>
      <c r="E789" t="b">
        <v>0</v>
      </c>
      <c r="F789" t="b">
        <v>1</v>
      </c>
      <c r="G789" t="b">
        <v>1</v>
      </c>
      <c r="H789" t="s">
        <v>25</v>
      </c>
      <c r="I789" t="s">
        <v>67</v>
      </c>
      <c r="J789" t="s">
        <v>54</v>
      </c>
      <c r="K789" t="s">
        <v>39</v>
      </c>
      <c r="L789" t="s">
        <v>69</v>
      </c>
      <c r="M789" t="s">
        <v>46</v>
      </c>
      <c r="N789" t="s">
        <v>28</v>
      </c>
      <c r="O789" t="b">
        <v>1</v>
      </c>
      <c r="P789" t="b">
        <v>1</v>
      </c>
      <c r="Q789">
        <v>8.4</v>
      </c>
      <c r="R789" t="b">
        <v>0</v>
      </c>
      <c r="T789">
        <v>0</v>
      </c>
      <c r="U789">
        <v>68.98</v>
      </c>
      <c r="V789" t="b">
        <v>1</v>
      </c>
      <c r="W789" t="s">
        <v>58</v>
      </c>
    </row>
    <row r="790" spans="1:23" x14ac:dyDescent="0.25">
      <c r="A790" t="s">
        <v>68</v>
      </c>
      <c r="B790" t="s">
        <v>71</v>
      </c>
      <c r="C790">
        <v>56.78</v>
      </c>
      <c r="D790">
        <v>280</v>
      </c>
      <c r="E790" t="b">
        <v>0</v>
      </c>
      <c r="F790" t="b">
        <v>1</v>
      </c>
      <c r="G790" t="b">
        <v>0</v>
      </c>
      <c r="H790" t="s">
        <v>43</v>
      </c>
      <c r="I790" t="s">
        <v>26</v>
      </c>
      <c r="J790" t="s">
        <v>36</v>
      </c>
      <c r="K790" t="s">
        <v>39</v>
      </c>
      <c r="L790" t="s">
        <v>69</v>
      </c>
      <c r="M790" t="s">
        <v>47</v>
      </c>
      <c r="N790" t="s">
        <v>28</v>
      </c>
      <c r="O790" t="b">
        <v>0</v>
      </c>
      <c r="P790" t="b">
        <v>0</v>
      </c>
      <c r="Q790">
        <v>4.3</v>
      </c>
      <c r="R790" t="b">
        <v>1</v>
      </c>
      <c r="S790" t="s">
        <v>75</v>
      </c>
      <c r="T790">
        <v>38.6</v>
      </c>
      <c r="U790">
        <v>59.34</v>
      </c>
      <c r="V790" t="b">
        <v>1</v>
      </c>
      <c r="W790" t="s">
        <v>72</v>
      </c>
    </row>
    <row r="791" spans="1:23" x14ac:dyDescent="0.25">
      <c r="A791" t="s">
        <v>61</v>
      </c>
      <c r="B791" t="s">
        <v>73</v>
      </c>
      <c r="C791">
        <v>59.88</v>
      </c>
      <c r="D791">
        <v>183</v>
      </c>
      <c r="E791" t="b">
        <v>0</v>
      </c>
      <c r="F791" t="b">
        <v>1</v>
      </c>
      <c r="G791" t="b">
        <v>0</v>
      </c>
      <c r="H791" t="s">
        <v>34</v>
      </c>
      <c r="I791" t="s">
        <v>57</v>
      </c>
      <c r="J791" t="s">
        <v>45</v>
      </c>
      <c r="K791" t="s">
        <v>37</v>
      </c>
      <c r="L791" t="s">
        <v>38</v>
      </c>
      <c r="M791" t="s">
        <v>46</v>
      </c>
      <c r="N791" t="s">
        <v>39</v>
      </c>
      <c r="O791" t="b">
        <v>0</v>
      </c>
      <c r="P791" t="b">
        <v>0</v>
      </c>
      <c r="Q791">
        <v>6.2</v>
      </c>
      <c r="R791" t="b">
        <v>0</v>
      </c>
      <c r="T791">
        <v>0</v>
      </c>
      <c r="U791">
        <v>58.57</v>
      </c>
      <c r="V791" t="b">
        <v>1</v>
      </c>
      <c r="W791" t="s">
        <v>31</v>
      </c>
    </row>
    <row r="792" spans="1:23" x14ac:dyDescent="0.25">
      <c r="A792" t="s">
        <v>23</v>
      </c>
      <c r="B792" t="s">
        <v>66</v>
      </c>
      <c r="C792">
        <v>66.16</v>
      </c>
      <c r="D792">
        <v>150</v>
      </c>
      <c r="E792" t="b">
        <v>1</v>
      </c>
      <c r="F792" t="b">
        <v>1</v>
      </c>
      <c r="G792" t="b">
        <v>0</v>
      </c>
      <c r="H792" t="s">
        <v>43</v>
      </c>
      <c r="I792" t="s">
        <v>57</v>
      </c>
      <c r="J792" t="s">
        <v>27</v>
      </c>
      <c r="K792" t="s">
        <v>46</v>
      </c>
      <c r="L792" t="s">
        <v>38</v>
      </c>
      <c r="M792" t="s">
        <v>46</v>
      </c>
      <c r="N792" t="s">
        <v>39</v>
      </c>
      <c r="P792" t="b">
        <v>0</v>
      </c>
      <c r="Q792">
        <v>8.6</v>
      </c>
      <c r="R792" t="b">
        <v>0</v>
      </c>
      <c r="T792">
        <v>0</v>
      </c>
      <c r="U792">
        <v>51.68</v>
      </c>
      <c r="V792" t="b">
        <v>0</v>
      </c>
      <c r="W792" t="s">
        <v>58</v>
      </c>
    </row>
    <row r="793" spans="1:23" x14ac:dyDescent="0.25">
      <c r="A793" t="s">
        <v>61</v>
      </c>
      <c r="B793" t="s">
        <v>42</v>
      </c>
      <c r="C793">
        <v>77.59</v>
      </c>
      <c r="D793">
        <v>423</v>
      </c>
      <c r="E793" t="b">
        <v>0</v>
      </c>
      <c r="F793" t="b">
        <v>0</v>
      </c>
      <c r="G793" t="b">
        <v>1</v>
      </c>
      <c r="H793" t="s">
        <v>43</v>
      </c>
      <c r="I793" t="s">
        <v>44</v>
      </c>
      <c r="J793" t="s">
        <v>50</v>
      </c>
      <c r="K793" t="s">
        <v>46</v>
      </c>
      <c r="L793" t="s">
        <v>51</v>
      </c>
      <c r="M793" t="s">
        <v>47</v>
      </c>
      <c r="N793" t="s">
        <v>39</v>
      </c>
      <c r="O793" t="b">
        <v>0</v>
      </c>
      <c r="P793" t="b">
        <v>0</v>
      </c>
      <c r="Q793">
        <v>6.8</v>
      </c>
      <c r="R793" t="b">
        <v>0</v>
      </c>
      <c r="T793">
        <v>0</v>
      </c>
      <c r="U793">
        <v>67.45</v>
      </c>
      <c r="V793" t="b">
        <v>1</v>
      </c>
      <c r="W793" t="s">
        <v>31</v>
      </c>
    </row>
    <row r="794" spans="1:23" x14ac:dyDescent="0.25">
      <c r="A794" t="s">
        <v>23</v>
      </c>
      <c r="B794" t="s">
        <v>49</v>
      </c>
      <c r="C794">
        <v>68.150000000000006</v>
      </c>
      <c r="D794">
        <v>331</v>
      </c>
      <c r="E794" t="b">
        <v>1</v>
      </c>
      <c r="F794" t="b">
        <v>1</v>
      </c>
      <c r="G794" t="b">
        <v>0</v>
      </c>
      <c r="H794" t="s">
        <v>25</v>
      </c>
      <c r="I794" t="s">
        <v>63</v>
      </c>
      <c r="J794" t="s">
        <v>45</v>
      </c>
      <c r="K794" t="s">
        <v>37</v>
      </c>
      <c r="L794" t="s">
        <v>69</v>
      </c>
      <c r="M794" t="s">
        <v>39</v>
      </c>
      <c r="N794" t="s">
        <v>28</v>
      </c>
      <c r="O794" t="b">
        <v>1</v>
      </c>
      <c r="P794" t="b">
        <v>1</v>
      </c>
      <c r="Q794">
        <v>9.4</v>
      </c>
      <c r="R794" t="b">
        <v>0</v>
      </c>
      <c r="T794">
        <v>0</v>
      </c>
      <c r="U794">
        <v>73.62</v>
      </c>
      <c r="V794" t="b">
        <v>0</v>
      </c>
      <c r="W794" t="s">
        <v>58</v>
      </c>
    </row>
    <row r="795" spans="1:23" x14ac:dyDescent="0.25">
      <c r="A795" t="s">
        <v>56</v>
      </c>
      <c r="B795" t="s">
        <v>59</v>
      </c>
      <c r="C795">
        <v>81.569999999999993</v>
      </c>
      <c r="D795">
        <v>594</v>
      </c>
      <c r="E795" t="b">
        <v>1</v>
      </c>
      <c r="F795" t="b">
        <v>1</v>
      </c>
      <c r="G795" t="b">
        <v>1</v>
      </c>
      <c r="H795" t="s">
        <v>43</v>
      </c>
      <c r="I795" t="s">
        <v>67</v>
      </c>
      <c r="J795" t="s">
        <v>50</v>
      </c>
      <c r="K795" t="s">
        <v>39</v>
      </c>
      <c r="L795" t="s">
        <v>38</v>
      </c>
      <c r="M795" t="s">
        <v>39</v>
      </c>
      <c r="N795" t="s">
        <v>28</v>
      </c>
      <c r="O795" t="b">
        <v>0</v>
      </c>
      <c r="P795" t="b">
        <v>0</v>
      </c>
      <c r="Q795">
        <v>7.6</v>
      </c>
      <c r="R795" t="b">
        <v>1</v>
      </c>
      <c r="S795" t="s">
        <v>75</v>
      </c>
      <c r="T795">
        <v>33.1</v>
      </c>
      <c r="U795">
        <v>91.32</v>
      </c>
      <c r="V795" t="b">
        <v>1</v>
      </c>
      <c r="W795" t="s">
        <v>41</v>
      </c>
    </row>
    <row r="796" spans="1:23" x14ac:dyDescent="0.25">
      <c r="A796" t="s">
        <v>68</v>
      </c>
      <c r="B796" t="s">
        <v>76</v>
      </c>
      <c r="C796">
        <v>70.12</v>
      </c>
      <c r="D796">
        <v>520</v>
      </c>
      <c r="E796" t="b">
        <v>1</v>
      </c>
      <c r="F796" t="b">
        <v>1</v>
      </c>
      <c r="G796" t="b">
        <v>0</v>
      </c>
      <c r="H796" t="s">
        <v>34</v>
      </c>
      <c r="I796" t="s">
        <v>57</v>
      </c>
      <c r="J796" t="s">
        <v>50</v>
      </c>
      <c r="K796" t="s">
        <v>37</v>
      </c>
      <c r="L796" t="s">
        <v>69</v>
      </c>
      <c r="M796" t="s">
        <v>39</v>
      </c>
      <c r="O796" t="b">
        <v>1</v>
      </c>
      <c r="P796" t="b">
        <v>1</v>
      </c>
      <c r="Q796">
        <v>10</v>
      </c>
      <c r="R796" t="b">
        <v>1</v>
      </c>
      <c r="S796" t="s">
        <v>40</v>
      </c>
      <c r="T796">
        <v>38.200000000000003</v>
      </c>
      <c r="U796">
        <v>79.2</v>
      </c>
      <c r="V796" t="b">
        <v>0</v>
      </c>
      <c r="W796" t="s">
        <v>31</v>
      </c>
    </row>
    <row r="797" spans="1:23" x14ac:dyDescent="0.25">
      <c r="A797" t="s">
        <v>23</v>
      </c>
      <c r="B797" t="s">
        <v>71</v>
      </c>
      <c r="C797">
        <v>52.19</v>
      </c>
      <c r="D797">
        <v>691</v>
      </c>
      <c r="E797" t="b">
        <v>1</v>
      </c>
      <c r="F797" t="b">
        <v>1</v>
      </c>
      <c r="G797" t="b">
        <v>0</v>
      </c>
      <c r="H797" t="s">
        <v>34</v>
      </c>
      <c r="I797" t="s">
        <v>57</v>
      </c>
      <c r="J797" t="s">
        <v>36</v>
      </c>
      <c r="K797" t="s">
        <v>28</v>
      </c>
      <c r="L797" t="s">
        <v>51</v>
      </c>
      <c r="M797" t="s">
        <v>47</v>
      </c>
      <c r="N797" t="s">
        <v>28</v>
      </c>
      <c r="P797" t="b">
        <v>1</v>
      </c>
      <c r="Q797">
        <v>4.7</v>
      </c>
      <c r="R797" t="b">
        <v>1</v>
      </c>
      <c r="S797" t="s">
        <v>52</v>
      </c>
      <c r="T797">
        <v>36.700000000000003</v>
      </c>
      <c r="U797">
        <v>29.04</v>
      </c>
      <c r="V797" t="b">
        <v>1</v>
      </c>
      <c r="W797" t="s">
        <v>72</v>
      </c>
    </row>
    <row r="798" spans="1:23" x14ac:dyDescent="0.25">
      <c r="A798" t="s">
        <v>68</v>
      </c>
      <c r="B798" t="s">
        <v>70</v>
      </c>
      <c r="C798">
        <v>91.23</v>
      </c>
      <c r="D798">
        <v>176</v>
      </c>
      <c r="E798" t="b">
        <v>1</v>
      </c>
      <c r="F798" t="b">
        <v>0</v>
      </c>
      <c r="G798" t="b">
        <v>0</v>
      </c>
      <c r="H798" t="s">
        <v>25</v>
      </c>
      <c r="I798" t="s">
        <v>35</v>
      </c>
      <c r="J798" t="s">
        <v>36</v>
      </c>
      <c r="K798" t="s">
        <v>37</v>
      </c>
      <c r="L798" t="s">
        <v>38</v>
      </c>
      <c r="M798" t="s">
        <v>39</v>
      </c>
      <c r="O798" t="b">
        <v>1</v>
      </c>
      <c r="P798" t="b">
        <v>0</v>
      </c>
      <c r="Q798">
        <v>10</v>
      </c>
      <c r="R798" t="b">
        <v>1</v>
      </c>
      <c r="S798" t="s">
        <v>52</v>
      </c>
      <c r="T798">
        <v>22.3</v>
      </c>
      <c r="U798">
        <v>98.31</v>
      </c>
      <c r="V798" t="b">
        <v>1</v>
      </c>
      <c r="W798" t="s">
        <v>31</v>
      </c>
    </row>
    <row r="799" spans="1:23" x14ac:dyDescent="0.25">
      <c r="A799" t="s">
        <v>56</v>
      </c>
      <c r="B799" t="s">
        <v>62</v>
      </c>
      <c r="C799">
        <v>70.53</v>
      </c>
      <c r="D799">
        <v>409</v>
      </c>
      <c r="E799" t="b">
        <v>1</v>
      </c>
      <c r="F799" t="b">
        <v>1</v>
      </c>
      <c r="G799" t="b">
        <v>0</v>
      </c>
      <c r="H799" t="s">
        <v>25</v>
      </c>
      <c r="I799" t="s">
        <v>35</v>
      </c>
      <c r="J799" t="s">
        <v>50</v>
      </c>
      <c r="K799" t="s">
        <v>39</v>
      </c>
      <c r="L799" t="s">
        <v>38</v>
      </c>
      <c r="M799" t="s">
        <v>39</v>
      </c>
      <c r="N799" t="s">
        <v>46</v>
      </c>
      <c r="O799" t="b">
        <v>0</v>
      </c>
      <c r="P799" t="b">
        <v>0</v>
      </c>
      <c r="Q799">
        <v>7.2</v>
      </c>
      <c r="R799" t="b">
        <v>1</v>
      </c>
      <c r="S799" t="s">
        <v>65</v>
      </c>
      <c r="T799">
        <v>13.6</v>
      </c>
      <c r="U799">
        <v>81.510000000000005</v>
      </c>
      <c r="V799" t="b">
        <v>1</v>
      </c>
      <c r="W799" t="s">
        <v>41</v>
      </c>
    </row>
    <row r="800" spans="1:23" x14ac:dyDescent="0.25">
      <c r="A800" t="s">
        <v>68</v>
      </c>
      <c r="B800" t="s">
        <v>33</v>
      </c>
      <c r="C800">
        <v>84.23</v>
      </c>
      <c r="D800">
        <v>542</v>
      </c>
      <c r="E800" t="b">
        <v>0</v>
      </c>
      <c r="F800" t="b">
        <v>1</v>
      </c>
      <c r="G800" t="b">
        <v>1</v>
      </c>
      <c r="H800" t="s">
        <v>43</v>
      </c>
      <c r="I800" t="s">
        <v>57</v>
      </c>
      <c r="J800" t="s">
        <v>45</v>
      </c>
      <c r="K800" t="s">
        <v>46</v>
      </c>
      <c r="L800" t="s">
        <v>37</v>
      </c>
      <c r="M800" t="s">
        <v>39</v>
      </c>
      <c r="N800" t="s">
        <v>28</v>
      </c>
      <c r="O800" t="b">
        <v>1</v>
      </c>
      <c r="P800" t="b">
        <v>1</v>
      </c>
      <c r="Q800">
        <v>9.9</v>
      </c>
      <c r="R800" t="b">
        <v>0</v>
      </c>
      <c r="T800">
        <v>0</v>
      </c>
      <c r="U800">
        <v>93.29</v>
      </c>
      <c r="V800" t="b">
        <v>1</v>
      </c>
      <c r="W800" t="s">
        <v>58</v>
      </c>
    </row>
    <row r="801" spans="1:23" x14ac:dyDescent="0.25">
      <c r="A801" t="s">
        <v>68</v>
      </c>
      <c r="B801" t="s">
        <v>73</v>
      </c>
      <c r="C801">
        <v>47.73</v>
      </c>
      <c r="D801">
        <v>189</v>
      </c>
      <c r="E801" t="b">
        <v>0</v>
      </c>
      <c r="F801" t="b">
        <v>0</v>
      </c>
      <c r="G801" t="b">
        <v>0</v>
      </c>
      <c r="H801" t="s">
        <v>53</v>
      </c>
      <c r="I801" t="s">
        <v>67</v>
      </c>
      <c r="J801" t="s">
        <v>54</v>
      </c>
      <c r="K801" t="s">
        <v>28</v>
      </c>
      <c r="L801" t="s">
        <v>69</v>
      </c>
      <c r="M801" t="s">
        <v>47</v>
      </c>
      <c r="N801" t="s">
        <v>39</v>
      </c>
      <c r="O801" t="b">
        <v>1</v>
      </c>
      <c r="P801" t="b">
        <v>1</v>
      </c>
      <c r="Q801">
        <v>6.3</v>
      </c>
      <c r="R801" t="b">
        <v>1</v>
      </c>
      <c r="S801" t="s">
        <v>75</v>
      </c>
      <c r="T801">
        <v>30.2</v>
      </c>
      <c r="U801">
        <v>60.58</v>
      </c>
      <c r="V801" t="b">
        <v>1</v>
      </c>
      <c r="W801" t="s">
        <v>41</v>
      </c>
    </row>
    <row r="802" spans="1:23" x14ac:dyDescent="0.25">
      <c r="A802" t="s">
        <v>32</v>
      </c>
      <c r="B802" t="s">
        <v>60</v>
      </c>
      <c r="C802">
        <v>49.06</v>
      </c>
      <c r="D802">
        <v>784</v>
      </c>
      <c r="E802" t="b">
        <v>1</v>
      </c>
      <c r="F802" t="b">
        <v>0</v>
      </c>
      <c r="G802" t="b">
        <v>0</v>
      </c>
      <c r="H802" t="s">
        <v>43</v>
      </c>
      <c r="I802" t="s">
        <v>57</v>
      </c>
      <c r="J802" t="s">
        <v>27</v>
      </c>
      <c r="K802" t="s">
        <v>46</v>
      </c>
      <c r="L802" t="s">
        <v>38</v>
      </c>
      <c r="M802" t="s">
        <v>47</v>
      </c>
      <c r="P802" t="b">
        <v>0</v>
      </c>
      <c r="Q802">
        <v>6.1</v>
      </c>
      <c r="R802" t="b">
        <v>1</v>
      </c>
      <c r="S802" t="s">
        <v>48</v>
      </c>
      <c r="T802">
        <v>2.6</v>
      </c>
      <c r="U802">
        <v>44.56</v>
      </c>
      <c r="V802" t="b">
        <v>1</v>
      </c>
      <c r="W802" t="s">
        <v>41</v>
      </c>
    </row>
    <row r="803" spans="1:23" x14ac:dyDescent="0.25">
      <c r="A803" t="s">
        <v>61</v>
      </c>
      <c r="B803" t="s">
        <v>62</v>
      </c>
      <c r="C803">
        <v>55.37</v>
      </c>
      <c r="D803">
        <v>244</v>
      </c>
      <c r="E803" t="b">
        <v>1</v>
      </c>
      <c r="F803" t="b">
        <v>1</v>
      </c>
      <c r="G803" t="b">
        <v>1</v>
      </c>
      <c r="H803" t="s">
        <v>53</v>
      </c>
      <c r="I803" t="s">
        <v>44</v>
      </c>
      <c r="J803" t="s">
        <v>27</v>
      </c>
      <c r="K803" t="s">
        <v>39</v>
      </c>
      <c r="L803" t="s">
        <v>69</v>
      </c>
      <c r="M803" t="s">
        <v>46</v>
      </c>
      <c r="N803" t="s">
        <v>46</v>
      </c>
      <c r="P803" t="b">
        <v>0</v>
      </c>
      <c r="Q803">
        <v>7</v>
      </c>
      <c r="R803" t="b">
        <v>1</v>
      </c>
      <c r="S803" t="s">
        <v>40</v>
      </c>
      <c r="T803">
        <v>3.6</v>
      </c>
      <c r="U803">
        <v>68.78</v>
      </c>
      <c r="V803" t="b">
        <v>1</v>
      </c>
      <c r="W803" t="s">
        <v>41</v>
      </c>
    </row>
    <row r="804" spans="1:23" x14ac:dyDescent="0.25">
      <c r="A804" t="s">
        <v>61</v>
      </c>
      <c r="B804" t="s">
        <v>76</v>
      </c>
      <c r="C804">
        <v>72.05</v>
      </c>
      <c r="D804">
        <v>635</v>
      </c>
      <c r="E804" t="b">
        <v>1</v>
      </c>
      <c r="F804" t="b">
        <v>1</v>
      </c>
      <c r="G804" t="b">
        <v>0</v>
      </c>
      <c r="H804" t="s">
        <v>25</v>
      </c>
      <c r="I804" t="s">
        <v>26</v>
      </c>
      <c r="J804" t="s">
        <v>50</v>
      </c>
      <c r="K804" t="s">
        <v>39</v>
      </c>
      <c r="L804" t="s">
        <v>37</v>
      </c>
      <c r="M804" t="s">
        <v>39</v>
      </c>
      <c r="N804" t="s">
        <v>39</v>
      </c>
      <c r="O804" t="b">
        <v>0</v>
      </c>
      <c r="P804" t="b">
        <v>1</v>
      </c>
      <c r="Q804">
        <v>6.7</v>
      </c>
      <c r="R804" t="b">
        <v>1</v>
      </c>
      <c r="S804" t="s">
        <v>30</v>
      </c>
      <c r="T804">
        <v>38.4</v>
      </c>
      <c r="U804">
        <v>65.319999999999993</v>
      </c>
      <c r="V804" t="b">
        <v>1</v>
      </c>
      <c r="W804" t="s">
        <v>41</v>
      </c>
    </row>
    <row r="805" spans="1:23" x14ac:dyDescent="0.25">
      <c r="A805" t="s">
        <v>74</v>
      </c>
      <c r="B805" t="s">
        <v>66</v>
      </c>
      <c r="C805">
        <v>60.46</v>
      </c>
      <c r="D805">
        <v>268</v>
      </c>
      <c r="E805" t="b">
        <v>1</v>
      </c>
      <c r="F805" t="b">
        <v>1</v>
      </c>
      <c r="G805" t="b">
        <v>0</v>
      </c>
      <c r="H805" t="s">
        <v>53</v>
      </c>
      <c r="I805" t="s">
        <v>67</v>
      </c>
      <c r="J805" t="s">
        <v>36</v>
      </c>
      <c r="K805" t="s">
        <v>46</v>
      </c>
      <c r="L805" t="s">
        <v>37</v>
      </c>
      <c r="M805" t="s">
        <v>46</v>
      </c>
      <c r="N805" t="s">
        <v>28</v>
      </c>
      <c r="P805" t="b">
        <v>0</v>
      </c>
      <c r="Q805">
        <v>6.9</v>
      </c>
      <c r="R805" t="b">
        <v>1</v>
      </c>
      <c r="S805" t="s">
        <v>75</v>
      </c>
      <c r="T805">
        <v>9.1</v>
      </c>
      <c r="U805">
        <v>37.409999999999997</v>
      </c>
      <c r="V805" t="b">
        <v>0</v>
      </c>
      <c r="W805" t="s">
        <v>41</v>
      </c>
    </row>
    <row r="806" spans="1:23" x14ac:dyDescent="0.25">
      <c r="A806" t="s">
        <v>68</v>
      </c>
      <c r="B806" t="s">
        <v>66</v>
      </c>
      <c r="C806">
        <v>64.58</v>
      </c>
      <c r="D806">
        <v>608</v>
      </c>
      <c r="E806" t="b">
        <v>0</v>
      </c>
      <c r="F806" t="b">
        <v>1</v>
      </c>
      <c r="G806" t="b">
        <v>0</v>
      </c>
      <c r="H806" t="s">
        <v>34</v>
      </c>
      <c r="I806" t="s">
        <v>57</v>
      </c>
      <c r="J806" t="s">
        <v>27</v>
      </c>
      <c r="K806" t="s">
        <v>37</v>
      </c>
      <c r="L806" t="s">
        <v>37</v>
      </c>
      <c r="M806" t="s">
        <v>39</v>
      </c>
      <c r="N806" t="s">
        <v>46</v>
      </c>
      <c r="O806" t="b">
        <v>1</v>
      </c>
      <c r="P806" t="b">
        <v>1</v>
      </c>
      <c r="Q806">
        <v>6.6</v>
      </c>
      <c r="R806" t="b">
        <v>1</v>
      </c>
      <c r="S806" t="s">
        <v>75</v>
      </c>
      <c r="T806">
        <v>7.1</v>
      </c>
      <c r="U806">
        <v>65.069999999999993</v>
      </c>
      <c r="V806" t="b">
        <v>1</v>
      </c>
      <c r="W806" t="s">
        <v>41</v>
      </c>
    </row>
    <row r="807" spans="1:23" x14ac:dyDescent="0.25">
      <c r="A807" t="s">
        <v>74</v>
      </c>
      <c r="B807" t="s">
        <v>71</v>
      </c>
      <c r="C807">
        <v>44.61</v>
      </c>
      <c r="D807">
        <v>604</v>
      </c>
      <c r="E807" t="b">
        <v>0</v>
      </c>
      <c r="F807" t="b">
        <v>1</v>
      </c>
      <c r="G807" t="b">
        <v>0</v>
      </c>
      <c r="H807" t="s">
        <v>25</v>
      </c>
      <c r="I807" t="s">
        <v>44</v>
      </c>
      <c r="J807" t="s">
        <v>27</v>
      </c>
      <c r="K807" t="s">
        <v>39</v>
      </c>
      <c r="L807" t="s">
        <v>69</v>
      </c>
      <c r="M807" t="s">
        <v>46</v>
      </c>
      <c r="N807" t="s">
        <v>39</v>
      </c>
      <c r="O807" t="b">
        <v>0</v>
      </c>
      <c r="P807" t="b">
        <v>0</v>
      </c>
      <c r="Q807">
        <v>3.7</v>
      </c>
      <c r="R807" t="b">
        <v>0</v>
      </c>
      <c r="T807">
        <v>0</v>
      </c>
      <c r="U807">
        <v>45.31</v>
      </c>
      <c r="V807" t="b">
        <v>1</v>
      </c>
      <c r="W807" t="s">
        <v>41</v>
      </c>
    </row>
    <row r="808" spans="1:23" x14ac:dyDescent="0.25">
      <c r="A808" t="s">
        <v>68</v>
      </c>
      <c r="B808" t="s">
        <v>76</v>
      </c>
      <c r="C808">
        <v>82.35</v>
      </c>
      <c r="D808">
        <v>115</v>
      </c>
      <c r="E808" t="b">
        <v>1</v>
      </c>
      <c r="F808" t="b">
        <v>1</v>
      </c>
      <c r="G808" t="b">
        <v>0</v>
      </c>
      <c r="H808" t="s">
        <v>53</v>
      </c>
      <c r="I808" t="s">
        <v>63</v>
      </c>
      <c r="J808" t="s">
        <v>36</v>
      </c>
      <c r="K808" t="s">
        <v>39</v>
      </c>
      <c r="L808" t="s">
        <v>38</v>
      </c>
      <c r="M808" t="s">
        <v>46</v>
      </c>
      <c r="N808" t="s">
        <v>46</v>
      </c>
      <c r="O808" t="b">
        <v>1</v>
      </c>
      <c r="P808" t="b">
        <v>1</v>
      </c>
      <c r="Q808">
        <v>9.9</v>
      </c>
      <c r="R808" t="b">
        <v>1</v>
      </c>
      <c r="S808" t="s">
        <v>48</v>
      </c>
      <c r="T808">
        <v>38</v>
      </c>
      <c r="U808">
        <v>90.81</v>
      </c>
      <c r="V808" t="b">
        <v>1</v>
      </c>
      <c r="W808" t="s">
        <v>31</v>
      </c>
    </row>
    <row r="809" spans="1:23" x14ac:dyDescent="0.25">
      <c r="A809" t="s">
        <v>61</v>
      </c>
      <c r="B809" t="s">
        <v>66</v>
      </c>
      <c r="C809">
        <v>75.790000000000006</v>
      </c>
      <c r="D809">
        <v>116</v>
      </c>
      <c r="E809" t="b">
        <v>0</v>
      </c>
      <c r="F809" t="b">
        <v>1</v>
      </c>
      <c r="G809" t="b">
        <v>0</v>
      </c>
      <c r="H809" t="s">
        <v>34</v>
      </c>
      <c r="I809" t="s">
        <v>35</v>
      </c>
      <c r="J809" t="s">
        <v>50</v>
      </c>
      <c r="K809" t="s">
        <v>39</v>
      </c>
      <c r="L809" t="s">
        <v>29</v>
      </c>
      <c r="M809" t="s">
        <v>39</v>
      </c>
      <c r="N809" t="s">
        <v>28</v>
      </c>
      <c r="P809" t="b">
        <v>1</v>
      </c>
      <c r="Q809">
        <v>6.6</v>
      </c>
      <c r="R809" t="b">
        <v>0</v>
      </c>
      <c r="T809">
        <v>0</v>
      </c>
      <c r="U809">
        <v>62.75</v>
      </c>
      <c r="V809" t="b">
        <v>1</v>
      </c>
      <c r="W809" t="s">
        <v>31</v>
      </c>
    </row>
    <row r="810" spans="1:23" x14ac:dyDescent="0.25">
      <c r="A810" t="s">
        <v>68</v>
      </c>
      <c r="B810" t="s">
        <v>71</v>
      </c>
      <c r="C810">
        <v>42.38</v>
      </c>
      <c r="D810">
        <v>784</v>
      </c>
      <c r="E810" t="b">
        <v>0</v>
      </c>
      <c r="F810" t="b">
        <v>1</v>
      </c>
      <c r="G810" t="b">
        <v>0</v>
      </c>
      <c r="H810" t="s">
        <v>25</v>
      </c>
      <c r="I810" t="s">
        <v>26</v>
      </c>
      <c r="J810" t="s">
        <v>50</v>
      </c>
      <c r="K810" t="s">
        <v>46</v>
      </c>
      <c r="L810" t="s">
        <v>51</v>
      </c>
      <c r="M810" t="s">
        <v>46</v>
      </c>
      <c r="N810" t="s">
        <v>28</v>
      </c>
      <c r="O810" t="b">
        <v>0</v>
      </c>
      <c r="P810" t="b">
        <v>0</v>
      </c>
      <c r="Q810">
        <v>3.6</v>
      </c>
      <c r="R810" t="b">
        <v>1</v>
      </c>
      <c r="S810" t="s">
        <v>75</v>
      </c>
      <c r="T810">
        <v>21.3</v>
      </c>
      <c r="U810">
        <v>25.28</v>
      </c>
      <c r="V810" t="b">
        <v>1</v>
      </c>
      <c r="W810" t="s">
        <v>72</v>
      </c>
    </row>
    <row r="811" spans="1:23" x14ac:dyDescent="0.25">
      <c r="A811" t="s">
        <v>32</v>
      </c>
      <c r="B811" t="s">
        <v>49</v>
      </c>
      <c r="C811">
        <v>69.31</v>
      </c>
      <c r="D811">
        <v>389</v>
      </c>
      <c r="E811" t="b">
        <v>1</v>
      </c>
      <c r="F811" t="b">
        <v>0</v>
      </c>
      <c r="G811" t="b">
        <v>0</v>
      </c>
      <c r="H811" t="s">
        <v>25</v>
      </c>
      <c r="I811" t="s">
        <v>44</v>
      </c>
      <c r="J811" t="s">
        <v>36</v>
      </c>
      <c r="K811" t="s">
        <v>46</v>
      </c>
      <c r="L811" t="s">
        <v>37</v>
      </c>
      <c r="M811" t="s">
        <v>47</v>
      </c>
      <c r="N811" t="s">
        <v>39</v>
      </c>
      <c r="O811" t="b">
        <v>1</v>
      </c>
      <c r="P811" t="b">
        <v>0</v>
      </c>
      <c r="Q811">
        <v>8.8000000000000007</v>
      </c>
      <c r="R811" t="b">
        <v>1</v>
      </c>
      <c r="S811" t="s">
        <v>65</v>
      </c>
      <c r="T811">
        <v>9.1</v>
      </c>
      <c r="U811">
        <v>82.32</v>
      </c>
      <c r="V811" t="b">
        <v>1</v>
      </c>
      <c r="W811" t="s">
        <v>31</v>
      </c>
    </row>
    <row r="812" spans="1:23" x14ac:dyDescent="0.25">
      <c r="A812" t="s">
        <v>56</v>
      </c>
      <c r="B812" t="s">
        <v>33</v>
      </c>
      <c r="C812">
        <v>82.59</v>
      </c>
      <c r="D812">
        <v>372</v>
      </c>
      <c r="E812" t="b">
        <v>0</v>
      </c>
      <c r="F812" t="b">
        <v>1</v>
      </c>
      <c r="G812" t="b">
        <v>0</v>
      </c>
      <c r="H812" t="s">
        <v>43</v>
      </c>
      <c r="I812" t="s">
        <v>35</v>
      </c>
      <c r="J812" t="s">
        <v>27</v>
      </c>
      <c r="K812" t="s">
        <v>28</v>
      </c>
      <c r="L812" t="s">
        <v>51</v>
      </c>
      <c r="M812" t="s">
        <v>47</v>
      </c>
      <c r="N812" t="s">
        <v>46</v>
      </c>
      <c r="O812" t="b">
        <v>1</v>
      </c>
      <c r="P812" t="b">
        <v>1</v>
      </c>
      <c r="Q812">
        <v>8.9</v>
      </c>
      <c r="R812" t="b">
        <v>0</v>
      </c>
      <c r="T812">
        <v>0</v>
      </c>
      <c r="U812">
        <v>77.599999999999994</v>
      </c>
      <c r="V812" t="b">
        <v>1</v>
      </c>
      <c r="W812" t="s">
        <v>58</v>
      </c>
    </row>
    <row r="813" spans="1:23" x14ac:dyDescent="0.25">
      <c r="A813" t="s">
        <v>74</v>
      </c>
      <c r="B813" t="s">
        <v>33</v>
      </c>
      <c r="C813">
        <v>76.8</v>
      </c>
      <c r="D813">
        <v>535</v>
      </c>
      <c r="E813" t="b">
        <v>0</v>
      </c>
      <c r="F813" t="b">
        <v>0</v>
      </c>
      <c r="G813" t="b">
        <v>1</v>
      </c>
      <c r="H813" t="s">
        <v>43</v>
      </c>
      <c r="I813" t="s">
        <v>35</v>
      </c>
      <c r="J813" t="s">
        <v>27</v>
      </c>
      <c r="K813" t="s">
        <v>46</v>
      </c>
      <c r="L813" t="s">
        <v>29</v>
      </c>
      <c r="M813" t="s">
        <v>28</v>
      </c>
      <c r="N813" t="s">
        <v>28</v>
      </c>
      <c r="O813" t="b">
        <v>0</v>
      </c>
      <c r="P813" t="b">
        <v>1</v>
      </c>
      <c r="Q813">
        <v>7.6</v>
      </c>
      <c r="R813" t="b">
        <v>0</v>
      </c>
      <c r="T813">
        <v>0</v>
      </c>
      <c r="U813">
        <v>82.67</v>
      </c>
      <c r="V813" t="b">
        <v>1</v>
      </c>
      <c r="W813" t="s">
        <v>31</v>
      </c>
    </row>
    <row r="814" spans="1:23" x14ac:dyDescent="0.25">
      <c r="A814" t="s">
        <v>61</v>
      </c>
      <c r="B814" t="s">
        <v>71</v>
      </c>
      <c r="C814">
        <v>48.8</v>
      </c>
      <c r="D814">
        <v>678</v>
      </c>
      <c r="E814" t="b">
        <v>1</v>
      </c>
      <c r="F814" t="b">
        <v>0</v>
      </c>
      <c r="G814" t="b">
        <v>1</v>
      </c>
      <c r="H814" t="s">
        <v>25</v>
      </c>
      <c r="I814" t="s">
        <v>44</v>
      </c>
      <c r="J814" t="s">
        <v>54</v>
      </c>
      <c r="K814" t="s">
        <v>46</v>
      </c>
      <c r="L814" t="s">
        <v>29</v>
      </c>
      <c r="M814" t="s">
        <v>46</v>
      </c>
      <c r="N814" t="s">
        <v>46</v>
      </c>
      <c r="P814" t="b">
        <v>1</v>
      </c>
      <c r="Q814">
        <v>6.3</v>
      </c>
      <c r="R814" t="b">
        <v>1</v>
      </c>
      <c r="S814" t="s">
        <v>40</v>
      </c>
      <c r="T814">
        <v>40.1</v>
      </c>
      <c r="U814">
        <v>53.4</v>
      </c>
      <c r="V814" t="b">
        <v>1</v>
      </c>
      <c r="W814" t="s">
        <v>41</v>
      </c>
    </row>
    <row r="815" spans="1:23" x14ac:dyDescent="0.25">
      <c r="A815" t="s">
        <v>56</v>
      </c>
      <c r="B815" t="s">
        <v>24</v>
      </c>
      <c r="C815">
        <v>95.04</v>
      </c>
      <c r="D815">
        <v>553</v>
      </c>
      <c r="E815" t="b">
        <v>0</v>
      </c>
      <c r="F815" t="b">
        <v>1</v>
      </c>
      <c r="G815" t="b">
        <v>1</v>
      </c>
      <c r="H815" t="s">
        <v>43</v>
      </c>
      <c r="I815" t="s">
        <v>44</v>
      </c>
      <c r="J815" t="s">
        <v>50</v>
      </c>
      <c r="K815" t="s">
        <v>28</v>
      </c>
      <c r="L815" t="s">
        <v>51</v>
      </c>
      <c r="M815" t="s">
        <v>39</v>
      </c>
      <c r="N815" t="s">
        <v>39</v>
      </c>
      <c r="O815" t="b">
        <v>1</v>
      </c>
      <c r="P815" t="b">
        <v>0</v>
      </c>
      <c r="Q815">
        <v>10</v>
      </c>
      <c r="R815" t="b">
        <v>0</v>
      </c>
      <c r="T815">
        <v>0</v>
      </c>
      <c r="U815">
        <v>94.98</v>
      </c>
      <c r="V815" t="b">
        <v>1</v>
      </c>
      <c r="W815" t="s">
        <v>58</v>
      </c>
    </row>
    <row r="816" spans="1:23" x14ac:dyDescent="0.25">
      <c r="A816" t="s">
        <v>23</v>
      </c>
      <c r="B816" t="s">
        <v>42</v>
      </c>
      <c r="C816">
        <v>66.650000000000006</v>
      </c>
      <c r="D816">
        <v>171</v>
      </c>
      <c r="E816" t="b">
        <v>1</v>
      </c>
      <c r="F816" t="b">
        <v>1</v>
      </c>
      <c r="G816" t="b">
        <v>0</v>
      </c>
      <c r="H816" t="s">
        <v>25</v>
      </c>
      <c r="I816" t="s">
        <v>35</v>
      </c>
      <c r="J816" t="s">
        <v>50</v>
      </c>
      <c r="K816" t="s">
        <v>28</v>
      </c>
      <c r="L816" t="s">
        <v>38</v>
      </c>
      <c r="M816" t="s">
        <v>39</v>
      </c>
      <c r="N816" t="s">
        <v>28</v>
      </c>
      <c r="P816" t="b">
        <v>1</v>
      </c>
      <c r="Q816">
        <v>8.3000000000000007</v>
      </c>
      <c r="R816" t="b">
        <v>1</v>
      </c>
      <c r="S816" t="s">
        <v>75</v>
      </c>
      <c r="T816">
        <v>23.5</v>
      </c>
      <c r="U816">
        <v>58.86</v>
      </c>
      <c r="V816" t="b">
        <v>0</v>
      </c>
      <c r="W816" t="s">
        <v>31</v>
      </c>
    </row>
    <row r="817" spans="1:23" x14ac:dyDescent="0.25">
      <c r="A817" t="s">
        <v>32</v>
      </c>
      <c r="B817" t="s">
        <v>59</v>
      </c>
      <c r="C817">
        <v>75.930000000000007</v>
      </c>
      <c r="D817">
        <v>774</v>
      </c>
      <c r="E817" t="b">
        <v>0</v>
      </c>
      <c r="F817" t="b">
        <v>1</v>
      </c>
      <c r="G817" t="b">
        <v>1</v>
      </c>
      <c r="H817" t="s">
        <v>53</v>
      </c>
      <c r="I817" t="s">
        <v>57</v>
      </c>
      <c r="J817" t="s">
        <v>45</v>
      </c>
      <c r="K817" t="s">
        <v>37</v>
      </c>
      <c r="L817" t="s">
        <v>51</v>
      </c>
      <c r="M817" t="s">
        <v>28</v>
      </c>
      <c r="N817" t="s">
        <v>46</v>
      </c>
      <c r="O817" t="b">
        <v>1</v>
      </c>
      <c r="P817" t="b">
        <v>0</v>
      </c>
      <c r="Q817">
        <v>9.3000000000000007</v>
      </c>
      <c r="R817" t="b">
        <v>0</v>
      </c>
      <c r="T817">
        <v>0</v>
      </c>
      <c r="U817">
        <v>63.94</v>
      </c>
      <c r="V817" t="b">
        <v>0</v>
      </c>
      <c r="W817" t="s">
        <v>58</v>
      </c>
    </row>
    <row r="818" spans="1:23" x14ac:dyDescent="0.25">
      <c r="A818" t="s">
        <v>61</v>
      </c>
      <c r="B818" t="s">
        <v>76</v>
      </c>
      <c r="C818">
        <v>75.69</v>
      </c>
      <c r="D818">
        <v>259</v>
      </c>
      <c r="E818" t="b">
        <v>0</v>
      </c>
      <c r="F818" t="b">
        <v>0</v>
      </c>
      <c r="G818" t="b">
        <v>1</v>
      </c>
      <c r="H818" t="s">
        <v>25</v>
      </c>
      <c r="I818" t="s">
        <v>44</v>
      </c>
      <c r="J818" t="s">
        <v>27</v>
      </c>
      <c r="K818" t="s">
        <v>28</v>
      </c>
      <c r="L818" t="s">
        <v>69</v>
      </c>
      <c r="M818" t="s">
        <v>47</v>
      </c>
      <c r="N818" t="s">
        <v>39</v>
      </c>
      <c r="O818" t="b">
        <v>1</v>
      </c>
      <c r="P818" t="b">
        <v>0</v>
      </c>
      <c r="Q818">
        <v>9.3000000000000007</v>
      </c>
      <c r="R818" t="b">
        <v>1</v>
      </c>
      <c r="S818" t="s">
        <v>48</v>
      </c>
      <c r="T818">
        <v>26.7</v>
      </c>
      <c r="U818">
        <v>87.9</v>
      </c>
      <c r="V818" t="b">
        <v>1</v>
      </c>
      <c r="W818" t="s">
        <v>31</v>
      </c>
    </row>
    <row r="819" spans="1:23" x14ac:dyDescent="0.25">
      <c r="A819" t="s">
        <v>23</v>
      </c>
      <c r="B819" t="s">
        <v>73</v>
      </c>
      <c r="C819">
        <v>53.8</v>
      </c>
      <c r="D819">
        <v>696</v>
      </c>
      <c r="E819" t="b">
        <v>0</v>
      </c>
      <c r="F819" t="b">
        <v>1</v>
      </c>
      <c r="G819" t="b">
        <v>1</v>
      </c>
      <c r="H819" t="s">
        <v>34</v>
      </c>
      <c r="I819" t="s">
        <v>35</v>
      </c>
      <c r="J819" t="s">
        <v>36</v>
      </c>
      <c r="K819" t="s">
        <v>39</v>
      </c>
      <c r="L819" t="s">
        <v>29</v>
      </c>
      <c r="M819" t="s">
        <v>39</v>
      </c>
      <c r="N819" t="s">
        <v>39</v>
      </c>
      <c r="O819" t="b">
        <v>1</v>
      </c>
      <c r="P819" t="b">
        <v>1</v>
      </c>
      <c r="Q819">
        <v>6.3</v>
      </c>
      <c r="R819" t="b">
        <v>1</v>
      </c>
      <c r="S819" t="s">
        <v>30</v>
      </c>
      <c r="T819">
        <v>14.7</v>
      </c>
      <c r="U819">
        <v>62.94</v>
      </c>
      <c r="V819" t="b">
        <v>1</v>
      </c>
      <c r="W819" t="s">
        <v>41</v>
      </c>
    </row>
    <row r="820" spans="1:23" x14ac:dyDescent="0.25">
      <c r="A820" t="s">
        <v>61</v>
      </c>
      <c r="B820" t="s">
        <v>62</v>
      </c>
      <c r="C820">
        <v>74.25</v>
      </c>
      <c r="D820">
        <v>712</v>
      </c>
      <c r="E820" t="b">
        <v>1</v>
      </c>
      <c r="F820" t="b">
        <v>0</v>
      </c>
      <c r="G820" t="b">
        <v>1</v>
      </c>
      <c r="H820" t="s">
        <v>25</v>
      </c>
      <c r="I820" t="s">
        <v>26</v>
      </c>
      <c r="J820" t="s">
        <v>54</v>
      </c>
      <c r="K820" t="s">
        <v>28</v>
      </c>
      <c r="L820" t="s">
        <v>38</v>
      </c>
      <c r="M820" t="s">
        <v>47</v>
      </c>
      <c r="O820" t="b">
        <v>0</v>
      </c>
      <c r="P820" t="b">
        <v>1</v>
      </c>
      <c r="Q820">
        <v>8.8000000000000007</v>
      </c>
      <c r="R820" t="b">
        <v>1</v>
      </c>
      <c r="S820" t="s">
        <v>48</v>
      </c>
      <c r="T820">
        <v>15</v>
      </c>
      <c r="U820">
        <v>64.510000000000005</v>
      </c>
      <c r="V820" t="b">
        <v>0</v>
      </c>
      <c r="W820" t="s">
        <v>31</v>
      </c>
    </row>
    <row r="821" spans="1:23" x14ac:dyDescent="0.25">
      <c r="A821" t="s">
        <v>74</v>
      </c>
      <c r="B821" t="s">
        <v>62</v>
      </c>
      <c r="C821">
        <v>72.53</v>
      </c>
      <c r="D821">
        <v>740</v>
      </c>
      <c r="E821" t="b">
        <v>1</v>
      </c>
      <c r="F821" t="b">
        <v>0</v>
      </c>
      <c r="G821" t="b">
        <v>0</v>
      </c>
      <c r="H821" t="s">
        <v>25</v>
      </c>
      <c r="I821" t="s">
        <v>63</v>
      </c>
      <c r="J821" t="s">
        <v>45</v>
      </c>
      <c r="K821" t="s">
        <v>46</v>
      </c>
      <c r="L821" t="s">
        <v>51</v>
      </c>
      <c r="M821" t="s">
        <v>47</v>
      </c>
      <c r="N821" t="s">
        <v>39</v>
      </c>
      <c r="P821" t="b">
        <v>1</v>
      </c>
      <c r="Q821">
        <v>7.5</v>
      </c>
      <c r="R821" t="b">
        <v>1</v>
      </c>
      <c r="S821" t="s">
        <v>55</v>
      </c>
      <c r="T821">
        <v>8.4</v>
      </c>
      <c r="U821">
        <v>65.92</v>
      </c>
      <c r="V821" t="b">
        <v>1</v>
      </c>
      <c r="W821" t="s">
        <v>41</v>
      </c>
    </row>
    <row r="822" spans="1:23" x14ac:dyDescent="0.25">
      <c r="A822" t="s">
        <v>68</v>
      </c>
      <c r="B822" t="s">
        <v>49</v>
      </c>
      <c r="C822">
        <v>62.4</v>
      </c>
      <c r="D822">
        <v>261</v>
      </c>
      <c r="E822" t="b">
        <v>0</v>
      </c>
      <c r="F822" t="b">
        <v>1</v>
      </c>
      <c r="G822" t="b">
        <v>0</v>
      </c>
      <c r="H822" t="s">
        <v>34</v>
      </c>
      <c r="I822" t="s">
        <v>44</v>
      </c>
      <c r="J822" t="s">
        <v>36</v>
      </c>
      <c r="K822" t="s">
        <v>37</v>
      </c>
      <c r="L822" t="s">
        <v>29</v>
      </c>
      <c r="M822" t="s">
        <v>28</v>
      </c>
      <c r="N822" t="s">
        <v>46</v>
      </c>
      <c r="O822" t="b">
        <v>0</v>
      </c>
      <c r="P822" t="b">
        <v>0</v>
      </c>
      <c r="Q822">
        <v>4.8</v>
      </c>
      <c r="R822" t="b">
        <v>1</v>
      </c>
      <c r="S822" t="s">
        <v>30</v>
      </c>
      <c r="T822">
        <v>7.3</v>
      </c>
      <c r="U822">
        <v>60.04</v>
      </c>
      <c r="V822" t="b">
        <v>1</v>
      </c>
      <c r="W822" t="s">
        <v>72</v>
      </c>
    </row>
    <row r="823" spans="1:23" x14ac:dyDescent="0.25">
      <c r="A823" t="s">
        <v>68</v>
      </c>
      <c r="B823" t="s">
        <v>76</v>
      </c>
      <c r="C823">
        <v>89.69</v>
      </c>
      <c r="D823">
        <v>415</v>
      </c>
      <c r="E823" t="b">
        <v>1</v>
      </c>
      <c r="F823" t="b">
        <v>1</v>
      </c>
      <c r="G823" t="b">
        <v>0</v>
      </c>
      <c r="H823" t="s">
        <v>43</v>
      </c>
      <c r="I823" t="s">
        <v>35</v>
      </c>
      <c r="J823" t="s">
        <v>54</v>
      </c>
      <c r="K823" t="s">
        <v>39</v>
      </c>
      <c r="L823" t="s">
        <v>51</v>
      </c>
      <c r="M823" t="s">
        <v>46</v>
      </c>
      <c r="O823" t="b">
        <v>0</v>
      </c>
      <c r="P823" t="b">
        <v>1</v>
      </c>
      <c r="Q823">
        <v>8</v>
      </c>
      <c r="R823" t="b">
        <v>1</v>
      </c>
      <c r="S823" t="s">
        <v>64</v>
      </c>
      <c r="T823">
        <v>20.7</v>
      </c>
      <c r="U823">
        <v>90.59</v>
      </c>
      <c r="V823" t="b">
        <v>1</v>
      </c>
      <c r="W823" t="s">
        <v>31</v>
      </c>
    </row>
    <row r="824" spans="1:23" x14ac:dyDescent="0.25">
      <c r="A824" t="s">
        <v>23</v>
      </c>
      <c r="B824" t="s">
        <v>62</v>
      </c>
      <c r="C824">
        <v>59.77</v>
      </c>
      <c r="D824">
        <v>622</v>
      </c>
      <c r="E824" t="b">
        <v>1</v>
      </c>
      <c r="F824" t="b">
        <v>0</v>
      </c>
      <c r="G824" t="b">
        <v>1</v>
      </c>
      <c r="H824" t="s">
        <v>34</v>
      </c>
      <c r="I824" t="s">
        <v>26</v>
      </c>
      <c r="J824" t="s">
        <v>27</v>
      </c>
      <c r="K824" t="s">
        <v>39</v>
      </c>
      <c r="L824" t="s">
        <v>69</v>
      </c>
      <c r="M824" t="s">
        <v>46</v>
      </c>
      <c r="N824" t="s">
        <v>28</v>
      </c>
      <c r="O824" t="b">
        <v>0</v>
      </c>
      <c r="P824" t="b">
        <v>0</v>
      </c>
      <c r="Q824">
        <v>6.8</v>
      </c>
      <c r="R824" t="b">
        <v>1</v>
      </c>
      <c r="S824" t="s">
        <v>64</v>
      </c>
      <c r="T824">
        <v>7.7</v>
      </c>
      <c r="U824">
        <v>72.650000000000006</v>
      </c>
      <c r="V824" t="b">
        <v>1</v>
      </c>
      <c r="W824" t="s">
        <v>41</v>
      </c>
    </row>
    <row r="825" spans="1:23" x14ac:dyDescent="0.25">
      <c r="A825" t="s">
        <v>56</v>
      </c>
      <c r="B825" t="s">
        <v>33</v>
      </c>
      <c r="C825">
        <v>85.53</v>
      </c>
      <c r="D825">
        <v>798</v>
      </c>
      <c r="E825" t="b">
        <v>0</v>
      </c>
      <c r="F825" t="b">
        <v>1</v>
      </c>
      <c r="G825" t="b">
        <v>1</v>
      </c>
      <c r="H825" t="s">
        <v>43</v>
      </c>
      <c r="I825" t="s">
        <v>35</v>
      </c>
      <c r="J825" t="s">
        <v>54</v>
      </c>
      <c r="K825" t="s">
        <v>28</v>
      </c>
      <c r="L825" t="s">
        <v>37</v>
      </c>
      <c r="M825" t="s">
        <v>28</v>
      </c>
      <c r="N825" t="s">
        <v>46</v>
      </c>
      <c r="P825" t="b">
        <v>0</v>
      </c>
      <c r="Q825">
        <v>9</v>
      </c>
      <c r="R825" t="b">
        <v>1</v>
      </c>
      <c r="S825" t="s">
        <v>52</v>
      </c>
      <c r="T825">
        <v>39.6</v>
      </c>
      <c r="U825">
        <v>73.489999999999995</v>
      </c>
      <c r="V825" t="b">
        <v>1</v>
      </c>
      <c r="W825" t="s">
        <v>31</v>
      </c>
    </row>
    <row r="826" spans="1:23" x14ac:dyDescent="0.25">
      <c r="A826" t="s">
        <v>68</v>
      </c>
      <c r="B826" t="s">
        <v>70</v>
      </c>
      <c r="C826">
        <v>75.45</v>
      </c>
      <c r="D826">
        <v>237</v>
      </c>
      <c r="E826" t="b">
        <v>0</v>
      </c>
      <c r="F826" t="b">
        <v>1</v>
      </c>
      <c r="G826" t="b">
        <v>0</v>
      </c>
      <c r="H826" t="s">
        <v>34</v>
      </c>
      <c r="I826" t="s">
        <v>26</v>
      </c>
      <c r="J826" t="s">
        <v>50</v>
      </c>
      <c r="K826" t="s">
        <v>39</v>
      </c>
      <c r="L826" t="s">
        <v>51</v>
      </c>
      <c r="M826" t="s">
        <v>47</v>
      </c>
      <c r="N826" t="s">
        <v>39</v>
      </c>
      <c r="O826" t="b">
        <v>0</v>
      </c>
      <c r="P826" t="b">
        <v>1</v>
      </c>
      <c r="Q826">
        <v>5.0999999999999996</v>
      </c>
      <c r="R826" t="b">
        <v>0</v>
      </c>
      <c r="T826">
        <v>0</v>
      </c>
      <c r="U826">
        <v>66.180000000000007</v>
      </c>
      <c r="V826" t="b">
        <v>1</v>
      </c>
      <c r="W826" t="s">
        <v>41</v>
      </c>
    </row>
    <row r="827" spans="1:23" x14ac:dyDescent="0.25">
      <c r="A827" t="s">
        <v>32</v>
      </c>
      <c r="B827" t="s">
        <v>70</v>
      </c>
      <c r="C827">
        <v>72.7</v>
      </c>
      <c r="D827">
        <v>632</v>
      </c>
      <c r="E827" t="b">
        <v>1</v>
      </c>
      <c r="F827" t="b">
        <v>1</v>
      </c>
      <c r="G827" t="b">
        <v>1</v>
      </c>
      <c r="H827" t="s">
        <v>53</v>
      </c>
      <c r="I827" t="s">
        <v>35</v>
      </c>
      <c r="J827" t="s">
        <v>45</v>
      </c>
      <c r="K827" t="s">
        <v>39</v>
      </c>
      <c r="L827" t="s">
        <v>37</v>
      </c>
      <c r="M827" t="s">
        <v>47</v>
      </c>
      <c r="N827" t="s">
        <v>39</v>
      </c>
      <c r="P827" t="b">
        <v>0</v>
      </c>
      <c r="Q827">
        <v>6.9</v>
      </c>
      <c r="R827" t="b">
        <v>1</v>
      </c>
      <c r="S827" t="s">
        <v>48</v>
      </c>
      <c r="T827">
        <v>29</v>
      </c>
      <c r="U827">
        <v>69.650000000000006</v>
      </c>
      <c r="V827" t="b">
        <v>1</v>
      </c>
      <c r="W827" t="s">
        <v>41</v>
      </c>
    </row>
    <row r="828" spans="1:23" x14ac:dyDescent="0.25">
      <c r="A828" t="s">
        <v>23</v>
      </c>
      <c r="B828" t="s">
        <v>66</v>
      </c>
      <c r="C828">
        <v>64.239999999999995</v>
      </c>
      <c r="D828">
        <v>476</v>
      </c>
      <c r="E828" t="b">
        <v>0</v>
      </c>
      <c r="F828" t="b">
        <v>1</v>
      </c>
      <c r="G828" t="b">
        <v>1</v>
      </c>
      <c r="H828" t="s">
        <v>43</v>
      </c>
      <c r="I828" t="s">
        <v>57</v>
      </c>
      <c r="J828" t="s">
        <v>54</v>
      </c>
      <c r="K828" t="s">
        <v>28</v>
      </c>
      <c r="L828" t="s">
        <v>37</v>
      </c>
      <c r="M828" t="s">
        <v>39</v>
      </c>
      <c r="N828" t="s">
        <v>46</v>
      </c>
      <c r="O828" t="b">
        <v>1</v>
      </c>
      <c r="P828" t="b">
        <v>0</v>
      </c>
      <c r="Q828">
        <v>7.9</v>
      </c>
      <c r="R828" t="b">
        <v>1</v>
      </c>
      <c r="S828" t="s">
        <v>64</v>
      </c>
      <c r="T828">
        <v>9.6</v>
      </c>
      <c r="U828">
        <v>65.83</v>
      </c>
      <c r="V828" t="b">
        <v>1</v>
      </c>
      <c r="W828" t="s">
        <v>41</v>
      </c>
    </row>
    <row r="829" spans="1:23" x14ac:dyDescent="0.25">
      <c r="A829" t="s">
        <v>23</v>
      </c>
      <c r="B829" t="s">
        <v>59</v>
      </c>
      <c r="C829">
        <v>78.56</v>
      </c>
      <c r="D829">
        <v>72</v>
      </c>
      <c r="E829" t="b">
        <v>1</v>
      </c>
      <c r="F829" t="b">
        <v>0</v>
      </c>
      <c r="G829" t="b">
        <v>0</v>
      </c>
      <c r="H829" t="s">
        <v>25</v>
      </c>
      <c r="I829" t="s">
        <v>44</v>
      </c>
      <c r="J829" t="s">
        <v>50</v>
      </c>
      <c r="K829" t="s">
        <v>37</v>
      </c>
      <c r="L829" t="s">
        <v>37</v>
      </c>
      <c r="M829" t="s">
        <v>28</v>
      </c>
      <c r="N829" t="s">
        <v>28</v>
      </c>
      <c r="P829" t="b">
        <v>0</v>
      </c>
      <c r="Q829">
        <v>9</v>
      </c>
      <c r="R829" t="b">
        <v>0</v>
      </c>
      <c r="T829">
        <v>0</v>
      </c>
      <c r="U829">
        <v>83.32</v>
      </c>
      <c r="V829" t="b">
        <v>1</v>
      </c>
      <c r="W829" t="s">
        <v>58</v>
      </c>
    </row>
    <row r="830" spans="1:23" x14ac:dyDescent="0.25">
      <c r="A830" t="s">
        <v>61</v>
      </c>
      <c r="B830" t="s">
        <v>73</v>
      </c>
      <c r="C830">
        <v>56.91</v>
      </c>
      <c r="D830">
        <v>662</v>
      </c>
      <c r="E830" t="b">
        <v>0</v>
      </c>
      <c r="F830" t="b">
        <v>1</v>
      </c>
      <c r="G830" t="b">
        <v>1</v>
      </c>
      <c r="H830" t="s">
        <v>53</v>
      </c>
      <c r="I830" t="s">
        <v>67</v>
      </c>
      <c r="J830" t="s">
        <v>50</v>
      </c>
      <c r="K830" t="s">
        <v>39</v>
      </c>
      <c r="L830" t="s">
        <v>38</v>
      </c>
      <c r="M830" t="s">
        <v>28</v>
      </c>
      <c r="N830" t="s">
        <v>46</v>
      </c>
      <c r="O830" t="b">
        <v>1</v>
      </c>
      <c r="P830" t="b">
        <v>1</v>
      </c>
      <c r="Q830">
        <v>8.4</v>
      </c>
      <c r="R830" t="b">
        <v>1</v>
      </c>
      <c r="S830" t="s">
        <v>64</v>
      </c>
      <c r="T830">
        <v>44.3</v>
      </c>
      <c r="U830">
        <v>58.84</v>
      </c>
      <c r="V830" t="b">
        <v>0</v>
      </c>
      <c r="W830" t="s">
        <v>31</v>
      </c>
    </row>
    <row r="831" spans="1:23" x14ac:dyDescent="0.25">
      <c r="A831" t="s">
        <v>61</v>
      </c>
      <c r="B831" t="s">
        <v>73</v>
      </c>
      <c r="C831">
        <v>54.09</v>
      </c>
      <c r="D831">
        <v>150</v>
      </c>
      <c r="E831" t="b">
        <v>0</v>
      </c>
      <c r="F831" t="b">
        <v>1</v>
      </c>
      <c r="G831" t="b">
        <v>1</v>
      </c>
      <c r="H831" t="s">
        <v>53</v>
      </c>
      <c r="I831" t="s">
        <v>44</v>
      </c>
      <c r="J831" t="s">
        <v>54</v>
      </c>
      <c r="K831" t="s">
        <v>37</v>
      </c>
      <c r="L831" t="s">
        <v>38</v>
      </c>
      <c r="M831" t="s">
        <v>46</v>
      </c>
      <c r="N831" t="s">
        <v>46</v>
      </c>
      <c r="O831" t="b">
        <v>0</v>
      </c>
      <c r="P831" t="b">
        <v>0</v>
      </c>
      <c r="Q831">
        <v>5.0999999999999996</v>
      </c>
      <c r="R831" t="b">
        <v>1</v>
      </c>
      <c r="S831" t="s">
        <v>30</v>
      </c>
      <c r="T831">
        <v>21.5</v>
      </c>
      <c r="U831">
        <v>67.349999999999994</v>
      </c>
      <c r="V831" t="b">
        <v>1</v>
      </c>
      <c r="W831" t="s">
        <v>41</v>
      </c>
    </row>
    <row r="832" spans="1:23" x14ac:dyDescent="0.25">
      <c r="A832" t="s">
        <v>68</v>
      </c>
      <c r="B832" t="s">
        <v>76</v>
      </c>
      <c r="C832">
        <v>73.14</v>
      </c>
      <c r="D832">
        <v>711</v>
      </c>
      <c r="E832" t="b">
        <v>0</v>
      </c>
      <c r="F832" t="b">
        <v>0</v>
      </c>
      <c r="G832" t="b">
        <v>0</v>
      </c>
      <c r="H832" t="s">
        <v>25</v>
      </c>
      <c r="I832" t="s">
        <v>35</v>
      </c>
      <c r="J832" t="s">
        <v>54</v>
      </c>
      <c r="K832" t="s">
        <v>39</v>
      </c>
      <c r="L832" t="s">
        <v>37</v>
      </c>
      <c r="M832" t="s">
        <v>28</v>
      </c>
      <c r="N832" t="s">
        <v>46</v>
      </c>
      <c r="P832" t="b">
        <v>0</v>
      </c>
      <c r="Q832">
        <v>7.8</v>
      </c>
      <c r="R832" t="b">
        <v>1</v>
      </c>
      <c r="S832" t="s">
        <v>52</v>
      </c>
      <c r="T832">
        <v>36.9</v>
      </c>
      <c r="U832">
        <v>72.319999999999993</v>
      </c>
      <c r="V832" t="b">
        <v>1</v>
      </c>
      <c r="W832" t="s">
        <v>41</v>
      </c>
    </row>
    <row r="833" spans="1:23" x14ac:dyDescent="0.25">
      <c r="A833" t="s">
        <v>68</v>
      </c>
      <c r="B833" t="s">
        <v>62</v>
      </c>
      <c r="C833">
        <v>53.74</v>
      </c>
      <c r="D833">
        <v>94</v>
      </c>
      <c r="E833" t="b">
        <v>0</v>
      </c>
      <c r="F833" t="b">
        <v>1</v>
      </c>
      <c r="G833" t="b">
        <v>0</v>
      </c>
      <c r="H833" t="s">
        <v>25</v>
      </c>
      <c r="I833" t="s">
        <v>26</v>
      </c>
      <c r="J833" t="s">
        <v>45</v>
      </c>
      <c r="K833" t="s">
        <v>28</v>
      </c>
      <c r="L833" t="s">
        <v>37</v>
      </c>
      <c r="M833" t="s">
        <v>39</v>
      </c>
      <c r="N833" t="s">
        <v>28</v>
      </c>
      <c r="P833" t="b">
        <v>0</v>
      </c>
      <c r="Q833">
        <v>4.5999999999999996</v>
      </c>
      <c r="R833" t="b">
        <v>1</v>
      </c>
      <c r="S833" t="s">
        <v>30</v>
      </c>
      <c r="T833">
        <v>27.9</v>
      </c>
      <c r="U833">
        <v>41.21</v>
      </c>
      <c r="V833" t="b">
        <v>1</v>
      </c>
      <c r="W833" t="s">
        <v>72</v>
      </c>
    </row>
    <row r="834" spans="1:23" x14ac:dyDescent="0.25">
      <c r="A834" t="s">
        <v>61</v>
      </c>
      <c r="B834" t="s">
        <v>42</v>
      </c>
      <c r="C834">
        <v>78.39</v>
      </c>
      <c r="D834">
        <v>501</v>
      </c>
      <c r="E834" t="b">
        <v>0</v>
      </c>
      <c r="F834" t="b">
        <v>1</v>
      </c>
      <c r="G834" t="b">
        <v>1</v>
      </c>
      <c r="H834" t="s">
        <v>53</v>
      </c>
      <c r="I834" t="s">
        <v>44</v>
      </c>
      <c r="J834" t="s">
        <v>27</v>
      </c>
      <c r="K834" t="s">
        <v>37</v>
      </c>
      <c r="L834" t="s">
        <v>29</v>
      </c>
      <c r="M834" t="s">
        <v>39</v>
      </c>
      <c r="N834" t="s">
        <v>39</v>
      </c>
      <c r="P834" t="b">
        <v>0</v>
      </c>
      <c r="Q834">
        <v>6.7</v>
      </c>
      <c r="R834" t="b">
        <v>0</v>
      </c>
      <c r="T834">
        <v>0</v>
      </c>
      <c r="U834">
        <v>83.58</v>
      </c>
      <c r="V834" t="b">
        <v>1</v>
      </c>
      <c r="W834" t="s">
        <v>31</v>
      </c>
    </row>
    <row r="835" spans="1:23" x14ac:dyDescent="0.25">
      <c r="A835" t="s">
        <v>74</v>
      </c>
      <c r="B835" t="s">
        <v>24</v>
      </c>
      <c r="C835">
        <v>86.39</v>
      </c>
      <c r="D835">
        <v>261</v>
      </c>
      <c r="E835" t="b">
        <v>1</v>
      </c>
      <c r="F835" t="b">
        <v>0</v>
      </c>
      <c r="G835" t="b">
        <v>0</v>
      </c>
      <c r="H835" t="s">
        <v>43</v>
      </c>
      <c r="I835" t="s">
        <v>67</v>
      </c>
      <c r="J835" t="s">
        <v>45</v>
      </c>
      <c r="K835" t="s">
        <v>46</v>
      </c>
      <c r="L835" t="s">
        <v>51</v>
      </c>
      <c r="M835" t="s">
        <v>39</v>
      </c>
      <c r="N835" t="s">
        <v>39</v>
      </c>
      <c r="O835" t="b">
        <v>0</v>
      </c>
      <c r="P835" t="b">
        <v>1</v>
      </c>
      <c r="Q835">
        <v>9</v>
      </c>
      <c r="R835" t="b">
        <v>0</v>
      </c>
      <c r="T835">
        <v>0</v>
      </c>
      <c r="U835">
        <v>97.58</v>
      </c>
      <c r="V835" t="b">
        <v>1</v>
      </c>
      <c r="W835" t="s">
        <v>58</v>
      </c>
    </row>
    <row r="836" spans="1:23" x14ac:dyDescent="0.25">
      <c r="A836" t="s">
        <v>56</v>
      </c>
      <c r="B836" t="s">
        <v>71</v>
      </c>
      <c r="C836">
        <v>51.29</v>
      </c>
      <c r="D836">
        <v>384</v>
      </c>
      <c r="E836" t="b">
        <v>1</v>
      </c>
      <c r="F836" t="b">
        <v>1</v>
      </c>
      <c r="G836" t="b">
        <v>1</v>
      </c>
      <c r="H836" t="s">
        <v>43</v>
      </c>
      <c r="I836" t="s">
        <v>57</v>
      </c>
      <c r="J836" t="s">
        <v>45</v>
      </c>
      <c r="K836" t="s">
        <v>37</v>
      </c>
      <c r="L836" t="s">
        <v>29</v>
      </c>
      <c r="M836" t="s">
        <v>46</v>
      </c>
      <c r="O836" t="b">
        <v>0</v>
      </c>
      <c r="P836" t="b">
        <v>0</v>
      </c>
      <c r="Q836">
        <v>4.7</v>
      </c>
      <c r="R836" t="b">
        <v>0</v>
      </c>
      <c r="T836">
        <v>0</v>
      </c>
      <c r="U836">
        <v>40.72</v>
      </c>
      <c r="V836" t="b">
        <v>1</v>
      </c>
      <c r="W836" t="s">
        <v>41</v>
      </c>
    </row>
    <row r="837" spans="1:23" x14ac:dyDescent="0.25">
      <c r="A837" t="s">
        <v>56</v>
      </c>
      <c r="B837" t="s">
        <v>24</v>
      </c>
      <c r="C837">
        <v>85.45</v>
      </c>
      <c r="D837">
        <v>193</v>
      </c>
      <c r="E837" t="b">
        <v>0</v>
      </c>
      <c r="F837" t="b">
        <v>0</v>
      </c>
      <c r="G837" t="b">
        <v>0</v>
      </c>
      <c r="H837" t="s">
        <v>53</v>
      </c>
      <c r="I837" t="s">
        <v>26</v>
      </c>
      <c r="J837" t="s">
        <v>36</v>
      </c>
      <c r="K837" t="s">
        <v>28</v>
      </c>
      <c r="L837" t="s">
        <v>51</v>
      </c>
      <c r="M837" t="s">
        <v>28</v>
      </c>
      <c r="N837" t="s">
        <v>39</v>
      </c>
      <c r="O837" t="b">
        <v>1</v>
      </c>
      <c r="P837" t="b">
        <v>0</v>
      </c>
      <c r="Q837">
        <v>10</v>
      </c>
      <c r="R837" t="b">
        <v>0</v>
      </c>
      <c r="T837">
        <v>0</v>
      </c>
      <c r="U837">
        <v>91.48</v>
      </c>
      <c r="V837" t="b">
        <v>1</v>
      </c>
      <c r="W837" t="s">
        <v>58</v>
      </c>
    </row>
    <row r="838" spans="1:23" x14ac:dyDescent="0.25">
      <c r="A838" t="s">
        <v>23</v>
      </c>
      <c r="B838" t="s">
        <v>62</v>
      </c>
      <c r="C838">
        <v>50.79</v>
      </c>
      <c r="D838">
        <v>307</v>
      </c>
      <c r="E838" t="b">
        <v>0</v>
      </c>
      <c r="F838" t="b">
        <v>0</v>
      </c>
      <c r="G838" t="b">
        <v>1</v>
      </c>
      <c r="H838" t="s">
        <v>34</v>
      </c>
      <c r="I838" t="s">
        <v>26</v>
      </c>
      <c r="J838" t="s">
        <v>36</v>
      </c>
      <c r="K838" t="s">
        <v>28</v>
      </c>
      <c r="L838" t="s">
        <v>38</v>
      </c>
      <c r="M838" t="s">
        <v>28</v>
      </c>
      <c r="O838" t="b">
        <v>1</v>
      </c>
      <c r="P838" t="b">
        <v>1</v>
      </c>
      <c r="Q838">
        <v>7.7</v>
      </c>
      <c r="R838" t="b">
        <v>1</v>
      </c>
      <c r="S838" t="s">
        <v>52</v>
      </c>
      <c r="T838">
        <v>31.2</v>
      </c>
      <c r="U838">
        <v>63.14</v>
      </c>
      <c r="V838" t="b">
        <v>1</v>
      </c>
      <c r="W838" t="s">
        <v>41</v>
      </c>
    </row>
    <row r="839" spans="1:23" x14ac:dyDescent="0.25">
      <c r="A839" t="s">
        <v>74</v>
      </c>
      <c r="B839" t="s">
        <v>24</v>
      </c>
      <c r="C839">
        <v>90.05</v>
      </c>
      <c r="D839">
        <v>208</v>
      </c>
      <c r="E839" t="b">
        <v>0</v>
      </c>
      <c r="F839" t="b">
        <v>0</v>
      </c>
      <c r="G839" t="b">
        <v>0</v>
      </c>
      <c r="H839" t="s">
        <v>25</v>
      </c>
      <c r="I839" t="s">
        <v>35</v>
      </c>
      <c r="J839" t="s">
        <v>36</v>
      </c>
      <c r="K839" t="s">
        <v>28</v>
      </c>
      <c r="L839" t="s">
        <v>38</v>
      </c>
      <c r="M839" t="s">
        <v>47</v>
      </c>
      <c r="N839" t="s">
        <v>28</v>
      </c>
      <c r="P839" t="b">
        <v>1</v>
      </c>
      <c r="Q839">
        <v>9.6</v>
      </c>
      <c r="R839" t="b">
        <v>1</v>
      </c>
      <c r="S839" t="s">
        <v>65</v>
      </c>
      <c r="T839">
        <v>17.2</v>
      </c>
      <c r="U839">
        <v>100</v>
      </c>
      <c r="V839" t="b">
        <v>1</v>
      </c>
      <c r="W839" t="s">
        <v>31</v>
      </c>
    </row>
    <row r="840" spans="1:23" x14ac:dyDescent="0.25">
      <c r="A840" t="s">
        <v>23</v>
      </c>
      <c r="B840" t="s">
        <v>66</v>
      </c>
      <c r="C840">
        <v>71.459999999999994</v>
      </c>
      <c r="D840">
        <v>305</v>
      </c>
      <c r="E840" t="b">
        <v>1</v>
      </c>
      <c r="F840" t="b">
        <v>1</v>
      </c>
      <c r="G840" t="b">
        <v>0</v>
      </c>
      <c r="H840" t="s">
        <v>25</v>
      </c>
      <c r="I840" t="s">
        <v>57</v>
      </c>
      <c r="J840" t="s">
        <v>45</v>
      </c>
      <c r="K840" t="s">
        <v>37</v>
      </c>
      <c r="L840" t="s">
        <v>69</v>
      </c>
      <c r="M840" t="s">
        <v>46</v>
      </c>
      <c r="N840" t="s">
        <v>39</v>
      </c>
      <c r="P840" t="b">
        <v>1</v>
      </c>
      <c r="Q840">
        <v>9.1</v>
      </c>
      <c r="R840" t="b">
        <v>0</v>
      </c>
      <c r="T840">
        <v>0</v>
      </c>
      <c r="U840">
        <v>68.02</v>
      </c>
      <c r="V840" t="b">
        <v>0</v>
      </c>
      <c r="W840" t="s">
        <v>58</v>
      </c>
    </row>
    <row r="841" spans="1:23" x14ac:dyDescent="0.25">
      <c r="A841" t="s">
        <v>56</v>
      </c>
      <c r="B841" t="s">
        <v>70</v>
      </c>
      <c r="C841">
        <v>70.16</v>
      </c>
      <c r="D841">
        <v>776</v>
      </c>
      <c r="E841" t="b">
        <v>1</v>
      </c>
      <c r="F841" t="b">
        <v>1</v>
      </c>
      <c r="G841" t="b">
        <v>1</v>
      </c>
      <c r="H841" t="s">
        <v>53</v>
      </c>
      <c r="I841" t="s">
        <v>63</v>
      </c>
      <c r="J841" t="s">
        <v>27</v>
      </c>
      <c r="K841" t="s">
        <v>28</v>
      </c>
      <c r="L841" t="s">
        <v>37</v>
      </c>
      <c r="M841" t="s">
        <v>28</v>
      </c>
      <c r="N841" t="s">
        <v>39</v>
      </c>
      <c r="O841" t="b">
        <v>0</v>
      </c>
      <c r="P841" t="b">
        <v>0</v>
      </c>
      <c r="Q841">
        <v>6.9</v>
      </c>
      <c r="R841" t="b">
        <v>0</v>
      </c>
      <c r="T841">
        <v>0</v>
      </c>
      <c r="U841">
        <v>73.349999999999994</v>
      </c>
      <c r="V841" t="b">
        <v>1</v>
      </c>
      <c r="W841" t="s">
        <v>31</v>
      </c>
    </row>
    <row r="842" spans="1:23" x14ac:dyDescent="0.25">
      <c r="A842" t="s">
        <v>56</v>
      </c>
      <c r="B842" t="s">
        <v>76</v>
      </c>
      <c r="C842">
        <v>89.12</v>
      </c>
      <c r="D842">
        <v>87</v>
      </c>
      <c r="E842" t="b">
        <v>1</v>
      </c>
      <c r="F842" t="b">
        <v>0</v>
      </c>
      <c r="G842" t="b">
        <v>0</v>
      </c>
      <c r="H842" t="s">
        <v>25</v>
      </c>
      <c r="I842" t="s">
        <v>26</v>
      </c>
      <c r="J842" t="s">
        <v>54</v>
      </c>
      <c r="K842" t="s">
        <v>37</v>
      </c>
      <c r="L842" t="s">
        <v>51</v>
      </c>
      <c r="M842" t="s">
        <v>46</v>
      </c>
      <c r="N842" t="s">
        <v>46</v>
      </c>
      <c r="P842" t="b">
        <v>1</v>
      </c>
      <c r="Q842">
        <v>9.6</v>
      </c>
      <c r="R842" t="b">
        <v>1</v>
      </c>
      <c r="S842" t="s">
        <v>30</v>
      </c>
      <c r="T842">
        <v>14.3</v>
      </c>
      <c r="U842">
        <v>85.82</v>
      </c>
      <c r="V842" t="b">
        <v>1</v>
      </c>
      <c r="W842" t="s">
        <v>31</v>
      </c>
    </row>
    <row r="843" spans="1:23" x14ac:dyDescent="0.25">
      <c r="A843" t="s">
        <v>61</v>
      </c>
      <c r="B843" t="s">
        <v>42</v>
      </c>
      <c r="C843">
        <v>69.239999999999995</v>
      </c>
      <c r="D843">
        <v>98</v>
      </c>
      <c r="E843" t="b">
        <v>1</v>
      </c>
      <c r="F843" t="b">
        <v>1</v>
      </c>
      <c r="G843" t="b">
        <v>1</v>
      </c>
      <c r="H843" t="s">
        <v>34</v>
      </c>
      <c r="I843" t="s">
        <v>35</v>
      </c>
      <c r="J843" t="s">
        <v>36</v>
      </c>
      <c r="K843" t="s">
        <v>37</v>
      </c>
      <c r="L843" t="s">
        <v>69</v>
      </c>
      <c r="M843" t="s">
        <v>28</v>
      </c>
      <c r="N843" t="s">
        <v>28</v>
      </c>
      <c r="P843" t="b">
        <v>0</v>
      </c>
      <c r="Q843">
        <v>8.6999999999999993</v>
      </c>
      <c r="R843" t="b">
        <v>1</v>
      </c>
      <c r="S843" t="s">
        <v>52</v>
      </c>
      <c r="T843">
        <v>14.2</v>
      </c>
      <c r="U843">
        <v>59.03</v>
      </c>
      <c r="V843" t="b">
        <v>0</v>
      </c>
      <c r="W843" t="s">
        <v>31</v>
      </c>
    </row>
    <row r="844" spans="1:23" x14ac:dyDescent="0.25">
      <c r="A844" t="s">
        <v>68</v>
      </c>
      <c r="B844" t="s">
        <v>24</v>
      </c>
      <c r="C844">
        <v>95.49</v>
      </c>
      <c r="D844">
        <v>366</v>
      </c>
      <c r="E844" t="b">
        <v>1</v>
      </c>
      <c r="F844" t="b">
        <v>0</v>
      </c>
      <c r="G844" t="b">
        <v>0</v>
      </c>
      <c r="H844" t="s">
        <v>53</v>
      </c>
      <c r="I844" t="s">
        <v>35</v>
      </c>
      <c r="J844" t="s">
        <v>54</v>
      </c>
      <c r="K844" t="s">
        <v>28</v>
      </c>
      <c r="L844" t="s">
        <v>38</v>
      </c>
      <c r="M844" t="s">
        <v>39</v>
      </c>
      <c r="N844" t="s">
        <v>46</v>
      </c>
      <c r="O844" t="b">
        <v>1</v>
      </c>
      <c r="P844" t="b">
        <v>1</v>
      </c>
      <c r="Q844">
        <v>10</v>
      </c>
      <c r="R844" t="b">
        <v>1</v>
      </c>
      <c r="S844" t="s">
        <v>75</v>
      </c>
      <c r="T844">
        <v>37.700000000000003</v>
      </c>
      <c r="U844">
        <v>98.12</v>
      </c>
      <c r="V844" t="b">
        <v>1</v>
      </c>
      <c r="W844" t="s">
        <v>31</v>
      </c>
    </row>
    <row r="845" spans="1:23" x14ac:dyDescent="0.25">
      <c r="A845" t="s">
        <v>56</v>
      </c>
      <c r="B845" t="s">
        <v>33</v>
      </c>
      <c r="C845">
        <v>76.91</v>
      </c>
      <c r="D845">
        <v>542</v>
      </c>
      <c r="E845" t="b">
        <v>0</v>
      </c>
      <c r="F845" t="b">
        <v>0</v>
      </c>
      <c r="G845" t="b">
        <v>1</v>
      </c>
      <c r="H845" t="s">
        <v>53</v>
      </c>
      <c r="I845" t="s">
        <v>67</v>
      </c>
      <c r="J845" t="s">
        <v>45</v>
      </c>
      <c r="K845" t="s">
        <v>39</v>
      </c>
      <c r="L845" t="s">
        <v>69</v>
      </c>
      <c r="M845" t="s">
        <v>28</v>
      </c>
      <c r="N845" t="s">
        <v>46</v>
      </c>
      <c r="O845" t="b">
        <v>1</v>
      </c>
      <c r="P845" t="b">
        <v>1</v>
      </c>
      <c r="Q845">
        <v>10</v>
      </c>
      <c r="R845" t="b">
        <v>0</v>
      </c>
      <c r="T845">
        <v>0</v>
      </c>
      <c r="U845">
        <v>79.98</v>
      </c>
      <c r="V845" t="b">
        <v>0</v>
      </c>
      <c r="W845" t="s">
        <v>58</v>
      </c>
    </row>
    <row r="846" spans="1:23" x14ac:dyDescent="0.25">
      <c r="A846" t="s">
        <v>23</v>
      </c>
      <c r="B846" t="s">
        <v>60</v>
      </c>
      <c r="C846">
        <v>51.32</v>
      </c>
      <c r="D846">
        <v>521</v>
      </c>
      <c r="E846" t="b">
        <v>1</v>
      </c>
      <c r="F846" t="b">
        <v>1</v>
      </c>
      <c r="G846" t="b">
        <v>1</v>
      </c>
      <c r="H846" t="s">
        <v>43</v>
      </c>
      <c r="I846" t="s">
        <v>44</v>
      </c>
      <c r="J846" t="s">
        <v>54</v>
      </c>
      <c r="K846" t="s">
        <v>37</v>
      </c>
      <c r="L846" t="s">
        <v>69</v>
      </c>
      <c r="M846" t="s">
        <v>46</v>
      </c>
      <c r="N846" t="s">
        <v>28</v>
      </c>
      <c r="O846" t="b">
        <v>0</v>
      </c>
      <c r="P846" t="b">
        <v>0</v>
      </c>
      <c r="Q846">
        <v>5.7</v>
      </c>
      <c r="R846" t="b">
        <v>1</v>
      </c>
      <c r="S846" t="s">
        <v>30</v>
      </c>
      <c r="T846">
        <v>43.6</v>
      </c>
      <c r="U846">
        <v>60.42</v>
      </c>
      <c r="V846" t="b">
        <v>1</v>
      </c>
      <c r="W846" t="s">
        <v>41</v>
      </c>
    </row>
    <row r="847" spans="1:23" x14ac:dyDescent="0.25">
      <c r="A847" t="s">
        <v>68</v>
      </c>
      <c r="B847" t="s">
        <v>60</v>
      </c>
      <c r="C847">
        <v>59.33</v>
      </c>
      <c r="D847">
        <v>199</v>
      </c>
      <c r="E847" t="b">
        <v>1</v>
      </c>
      <c r="F847" t="b">
        <v>1</v>
      </c>
      <c r="G847" t="b">
        <v>0</v>
      </c>
      <c r="H847" t="s">
        <v>43</v>
      </c>
      <c r="I847" t="s">
        <v>63</v>
      </c>
      <c r="J847" t="s">
        <v>27</v>
      </c>
      <c r="K847" t="s">
        <v>39</v>
      </c>
      <c r="L847" t="s">
        <v>51</v>
      </c>
      <c r="M847" t="s">
        <v>28</v>
      </c>
      <c r="N847" t="s">
        <v>46</v>
      </c>
      <c r="O847" t="b">
        <v>0</v>
      </c>
      <c r="P847" t="b">
        <v>0</v>
      </c>
      <c r="Q847">
        <v>6.1</v>
      </c>
      <c r="R847" t="b">
        <v>1</v>
      </c>
      <c r="S847" t="s">
        <v>75</v>
      </c>
      <c r="T847">
        <v>7.3</v>
      </c>
      <c r="U847">
        <v>51.8</v>
      </c>
      <c r="V847" t="b">
        <v>1</v>
      </c>
      <c r="W847" t="s">
        <v>41</v>
      </c>
    </row>
    <row r="848" spans="1:23" x14ac:dyDescent="0.25">
      <c r="A848" t="s">
        <v>23</v>
      </c>
      <c r="B848" t="s">
        <v>59</v>
      </c>
      <c r="C848">
        <v>91.03</v>
      </c>
      <c r="D848">
        <v>380</v>
      </c>
      <c r="E848" t="b">
        <v>1</v>
      </c>
      <c r="F848" t="b">
        <v>0</v>
      </c>
      <c r="G848" t="b">
        <v>0</v>
      </c>
      <c r="H848" t="s">
        <v>34</v>
      </c>
      <c r="I848" t="s">
        <v>57</v>
      </c>
      <c r="J848" t="s">
        <v>45</v>
      </c>
      <c r="K848" t="s">
        <v>28</v>
      </c>
      <c r="L848" t="s">
        <v>38</v>
      </c>
      <c r="M848" t="s">
        <v>28</v>
      </c>
      <c r="N848" t="s">
        <v>46</v>
      </c>
      <c r="O848" t="b">
        <v>0</v>
      </c>
      <c r="P848" t="b">
        <v>1</v>
      </c>
      <c r="Q848">
        <v>10</v>
      </c>
      <c r="R848" t="b">
        <v>0</v>
      </c>
      <c r="T848">
        <v>0</v>
      </c>
      <c r="U848">
        <v>77.67</v>
      </c>
      <c r="V848" t="b">
        <v>0</v>
      </c>
      <c r="W848" t="s">
        <v>58</v>
      </c>
    </row>
    <row r="849" spans="1:23" x14ac:dyDescent="0.25">
      <c r="A849" t="s">
        <v>68</v>
      </c>
      <c r="B849" t="s">
        <v>73</v>
      </c>
      <c r="C849">
        <v>51.15</v>
      </c>
      <c r="D849">
        <v>440</v>
      </c>
      <c r="E849" t="b">
        <v>1</v>
      </c>
      <c r="F849" t="b">
        <v>1</v>
      </c>
      <c r="G849" t="b">
        <v>1</v>
      </c>
      <c r="H849" t="s">
        <v>53</v>
      </c>
      <c r="I849" t="s">
        <v>35</v>
      </c>
      <c r="J849" t="s">
        <v>27</v>
      </c>
      <c r="K849" t="s">
        <v>28</v>
      </c>
      <c r="L849" t="s">
        <v>38</v>
      </c>
      <c r="M849" t="s">
        <v>47</v>
      </c>
      <c r="N849" t="s">
        <v>28</v>
      </c>
      <c r="P849" t="b">
        <v>1</v>
      </c>
      <c r="Q849">
        <v>5.5</v>
      </c>
      <c r="R849" t="b">
        <v>1</v>
      </c>
      <c r="S849" t="s">
        <v>55</v>
      </c>
      <c r="T849">
        <v>33.700000000000003</v>
      </c>
      <c r="U849">
        <v>53.39</v>
      </c>
      <c r="V849" t="b">
        <v>1</v>
      </c>
      <c r="W849" t="s">
        <v>41</v>
      </c>
    </row>
    <row r="850" spans="1:23" x14ac:dyDescent="0.25">
      <c r="A850" t="s">
        <v>23</v>
      </c>
      <c r="B850" t="s">
        <v>33</v>
      </c>
      <c r="C850">
        <v>87.33</v>
      </c>
      <c r="D850">
        <v>532</v>
      </c>
      <c r="E850" t="b">
        <v>0</v>
      </c>
      <c r="F850" t="b">
        <v>0</v>
      </c>
      <c r="G850" t="b">
        <v>0</v>
      </c>
      <c r="H850" t="s">
        <v>43</v>
      </c>
      <c r="I850" t="s">
        <v>67</v>
      </c>
      <c r="J850" t="s">
        <v>36</v>
      </c>
      <c r="K850" t="s">
        <v>46</v>
      </c>
      <c r="L850" t="s">
        <v>69</v>
      </c>
      <c r="M850" t="s">
        <v>46</v>
      </c>
      <c r="O850" t="b">
        <v>1</v>
      </c>
      <c r="P850" t="b">
        <v>0</v>
      </c>
      <c r="Q850">
        <v>10</v>
      </c>
      <c r="R850" t="b">
        <v>1</v>
      </c>
      <c r="S850" t="s">
        <v>65</v>
      </c>
      <c r="T850">
        <v>5.7</v>
      </c>
      <c r="U850">
        <v>79.349999999999994</v>
      </c>
      <c r="V850" t="b">
        <v>0</v>
      </c>
      <c r="W850" t="s">
        <v>31</v>
      </c>
    </row>
    <row r="851" spans="1:23" x14ac:dyDescent="0.25">
      <c r="A851" t="s">
        <v>23</v>
      </c>
      <c r="B851" t="s">
        <v>76</v>
      </c>
      <c r="C851">
        <v>82.23</v>
      </c>
      <c r="D851">
        <v>385</v>
      </c>
      <c r="E851" t="b">
        <v>1</v>
      </c>
      <c r="F851" t="b">
        <v>0</v>
      </c>
      <c r="G851" t="b">
        <v>0</v>
      </c>
      <c r="H851" t="s">
        <v>43</v>
      </c>
      <c r="I851" t="s">
        <v>44</v>
      </c>
      <c r="J851" t="s">
        <v>27</v>
      </c>
      <c r="K851" t="s">
        <v>37</v>
      </c>
      <c r="L851" t="s">
        <v>69</v>
      </c>
      <c r="M851" t="s">
        <v>39</v>
      </c>
      <c r="N851" t="s">
        <v>46</v>
      </c>
      <c r="O851" t="b">
        <v>1</v>
      </c>
      <c r="P851" t="b">
        <v>1</v>
      </c>
      <c r="Q851">
        <v>10</v>
      </c>
      <c r="R851" t="b">
        <v>1</v>
      </c>
      <c r="S851" t="s">
        <v>55</v>
      </c>
      <c r="T851">
        <v>33.799999999999997</v>
      </c>
      <c r="U851">
        <v>78.72</v>
      </c>
      <c r="V851" t="b">
        <v>0</v>
      </c>
      <c r="W851" t="s">
        <v>31</v>
      </c>
    </row>
    <row r="852" spans="1:23" x14ac:dyDescent="0.25">
      <c r="A852" t="s">
        <v>23</v>
      </c>
      <c r="B852" t="s">
        <v>24</v>
      </c>
      <c r="C852">
        <v>87.17</v>
      </c>
      <c r="D852">
        <v>326</v>
      </c>
      <c r="E852" t="b">
        <v>1</v>
      </c>
      <c r="F852" t="b">
        <v>0</v>
      </c>
      <c r="G852" t="b">
        <v>1</v>
      </c>
      <c r="H852" t="s">
        <v>53</v>
      </c>
      <c r="I852" t="s">
        <v>26</v>
      </c>
      <c r="J852" t="s">
        <v>36</v>
      </c>
      <c r="K852" t="s">
        <v>37</v>
      </c>
      <c r="L852" t="s">
        <v>37</v>
      </c>
      <c r="M852" t="s">
        <v>28</v>
      </c>
      <c r="N852" t="s">
        <v>28</v>
      </c>
      <c r="O852" t="b">
        <v>1</v>
      </c>
      <c r="P852" t="b">
        <v>0</v>
      </c>
      <c r="Q852">
        <v>10</v>
      </c>
      <c r="R852" t="b">
        <v>1</v>
      </c>
      <c r="S852" t="s">
        <v>40</v>
      </c>
      <c r="T852">
        <v>24.7</v>
      </c>
      <c r="U852">
        <v>79.52</v>
      </c>
      <c r="V852" t="b">
        <v>0</v>
      </c>
      <c r="W852" t="s">
        <v>31</v>
      </c>
    </row>
    <row r="853" spans="1:23" x14ac:dyDescent="0.25">
      <c r="A853" t="s">
        <v>23</v>
      </c>
      <c r="B853" t="s">
        <v>33</v>
      </c>
      <c r="C853">
        <v>83.88</v>
      </c>
      <c r="D853">
        <v>347</v>
      </c>
      <c r="E853" t="b">
        <v>1</v>
      </c>
      <c r="F853" t="b">
        <v>0</v>
      </c>
      <c r="G853" t="b">
        <v>1</v>
      </c>
      <c r="H853" t="s">
        <v>43</v>
      </c>
      <c r="I853" t="s">
        <v>35</v>
      </c>
      <c r="J853" t="s">
        <v>36</v>
      </c>
      <c r="K853" t="s">
        <v>39</v>
      </c>
      <c r="L853" t="s">
        <v>69</v>
      </c>
      <c r="M853" t="s">
        <v>39</v>
      </c>
      <c r="N853" t="s">
        <v>46</v>
      </c>
      <c r="O853" t="b">
        <v>1</v>
      </c>
      <c r="P853" t="b">
        <v>1</v>
      </c>
      <c r="Q853">
        <v>10</v>
      </c>
      <c r="R853" t="b">
        <v>0</v>
      </c>
      <c r="T853">
        <v>0</v>
      </c>
      <c r="U853">
        <v>92.4</v>
      </c>
      <c r="V853" t="b">
        <v>1</v>
      </c>
      <c r="W853" t="s">
        <v>58</v>
      </c>
    </row>
    <row r="854" spans="1:23" x14ac:dyDescent="0.25">
      <c r="A854" t="s">
        <v>74</v>
      </c>
      <c r="B854" t="s">
        <v>59</v>
      </c>
      <c r="C854">
        <v>85.34</v>
      </c>
      <c r="D854">
        <v>619</v>
      </c>
      <c r="E854" t="b">
        <v>0</v>
      </c>
      <c r="F854" t="b">
        <v>0</v>
      </c>
      <c r="G854" t="b">
        <v>1</v>
      </c>
      <c r="H854" t="s">
        <v>43</v>
      </c>
      <c r="I854" t="s">
        <v>26</v>
      </c>
      <c r="J854" t="s">
        <v>27</v>
      </c>
      <c r="K854" t="s">
        <v>46</v>
      </c>
      <c r="L854" t="s">
        <v>37</v>
      </c>
      <c r="M854" t="s">
        <v>47</v>
      </c>
      <c r="P854" t="b">
        <v>0</v>
      </c>
      <c r="Q854">
        <v>7.9</v>
      </c>
      <c r="R854" t="b">
        <v>1</v>
      </c>
      <c r="S854" t="s">
        <v>40</v>
      </c>
      <c r="T854">
        <v>21.7</v>
      </c>
      <c r="U854">
        <v>93.85</v>
      </c>
      <c r="V854" t="b">
        <v>1</v>
      </c>
      <c r="W854" t="s">
        <v>41</v>
      </c>
    </row>
    <row r="855" spans="1:23" x14ac:dyDescent="0.25">
      <c r="A855" t="s">
        <v>56</v>
      </c>
      <c r="B855" t="s">
        <v>60</v>
      </c>
      <c r="C855">
        <v>60.79</v>
      </c>
      <c r="D855">
        <v>554</v>
      </c>
      <c r="E855" t="b">
        <v>0</v>
      </c>
      <c r="F855" t="b">
        <v>1</v>
      </c>
      <c r="G855" t="b">
        <v>0</v>
      </c>
      <c r="H855" t="s">
        <v>53</v>
      </c>
      <c r="I855" t="s">
        <v>26</v>
      </c>
      <c r="J855" t="s">
        <v>54</v>
      </c>
      <c r="K855" t="s">
        <v>28</v>
      </c>
      <c r="L855" t="s">
        <v>29</v>
      </c>
      <c r="M855" t="s">
        <v>46</v>
      </c>
      <c r="N855" t="s">
        <v>46</v>
      </c>
      <c r="P855" t="b">
        <v>1</v>
      </c>
      <c r="Q855">
        <v>6</v>
      </c>
      <c r="R855" t="b">
        <v>1</v>
      </c>
      <c r="S855" t="s">
        <v>40</v>
      </c>
      <c r="T855">
        <v>43</v>
      </c>
      <c r="U855">
        <v>69.09</v>
      </c>
      <c r="V855" t="b">
        <v>1</v>
      </c>
      <c r="W855" t="s">
        <v>41</v>
      </c>
    </row>
    <row r="856" spans="1:23" x14ac:dyDescent="0.25">
      <c r="A856" t="s">
        <v>74</v>
      </c>
      <c r="B856" t="s">
        <v>33</v>
      </c>
      <c r="C856">
        <v>76.94</v>
      </c>
      <c r="D856">
        <v>795</v>
      </c>
      <c r="E856" t="b">
        <v>1</v>
      </c>
      <c r="F856" t="b">
        <v>0</v>
      </c>
      <c r="G856" t="b">
        <v>0</v>
      </c>
      <c r="H856" t="s">
        <v>25</v>
      </c>
      <c r="I856" t="s">
        <v>26</v>
      </c>
      <c r="J856" t="s">
        <v>36</v>
      </c>
      <c r="K856" t="s">
        <v>28</v>
      </c>
      <c r="L856" t="s">
        <v>51</v>
      </c>
      <c r="M856" t="s">
        <v>28</v>
      </c>
      <c r="N856" t="s">
        <v>28</v>
      </c>
      <c r="P856" t="b">
        <v>0</v>
      </c>
      <c r="Q856">
        <v>10</v>
      </c>
      <c r="R856" t="b">
        <v>0</v>
      </c>
      <c r="T856">
        <v>0</v>
      </c>
      <c r="U856">
        <v>78.3</v>
      </c>
      <c r="V856" t="b">
        <v>0</v>
      </c>
      <c r="W856" t="s">
        <v>58</v>
      </c>
    </row>
    <row r="857" spans="1:23" x14ac:dyDescent="0.25">
      <c r="A857" t="s">
        <v>32</v>
      </c>
      <c r="B857" t="s">
        <v>76</v>
      </c>
      <c r="C857">
        <v>80.63</v>
      </c>
      <c r="D857">
        <v>418</v>
      </c>
      <c r="E857" t="b">
        <v>0</v>
      </c>
      <c r="F857" t="b">
        <v>1</v>
      </c>
      <c r="G857" t="b">
        <v>1</v>
      </c>
      <c r="H857" t="s">
        <v>43</v>
      </c>
      <c r="I857" t="s">
        <v>63</v>
      </c>
      <c r="J857" t="s">
        <v>54</v>
      </c>
      <c r="K857" t="s">
        <v>39</v>
      </c>
      <c r="L857" t="s">
        <v>51</v>
      </c>
      <c r="M857" t="s">
        <v>46</v>
      </c>
      <c r="O857" t="b">
        <v>0</v>
      </c>
      <c r="P857" t="b">
        <v>0</v>
      </c>
      <c r="Q857">
        <v>6.5</v>
      </c>
      <c r="R857" t="b">
        <v>1</v>
      </c>
      <c r="S857" t="s">
        <v>40</v>
      </c>
      <c r="T857">
        <v>10.1</v>
      </c>
      <c r="U857">
        <v>66.36</v>
      </c>
      <c r="V857" t="b">
        <v>1</v>
      </c>
      <c r="W857" t="s">
        <v>41</v>
      </c>
    </row>
    <row r="858" spans="1:23" x14ac:dyDescent="0.25">
      <c r="A858" t="s">
        <v>61</v>
      </c>
      <c r="B858" t="s">
        <v>33</v>
      </c>
      <c r="C858">
        <v>85.67</v>
      </c>
      <c r="D858">
        <v>426</v>
      </c>
      <c r="E858" t="b">
        <v>1</v>
      </c>
      <c r="F858" t="b">
        <v>1</v>
      </c>
      <c r="G858" t="b">
        <v>0</v>
      </c>
      <c r="H858" t="s">
        <v>34</v>
      </c>
      <c r="I858" t="s">
        <v>26</v>
      </c>
      <c r="J858" t="s">
        <v>50</v>
      </c>
      <c r="K858" t="s">
        <v>46</v>
      </c>
      <c r="L858" t="s">
        <v>69</v>
      </c>
      <c r="M858" t="s">
        <v>28</v>
      </c>
      <c r="O858" t="b">
        <v>0</v>
      </c>
      <c r="P858" t="b">
        <v>0</v>
      </c>
      <c r="Q858">
        <v>10</v>
      </c>
      <c r="R858" t="b">
        <v>0</v>
      </c>
      <c r="T858">
        <v>0</v>
      </c>
      <c r="U858">
        <v>76.05</v>
      </c>
      <c r="V858" t="b">
        <v>0</v>
      </c>
      <c r="W858" t="s">
        <v>58</v>
      </c>
    </row>
    <row r="859" spans="1:23" x14ac:dyDescent="0.25">
      <c r="A859" t="s">
        <v>32</v>
      </c>
      <c r="B859" t="s">
        <v>24</v>
      </c>
      <c r="C859">
        <v>88.56</v>
      </c>
      <c r="D859">
        <v>208</v>
      </c>
      <c r="E859" t="b">
        <v>0</v>
      </c>
      <c r="F859" t="b">
        <v>0</v>
      </c>
      <c r="G859" t="b">
        <v>0</v>
      </c>
      <c r="H859" t="s">
        <v>43</v>
      </c>
      <c r="I859" t="s">
        <v>35</v>
      </c>
      <c r="J859" t="s">
        <v>50</v>
      </c>
      <c r="K859" t="s">
        <v>28</v>
      </c>
      <c r="L859" t="s">
        <v>51</v>
      </c>
      <c r="M859" t="s">
        <v>47</v>
      </c>
      <c r="O859" t="b">
        <v>1</v>
      </c>
      <c r="P859" t="b">
        <v>0</v>
      </c>
      <c r="Q859">
        <v>10</v>
      </c>
      <c r="R859" t="b">
        <v>1</v>
      </c>
      <c r="S859" t="s">
        <v>52</v>
      </c>
      <c r="T859">
        <v>38.5</v>
      </c>
      <c r="U859">
        <v>85.24</v>
      </c>
      <c r="V859" t="b">
        <v>1</v>
      </c>
      <c r="W859" t="s">
        <v>31</v>
      </c>
    </row>
    <row r="860" spans="1:23" x14ac:dyDescent="0.25">
      <c r="A860" t="s">
        <v>74</v>
      </c>
      <c r="B860" t="s">
        <v>73</v>
      </c>
      <c r="C860">
        <v>65.95</v>
      </c>
      <c r="D860">
        <v>665</v>
      </c>
      <c r="E860" t="b">
        <v>0</v>
      </c>
      <c r="F860" t="b">
        <v>1</v>
      </c>
      <c r="G860" t="b">
        <v>1</v>
      </c>
      <c r="H860" t="s">
        <v>34</v>
      </c>
      <c r="I860" t="s">
        <v>57</v>
      </c>
      <c r="J860" t="s">
        <v>54</v>
      </c>
      <c r="K860" t="s">
        <v>37</v>
      </c>
      <c r="L860" t="s">
        <v>51</v>
      </c>
      <c r="M860" t="s">
        <v>47</v>
      </c>
      <c r="N860" t="s">
        <v>39</v>
      </c>
      <c r="O860" t="b">
        <v>1</v>
      </c>
      <c r="P860" t="b">
        <v>1</v>
      </c>
      <c r="Q860">
        <v>6.8</v>
      </c>
      <c r="R860" t="b">
        <v>1</v>
      </c>
      <c r="S860" t="s">
        <v>52</v>
      </c>
      <c r="T860">
        <v>33.700000000000003</v>
      </c>
      <c r="U860">
        <v>56.61</v>
      </c>
      <c r="V860" t="b">
        <v>1</v>
      </c>
      <c r="W860" t="s">
        <v>41</v>
      </c>
    </row>
    <row r="861" spans="1:23" x14ac:dyDescent="0.25">
      <c r="A861" t="s">
        <v>68</v>
      </c>
      <c r="B861" t="s">
        <v>59</v>
      </c>
      <c r="C861">
        <v>84.07</v>
      </c>
      <c r="D861">
        <v>311</v>
      </c>
      <c r="E861" t="b">
        <v>1</v>
      </c>
      <c r="F861" t="b">
        <v>1</v>
      </c>
      <c r="G861" t="b">
        <v>1</v>
      </c>
      <c r="H861" t="s">
        <v>34</v>
      </c>
      <c r="I861" t="s">
        <v>67</v>
      </c>
      <c r="J861" t="s">
        <v>50</v>
      </c>
      <c r="K861" t="s">
        <v>28</v>
      </c>
      <c r="L861" t="s">
        <v>38</v>
      </c>
      <c r="M861" t="s">
        <v>28</v>
      </c>
      <c r="N861" t="s">
        <v>39</v>
      </c>
      <c r="O861" t="b">
        <v>0</v>
      </c>
      <c r="P861" t="b">
        <v>0</v>
      </c>
      <c r="Q861">
        <v>9.6</v>
      </c>
      <c r="R861" t="b">
        <v>0</v>
      </c>
      <c r="T861">
        <v>0</v>
      </c>
      <c r="U861">
        <v>93.31</v>
      </c>
      <c r="V861" t="b">
        <v>1</v>
      </c>
      <c r="W861" t="s">
        <v>58</v>
      </c>
    </row>
    <row r="862" spans="1:23" x14ac:dyDescent="0.25">
      <c r="A862" t="s">
        <v>61</v>
      </c>
      <c r="B862" t="s">
        <v>60</v>
      </c>
      <c r="C862">
        <v>61.28</v>
      </c>
      <c r="D862">
        <v>752</v>
      </c>
      <c r="E862" t="b">
        <v>0</v>
      </c>
      <c r="F862" t="b">
        <v>1</v>
      </c>
      <c r="G862" t="b">
        <v>0</v>
      </c>
      <c r="H862" t="s">
        <v>25</v>
      </c>
      <c r="I862" t="s">
        <v>63</v>
      </c>
      <c r="J862" t="s">
        <v>36</v>
      </c>
      <c r="K862" t="s">
        <v>28</v>
      </c>
      <c r="L862" t="s">
        <v>29</v>
      </c>
      <c r="M862" t="s">
        <v>47</v>
      </c>
      <c r="N862" t="s">
        <v>28</v>
      </c>
      <c r="P862" t="b">
        <v>0</v>
      </c>
      <c r="Q862">
        <v>5.7</v>
      </c>
      <c r="R862" t="b">
        <v>1</v>
      </c>
      <c r="S862" t="s">
        <v>40</v>
      </c>
      <c r="T862">
        <v>13.6</v>
      </c>
      <c r="U862">
        <v>49.6</v>
      </c>
      <c r="V862" t="b">
        <v>1</v>
      </c>
      <c r="W862" t="s">
        <v>41</v>
      </c>
    </row>
    <row r="863" spans="1:23" x14ac:dyDescent="0.25">
      <c r="A863" t="s">
        <v>74</v>
      </c>
      <c r="B863" t="s">
        <v>70</v>
      </c>
      <c r="C863">
        <v>90.13</v>
      </c>
      <c r="D863">
        <v>417</v>
      </c>
      <c r="E863" t="b">
        <v>0</v>
      </c>
      <c r="F863" t="b">
        <v>1</v>
      </c>
      <c r="G863" t="b">
        <v>1</v>
      </c>
      <c r="H863" t="s">
        <v>25</v>
      </c>
      <c r="I863" t="s">
        <v>67</v>
      </c>
      <c r="J863" t="s">
        <v>27</v>
      </c>
      <c r="K863" t="s">
        <v>46</v>
      </c>
      <c r="L863" t="s">
        <v>51</v>
      </c>
      <c r="M863" t="s">
        <v>47</v>
      </c>
      <c r="N863" t="s">
        <v>39</v>
      </c>
      <c r="O863" t="b">
        <v>1</v>
      </c>
      <c r="P863" t="b">
        <v>1</v>
      </c>
      <c r="Q863">
        <v>10</v>
      </c>
      <c r="R863" t="b">
        <v>0</v>
      </c>
      <c r="T863">
        <v>0</v>
      </c>
      <c r="U863">
        <v>85.26</v>
      </c>
      <c r="V863" t="b">
        <v>1</v>
      </c>
      <c r="W863" t="s">
        <v>58</v>
      </c>
    </row>
    <row r="864" spans="1:23" x14ac:dyDescent="0.25">
      <c r="A864" t="s">
        <v>56</v>
      </c>
      <c r="B864" t="s">
        <v>60</v>
      </c>
      <c r="C864">
        <v>51</v>
      </c>
      <c r="D864">
        <v>292</v>
      </c>
      <c r="E864" t="b">
        <v>0</v>
      </c>
      <c r="F864" t="b">
        <v>1</v>
      </c>
      <c r="G864" t="b">
        <v>0</v>
      </c>
      <c r="H864" t="s">
        <v>43</v>
      </c>
      <c r="I864" t="s">
        <v>57</v>
      </c>
      <c r="J864" t="s">
        <v>36</v>
      </c>
      <c r="K864" t="s">
        <v>39</v>
      </c>
      <c r="L864" t="s">
        <v>51</v>
      </c>
      <c r="M864" t="s">
        <v>46</v>
      </c>
      <c r="N864" t="s">
        <v>28</v>
      </c>
      <c r="O864" t="b">
        <v>0</v>
      </c>
      <c r="P864" t="b">
        <v>1</v>
      </c>
      <c r="Q864">
        <v>3.3</v>
      </c>
      <c r="R864" t="b">
        <v>1</v>
      </c>
      <c r="S864" t="s">
        <v>40</v>
      </c>
      <c r="T864">
        <v>22.2</v>
      </c>
      <c r="U864">
        <v>62.71</v>
      </c>
      <c r="V864" t="b">
        <v>0</v>
      </c>
      <c r="W864" t="s">
        <v>72</v>
      </c>
    </row>
    <row r="865" spans="1:23" x14ac:dyDescent="0.25">
      <c r="A865" t="s">
        <v>61</v>
      </c>
      <c r="B865" t="s">
        <v>70</v>
      </c>
      <c r="C865">
        <v>76.83</v>
      </c>
      <c r="D865">
        <v>170</v>
      </c>
      <c r="E865" t="b">
        <v>1</v>
      </c>
      <c r="F865" t="b">
        <v>1</v>
      </c>
      <c r="G865" t="b">
        <v>0</v>
      </c>
      <c r="H865" t="s">
        <v>53</v>
      </c>
      <c r="I865" t="s">
        <v>63</v>
      </c>
      <c r="J865" t="s">
        <v>54</v>
      </c>
      <c r="K865" t="s">
        <v>37</v>
      </c>
      <c r="L865" t="s">
        <v>38</v>
      </c>
      <c r="M865" t="s">
        <v>47</v>
      </c>
      <c r="N865" t="s">
        <v>46</v>
      </c>
      <c r="P865" t="b">
        <v>1</v>
      </c>
      <c r="Q865">
        <v>7.8</v>
      </c>
      <c r="R865" t="b">
        <v>1</v>
      </c>
      <c r="S865" t="s">
        <v>75</v>
      </c>
      <c r="T865">
        <v>28.5</v>
      </c>
      <c r="U865">
        <v>80.37</v>
      </c>
      <c r="V865" t="b">
        <v>1</v>
      </c>
      <c r="W865" t="s">
        <v>41</v>
      </c>
    </row>
    <row r="866" spans="1:23" x14ac:dyDescent="0.25">
      <c r="A866" t="s">
        <v>23</v>
      </c>
      <c r="B866" t="s">
        <v>66</v>
      </c>
      <c r="C866">
        <v>66.87</v>
      </c>
      <c r="D866">
        <v>420</v>
      </c>
      <c r="E866" t="b">
        <v>1</v>
      </c>
      <c r="F866" t="b">
        <v>0</v>
      </c>
      <c r="G866" t="b">
        <v>1</v>
      </c>
      <c r="H866" t="s">
        <v>43</v>
      </c>
      <c r="I866" t="s">
        <v>26</v>
      </c>
      <c r="J866" t="s">
        <v>45</v>
      </c>
      <c r="K866" t="s">
        <v>46</v>
      </c>
      <c r="L866" t="s">
        <v>69</v>
      </c>
      <c r="M866" t="s">
        <v>28</v>
      </c>
      <c r="O866" t="b">
        <v>0</v>
      </c>
      <c r="P866" t="b">
        <v>0</v>
      </c>
      <c r="Q866">
        <v>8.1</v>
      </c>
      <c r="R866" t="b">
        <v>0</v>
      </c>
      <c r="T866">
        <v>0</v>
      </c>
      <c r="U866">
        <v>59.27</v>
      </c>
      <c r="V866" t="b">
        <v>0</v>
      </c>
      <c r="W866" t="s">
        <v>58</v>
      </c>
    </row>
    <row r="867" spans="1:23" x14ac:dyDescent="0.25">
      <c r="A867" t="s">
        <v>61</v>
      </c>
      <c r="B867" t="s">
        <v>59</v>
      </c>
      <c r="C867">
        <v>82.13</v>
      </c>
      <c r="D867">
        <v>542</v>
      </c>
      <c r="E867" t="b">
        <v>1</v>
      </c>
      <c r="F867" t="b">
        <v>1</v>
      </c>
      <c r="G867" t="b">
        <v>1</v>
      </c>
      <c r="H867" t="s">
        <v>43</v>
      </c>
      <c r="I867" t="s">
        <v>44</v>
      </c>
      <c r="J867" t="s">
        <v>54</v>
      </c>
      <c r="K867" t="s">
        <v>46</v>
      </c>
      <c r="L867" t="s">
        <v>38</v>
      </c>
      <c r="M867" t="s">
        <v>39</v>
      </c>
      <c r="P867" t="b">
        <v>0</v>
      </c>
      <c r="Q867">
        <v>9.8000000000000007</v>
      </c>
      <c r="R867" t="b">
        <v>0</v>
      </c>
      <c r="T867">
        <v>0</v>
      </c>
      <c r="U867">
        <v>95.48</v>
      </c>
      <c r="V867" t="b">
        <v>1</v>
      </c>
      <c r="W867" t="s">
        <v>58</v>
      </c>
    </row>
    <row r="868" spans="1:23" x14ac:dyDescent="0.25">
      <c r="A868" t="s">
        <v>56</v>
      </c>
      <c r="B868" t="s">
        <v>33</v>
      </c>
      <c r="C868">
        <v>85.54</v>
      </c>
      <c r="D868">
        <v>629</v>
      </c>
      <c r="E868" t="b">
        <v>1</v>
      </c>
      <c r="F868" t="b">
        <v>0</v>
      </c>
      <c r="G868" t="b">
        <v>1</v>
      </c>
      <c r="H868" t="s">
        <v>53</v>
      </c>
      <c r="I868" t="s">
        <v>44</v>
      </c>
      <c r="J868" t="s">
        <v>45</v>
      </c>
      <c r="K868" t="s">
        <v>39</v>
      </c>
      <c r="L868" t="s">
        <v>51</v>
      </c>
      <c r="M868" t="s">
        <v>28</v>
      </c>
      <c r="N868" t="s">
        <v>39</v>
      </c>
      <c r="O868" t="b">
        <v>0</v>
      </c>
      <c r="P868" t="b">
        <v>1</v>
      </c>
      <c r="Q868">
        <v>8.9</v>
      </c>
      <c r="R868" t="b">
        <v>0</v>
      </c>
      <c r="T868">
        <v>0</v>
      </c>
      <c r="U868">
        <v>74.56</v>
      </c>
      <c r="V868" t="b">
        <v>1</v>
      </c>
      <c r="W868" t="s">
        <v>58</v>
      </c>
    </row>
    <row r="869" spans="1:23" x14ac:dyDescent="0.25">
      <c r="A869" t="s">
        <v>32</v>
      </c>
      <c r="B869" t="s">
        <v>59</v>
      </c>
      <c r="C869">
        <v>75.069999999999993</v>
      </c>
      <c r="D869">
        <v>215</v>
      </c>
      <c r="E869" t="b">
        <v>1</v>
      </c>
      <c r="F869" t="b">
        <v>1</v>
      </c>
      <c r="G869" t="b">
        <v>0</v>
      </c>
      <c r="H869" t="s">
        <v>34</v>
      </c>
      <c r="I869" t="s">
        <v>57</v>
      </c>
      <c r="J869" t="s">
        <v>27</v>
      </c>
      <c r="K869" t="s">
        <v>39</v>
      </c>
      <c r="L869" t="s">
        <v>51</v>
      </c>
      <c r="M869" t="s">
        <v>46</v>
      </c>
      <c r="P869" t="b">
        <v>0</v>
      </c>
      <c r="Q869">
        <v>8.4</v>
      </c>
      <c r="R869" t="b">
        <v>1</v>
      </c>
      <c r="S869" t="s">
        <v>55</v>
      </c>
      <c r="T869">
        <v>37.700000000000003</v>
      </c>
      <c r="U869">
        <v>76.739999999999995</v>
      </c>
      <c r="V869" t="b">
        <v>1</v>
      </c>
      <c r="W869" t="s">
        <v>31</v>
      </c>
    </row>
    <row r="870" spans="1:23" x14ac:dyDescent="0.25">
      <c r="A870" t="s">
        <v>74</v>
      </c>
      <c r="B870" t="s">
        <v>66</v>
      </c>
      <c r="C870">
        <v>78.319999999999993</v>
      </c>
      <c r="D870">
        <v>783</v>
      </c>
      <c r="E870" t="b">
        <v>1</v>
      </c>
      <c r="F870" t="b">
        <v>0</v>
      </c>
      <c r="G870" t="b">
        <v>0</v>
      </c>
      <c r="H870" t="s">
        <v>34</v>
      </c>
      <c r="I870" t="s">
        <v>67</v>
      </c>
      <c r="J870" t="s">
        <v>54</v>
      </c>
      <c r="K870" t="s">
        <v>28</v>
      </c>
      <c r="L870" t="s">
        <v>51</v>
      </c>
      <c r="M870" t="s">
        <v>28</v>
      </c>
      <c r="N870" t="s">
        <v>39</v>
      </c>
      <c r="O870" t="b">
        <v>1</v>
      </c>
      <c r="P870" t="b">
        <v>1</v>
      </c>
      <c r="Q870">
        <v>10</v>
      </c>
      <c r="R870" t="b">
        <v>0</v>
      </c>
      <c r="T870">
        <v>0</v>
      </c>
      <c r="U870">
        <v>72.11</v>
      </c>
      <c r="V870" t="b">
        <v>0</v>
      </c>
      <c r="W870" t="s">
        <v>58</v>
      </c>
    </row>
    <row r="871" spans="1:23" x14ac:dyDescent="0.25">
      <c r="A871" t="s">
        <v>68</v>
      </c>
      <c r="B871" t="s">
        <v>33</v>
      </c>
      <c r="C871">
        <v>83.81</v>
      </c>
      <c r="D871">
        <v>352</v>
      </c>
      <c r="E871" t="b">
        <v>0</v>
      </c>
      <c r="F871" t="b">
        <v>1</v>
      </c>
      <c r="G871" t="b">
        <v>1</v>
      </c>
      <c r="H871" t="s">
        <v>43</v>
      </c>
      <c r="I871" t="s">
        <v>67</v>
      </c>
      <c r="J871" t="s">
        <v>45</v>
      </c>
      <c r="K871" t="s">
        <v>39</v>
      </c>
      <c r="L871" t="s">
        <v>69</v>
      </c>
      <c r="M871" t="s">
        <v>47</v>
      </c>
      <c r="N871" t="s">
        <v>46</v>
      </c>
      <c r="P871" t="b">
        <v>1</v>
      </c>
      <c r="Q871">
        <v>7.6</v>
      </c>
      <c r="R871" t="b">
        <v>1</v>
      </c>
      <c r="S871" t="s">
        <v>48</v>
      </c>
      <c r="T871">
        <v>19.8</v>
      </c>
      <c r="U871">
        <v>69.73</v>
      </c>
      <c r="V871" t="b">
        <v>1</v>
      </c>
      <c r="W871" t="s">
        <v>41</v>
      </c>
    </row>
    <row r="872" spans="1:23" x14ac:dyDescent="0.25">
      <c r="A872" t="s">
        <v>74</v>
      </c>
      <c r="B872" t="s">
        <v>60</v>
      </c>
      <c r="C872">
        <v>50.12</v>
      </c>
      <c r="D872">
        <v>293</v>
      </c>
      <c r="E872" t="b">
        <v>0</v>
      </c>
      <c r="F872" t="b">
        <v>1</v>
      </c>
      <c r="G872" t="b">
        <v>1</v>
      </c>
      <c r="H872" t="s">
        <v>34</v>
      </c>
      <c r="I872" t="s">
        <v>63</v>
      </c>
      <c r="J872" t="s">
        <v>36</v>
      </c>
      <c r="K872" t="s">
        <v>39</v>
      </c>
      <c r="L872" t="s">
        <v>51</v>
      </c>
      <c r="M872" t="s">
        <v>47</v>
      </c>
      <c r="O872" t="b">
        <v>1</v>
      </c>
      <c r="P872" t="b">
        <v>1</v>
      </c>
      <c r="Q872">
        <v>5.0999999999999996</v>
      </c>
      <c r="R872" t="b">
        <v>1</v>
      </c>
      <c r="S872" t="s">
        <v>75</v>
      </c>
      <c r="T872">
        <v>27.3</v>
      </c>
      <c r="U872">
        <v>53.62</v>
      </c>
      <c r="V872" t="b">
        <v>1</v>
      </c>
      <c r="W872" t="s">
        <v>41</v>
      </c>
    </row>
    <row r="873" spans="1:23" x14ac:dyDescent="0.25">
      <c r="A873" t="s">
        <v>56</v>
      </c>
      <c r="B873" t="s">
        <v>33</v>
      </c>
      <c r="C873">
        <v>82.35</v>
      </c>
      <c r="D873">
        <v>764</v>
      </c>
      <c r="E873" t="b">
        <v>1</v>
      </c>
      <c r="F873" t="b">
        <v>1</v>
      </c>
      <c r="G873" t="b">
        <v>0</v>
      </c>
      <c r="H873" t="s">
        <v>53</v>
      </c>
      <c r="I873" t="s">
        <v>67</v>
      </c>
      <c r="J873" t="s">
        <v>27</v>
      </c>
      <c r="K873" t="s">
        <v>39</v>
      </c>
      <c r="L873" t="s">
        <v>37</v>
      </c>
      <c r="M873" t="s">
        <v>46</v>
      </c>
      <c r="N873" t="s">
        <v>46</v>
      </c>
      <c r="O873" t="b">
        <v>1</v>
      </c>
      <c r="P873" t="b">
        <v>1</v>
      </c>
      <c r="Q873">
        <v>10</v>
      </c>
      <c r="R873" t="b">
        <v>0</v>
      </c>
      <c r="T873">
        <v>0</v>
      </c>
      <c r="U873">
        <v>83.62</v>
      </c>
      <c r="V873" t="b">
        <v>1</v>
      </c>
      <c r="W873" t="s">
        <v>58</v>
      </c>
    </row>
    <row r="874" spans="1:23" x14ac:dyDescent="0.25">
      <c r="A874" t="s">
        <v>68</v>
      </c>
      <c r="B874" t="s">
        <v>42</v>
      </c>
      <c r="C874">
        <v>82.34</v>
      </c>
      <c r="D874">
        <v>320</v>
      </c>
      <c r="E874" t="b">
        <v>1</v>
      </c>
      <c r="F874" t="b">
        <v>0</v>
      </c>
      <c r="G874" t="b">
        <v>0</v>
      </c>
      <c r="H874" t="s">
        <v>34</v>
      </c>
      <c r="I874" t="s">
        <v>35</v>
      </c>
      <c r="J874" t="s">
        <v>27</v>
      </c>
      <c r="K874" t="s">
        <v>46</v>
      </c>
      <c r="L874" t="s">
        <v>37</v>
      </c>
      <c r="M874" t="s">
        <v>47</v>
      </c>
      <c r="N874" t="s">
        <v>28</v>
      </c>
      <c r="P874" t="b">
        <v>0</v>
      </c>
      <c r="Q874">
        <v>8.6999999999999993</v>
      </c>
      <c r="R874" t="b">
        <v>1</v>
      </c>
      <c r="S874" t="s">
        <v>52</v>
      </c>
      <c r="T874">
        <v>32.5</v>
      </c>
      <c r="U874">
        <v>89.17</v>
      </c>
      <c r="V874" t="b">
        <v>1</v>
      </c>
      <c r="W874" t="s">
        <v>31</v>
      </c>
    </row>
    <row r="875" spans="1:23" x14ac:dyDescent="0.25">
      <c r="A875" t="s">
        <v>74</v>
      </c>
      <c r="B875" t="s">
        <v>42</v>
      </c>
      <c r="C875">
        <v>83.27</v>
      </c>
      <c r="D875">
        <v>496</v>
      </c>
      <c r="E875" t="b">
        <v>1</v>
      </c>
      <c r="F875" t="b">
        <v>0</v>
      </c>
      <c r="G875" t="b">
        <v>1</v>
      </c>
      <c r="H875" t="s">
        <v>25</v>
      </c>
      <c r="I875" t="s">
        <v>44</v>
      </c>
      <c r="J875" t="s">
        <v>36</v>
      </c>
      <c r="K875" t="s">
        <v>37</v>
      </c>
      <c r="L875" t="s">
        <v>37</v>
      </c>
      <c r="M875" t="s">
        <v>46</v>
      </c>
      <c r="N875" t="s">
        <v>39</v>
      </c>
      <c r="O875" t="b">
        <v>0</v>
      </c>
      <c r="P875" t="b">
        <v>0</v>
      </c>
      <c r="Q875">
        <v>7.8</v>
      </c>
      <c r="R875" t="b">
        <v>0</v>
      </c>
      <c r="T875">
        <v>0</v>
      </c>
      <c r="U875">
        <v>89.22</v>
      </c>
      <c r="V875" t="b">
        <v>1</v>
      </c>
      <c r="W875" t="s">
        <v>31</v>
      </c>
    </row>
    <row r="876" spans="1:23" x14ac:dyDescent="0.25">
      <c r="A876" t="s">
        <v>32</v>
      </c>
      <c r="B876" t="s">
        <v>62</v>
      </c>
      <c r="C876">
        <v>67.34</v>
      </c>
      <c r="D876">
        <v>64</v>
      </c>
      <c r="E876" t="b">
        <v>1</v>
      </c>
      <c r="F876" t="b">
        <v>0</v>
      </c>
      <c r="G876" t="b">
        <v>0</v>
      </c>
      <c r="H876" t="s">
        <v>34</v>
      </c>
      <c r="I876" t="s">
        <v>35</v>
      </c>
      <c r="J876" t="s">
        <v>27</v>
      </c>
      <c r="K876" t="s">
        <v>39</v>
      </c>
      <c r="L876" t="s">
        <v>37</v>
      </c>
      <c r="M876" t="s">
        <v>39</v>
      </c>
      <c r="N876" t="s">
        <v>46</v>
      </c>
      <c r="O876" t="b">
        <v>0</v>
      </c>
      <c r="P876" t="b">
        <v>1</v>
      </c>
      <c r="Q876">
        <v>6.5</v>
      </c>
      <c r="R876" t="b">
        <v>1</v>
      </c>
      <c r="S876" t="s">
        <v>75</v>
      </c>
      <c r="T876">
        <v>30.6</v>
      </c>
      <c r="U876">
        <v>64.33</v>
      </c>
      <c r="V876" t="b">
        <v>1</v>
      </c>
      <c r="W876" t="s">
        <v>41</v>
      </c>
    </row>
    <row r="877" spans="1:23" x14ac:dyDescent="0.25">
      <c r="A877" t="s">
        <v>32</v>
      </c>
      <c r="B877" t="s">
        <v>24</v>
      </c>
      <c r="C877">
        <v>91.82</v>
      </c>
      <c r="D877">
        <v>628</v>
      </c>
      <c r="E877" t="b">
        <v>1</v>
      </c>
      <c r="F877" t="b">
        <v>0</v>
      </c>
      <c r="G877" t="b">
        <v>0</v>
      </c>
      <c r="H877" t="s">
        <v>25</v>
      </c>
      <c r="I877" t="s">
        <v>44</v>
      </c>
      <c r="J877" t="s">
        <v>50</v>
      </c>
      <c r="K877" t="s">
        <v>28</v>
      </c>
      <c r="L877" t="s">
        <v>37</v>
      </c>
      <c r="M877" t="s">
        <v>46</v>
      </c>
      <c r="N877" t="s">
        <v>46</v>
      </c>
      <c r="O877" t="b">
        <v>1</v>
      </c>
      <c r="P877" t="b">
        <v>1</v>
      </c>
      <c r="Q877">
        <v>10</v>
      </c>
      <c r="R877" t="b">
        <v>0</v>
      </c>
      <c r="T877">
        <v>0</v>
      </c>
      <c r="U877">
        <v>98.17</v>
      </c>
      <c r="V877" t="b">
        <v>1</v>
      </c>
      <c r="W877" t="s">
        <v>58</v>
      </c>
    </row>
    <row r="878" spans="1:23" x14ac:dyDescent="0.25">
      <c r="A878" t="s">
        <v>56</v>
      </c>
      <c r="B878" t="s">
        <v>71</v>
      </c>
      <c r="C878">
        <v>47.45</v>
      </c>
      <c r="D878">
        <v>536</v>
      </c>
      <c r="E878" t="b">
        <v>1</v>
      </c>
      <c r="F878" t="b">
        <v>0</v>
      </c>
      <c r="G878" t="b">
        <v>0</v>
      </c>
      <c r="H878" t="s">
        <v>53</v>
      </c>
      <c r="I878" t="s">
        <v>67</v>
      </c>
      <c r="J878" t="s">
        <v>54</v>
      </c>
      <c r="K878" t="s">
        <v>46</v>
      </c>
      <c r="L878" t="s">
        <v>69</v>
      </c>
      <c r="M878" t="s">
        <v>47</v>
      </c>
      <c r="N878" t="s">
        <v>39</v>
      </c>
      <c r="O878" t="b">
        <v>0</v>
      </c>
      <c r="P878" t="b">
        <v>1</v>
      </c>
      <c r="Q878">
        <v>5.3</v>
      </c>
      <c r="R878" t="b">
        <v>1</v>
      </c>
      <c r="S878" t="s">
        <v>55</v>
      </c>
      <c r="T878">
        <v>10.6</v>
      </c>
      <c r="U878">
        <v>38.83</v>
      </c>
      <c r="V878" t="b">
        <v>1</v>
      </c>
      <c r="W878" t="s">
        <v>41</v>
      </c>
    </row>
    <row r="879" spans="1:23" x14ac:dyDescent="0.25">
      <c r="A879" t="s">
        <v>68</v>
      </c>
      <c r="B879" t="s">
        <v>71</v>
      </c>
      <c r="C879">
        <v>56.73</v>
      </c>
      <c r="D879">
        <v>150</v>
      </c>
      <c r="E879" t="b">
        <v>1</v>
      </c>
      <c r="F879" t="b">
        <v>0</v>
      </c>
      <c r="G879" t="b">
        <v>0</v>
      </c>
      <c r="H879" t="s">
        <v>25</v>
      </c>
      <c r="I879" t="s">
        <v>35</v>
      </c>
      <c r="J879" t="s">
        <v>27</v>
      </c>
      <c r="K879" t="s">
        <v>37</v>
      </c>
      <c r="L879" t="s">
        <v>29</v>
      </c>
      <c r="M879" t="s">
        <v>46</v>
      </c>
      <c r="O879" t="b">
        <v>1</v>
      </c>
      <c r="P879" t="b">
        <v>1</v>
      </c>
      <c r="Q879">
        <v>8.1</v>
      </c>
      <c r="R879" t="b">
        <v>0</v>
      </c>
      <c r="T879">
        <v>0</v>
      </c>
      <c r="U879">
        <v>35.85</v>
      </c>
      <c r="V879" t="b">
        <v>0</v>
      </c>
      <c r="W879" t="s">
        <v>58</v>
      </c>
    </row>
    <row r="880" spans="1:23" x14ac:dyDescent="0.25">
      <c r="A880" t="s">
        <v>32</v>
      </c>
      <c r="B880" t="s">
        <v>33</v>
      </c>
      <c r="C880">
        <v>87.83</v>
      </c>
      <c r="D880">
        <v>677</v>
      </c>
      <c r="E880" t="b">
        <v>1</v>
      </c>
      <c r="F880" t="b">
        <v>0</v>
      </c>
      <c r="G880" t="b">
        <v>0</v>
      </c>
      <c r="H880" t="s">
        <v>53</v>
      </c>
      <c r="I880" t="s">
        <v>67</v>
      </c>
      <c r="J880" t="s">
        <v>50</v>
      </c>
      <c r="K880" t="s">
        <v>28</v>
      </c>
      <c r="L880" t="s">
        <v>37</v>
      </c>
      <c r="M880" t="s">
        <v>47</v>
      </c>
      <c r="N880" t="s">
        <v>46</v>
      </c>
      <c r="P880" t="b">
        <v>1</v>
      </c>
      <c r="Q880">
        <v>9.3000000000000007</v>
      </c>
      <c r="R880" t="b">
        <v>1</v>
      </c>
      <c r="S880" t="s">
        <v>40</v>
      </c>
      <c r="T880">
        <v>24.1</v>
      </c>
      <c r="U880">
        <v>93.16</v>
      </c>
      <c r="V880" t="b">
        <v>1</v>
      </c>
      <c r="W880" t="s">
        <v>31</v>
      </c>
    </row>
    <row r="881" spans="1:23" x14ac:dyDescent="0.25">
      <c r="A881" t="s">
        <v>23</v>
      </c>
      <c r="B881" t="s">
        <v>24</v>
      </c>
      <c r="C881">
        <v>85.55</v>
      </c>
      <c r="D881">
        <v>119</v>
      </c>
      <c r="E881" t="b">
        <v>0</v>
      </c>
      <c r="F881" t="b">
        <v>1</v>
      </c>
      <c r="G881" t="b">
        <v>1</v>
      </c>
      <c r="H881" t="s">
        <v>25</v>
      </c>
      <c r="I881" t="s">
        <v>44</v>
      </c>
      <c r="J881" t="s">
        <v>36</v>
      </c>
      <c r="K881" t="s">
        <v>37</v>
      </c>
      <c r="L881" t="s">
        <v>29</v>
      </c>
      <c r="M881" t="s">
        <v>47</v>
      </c>
      <c r="N881" t="s">
        <v>46</v>
      </c>
      <c r="O881" t="b">
        <v>0</v>
      </c>
      <c r="P881" t="b">
        <v>1</v>
      </c>
      <c r="Q881">
        <v>6.4</v>
      </c>
      <c r="R881" t="b">
        <v>1</v>
      </c>
      <c r="S881" t="s">
        <v>30</v>
      </c>
      <c r="T881">
        <v>33.4</v>
      </c>
      <c r="U881">
        <v>92.1</v>
      </c>
      <c r="V881" t="b">
        <v>0</v>
      </c>
      <c r="W881" t="s">
        <v>41</v>
      </c>
    </row>
    <row r="882" spans="1:23" x14ac:dyDescent="0.25">
      <c r="A882" t="s">
        <v>74</v>
      </c>
      <c r="B882" t="s">
        <v>42</v>
      </c>
      <c r="C882">
        <v>71.23</v>
      </c>
      <c r="D882">
        <v>580</v>
      </c>
      <c r="E882" t="b">
        <v>1</v>
      </c>
      <c r="F882" t="b">
        <v>0</v>
      </c>
      <c r="G882" t="b">
        <v>0</v>
      </c>
      <c r="H882" t="s">
        <v>53</v>
      </c>
      <c r="I882" t="s">
        <v>26</v>
      </c>
      <c r="J882" t="s">
        <v>54</v>
      </c>
      <c r="K882" t="s">
        <v>28</v>
      </c>
      <c r="L882" t="s">
        <v>51</v>
      </c>
      <c r="M882" t="s">
        <v>39</v>
      </c>
      <c r="N882" t="s">
        <v>46</v>
      </c>
      <c r="O882" t="b">
        <v>0</v>
      </c>
      <c r="P882" t="b">
        <v>0</v>
      </c>
      <c r="Q882">
        <v>8</v>
      </c>
      <c r="R882" t="b">
        <v>1</v>
      </c>
      <c r="S882" t="s">
        <v>52</v>
      </c>
      <c r="T882">
        <v>5.4</v>
      </c>
      <c r="U882">
        <v>65.430000000000007</v>
      </c>
      <c r="V882" t="b">
        <v>1</v>
      </c>
      <c r="W882" t="s">
        <v>31</v>
      </c>
    </row>
    <row r="883" spans="1:23" x14ac:dyDescent="0.25">
      <c r="A883" t="s">
        <v>56</v>
      </c>
      <c r="B883" t="s">
        <v>49</v>
      </c>
      <c r="C883">
        <v>68.75</v>
      </c>
      <c r="D883">
        <v>799</v>
      </c>
      <c r="E883" t="b">
        <v>1</v>
      </c>
      <c r="F883" t="b">
        <v>1</v>
      </c>
      <c r="G883" t="b">
        <v>1</v>
      </c>
      <c r="H883" t="s">
        <v>34</v>
      </c>
      <c r="I883" t="s">
        <v>44</v>
      </c>
      <c r="J883" t="s">
        <v>54</v>
      </c>
      <c r="K883" t="s">
        <v>28</v>
      </c>
      <c r="L883" t="s">
        <v>37</v>
      </c>
      <c r="M883" t="s">
        <v>28</v>
      </c>
      <c r="N883" t="s">
        <v>39</v>
      </c>
      <c r="O883" t="b">
        <v>0</v>
      </c>
      <c r="P883" t="b">
        <v>1</v>
      </c>
      <c r="Q883">
        <v>6.9</v>
      </c>
      <c r="R883" t="b">
        <v>0</v>
      </c>
      <c r="T883">
        <v>0</v>
      </c>
      <c r="U883">
        <v>79.67</v>
      </c>
      <c r="V883" t="b">
        <v>1</v>
      </c>
      <c r="W883" t="s">
        <v>31</v>
      </c>
    </row>
    <row r="884" spans="1:23" x14ac:dyDescent="0.25">
      <c r="A884" t="s">
        <v>74</v>
      </c>
      <c r="B884" t="s">
        <v>60</v>
      </c>
      <c r="C884">
        <v>49.74</v>
      </c>
      <c r="D884">
        <v>755</v>
      </c>
      <c r="E884" t="b">
        <v>1</v>
      </c>
      <c r="F884" t="b">
        <v>1</v>
      </c>
      <c r="G884" t="b">
        <v>1</v>
      </c>
      <c r="H884" t="s">
        <v>25</v>
      </c>
      <c r="I884" t="s">
        <v>44</v>
      </c>
      <c r="J884" t="s">
        <v>50</v>
      </c>
      <c r="K884" t="s">
        <v>37</v>
      </c>
      <c r="L884" t="s">
        <v>38</v>
      </c>
      <c r="M884" t="s">
        <v>47</v>
      </c>
      <c r="P884" t="b">
        <v>1</v>
      </c>
      <c r="Q884">
        <v>5</v>
      </c>
      <c r="R884" t="b">
        <v>1</v>
      </c>
      <c r="S884" t="s">
        <v>75</v>
      </c>
      <c r="T884">
        <v>41.3</v>
      </c>
      <c r="U884">
        <v>63.68</v>
      </c>
      <c r="V884" t="b">
        <v>1</v>
      </c>
      <c r="W884" t="s">
        <v>41</v>
      </c>
    </row>
    <row r="885" spans="1:23" x14ac:dyDescent="0.25">
      <c r="A885" t="s">
        <v>68</v>
      </c>
      <c r="B885" t="s">
        <v>60</v>
      </c>
      <c r="C885">
        <v>49.2</v>
      </c>
      <c r="D885">
        <v>743</v>
      </c>
      <c r="E885" t="b">
        <v>0</v>
      </c>
      <c r="F885" t="b">
        <v>1</v>
      </c>
      <c r="G885" t="b">
        <v>1</v>
      </c>
      <c r="H885" t="s">
        <v>34</v>
      </c>
      <c r="I885" t="s">
        <v>44</v>
      </c>
      <c r="J885" t="s">
        <v>45</v>
      </c>
      <c r="K885" t="s">
        <v>28</v>
      </c>
      <c r="L885" t="s">
        <v>38</v>
      </c>
      <c r="M885" t="s">
        <v>46</v>
      </c>
      <c r="N885" t="s">
        <v>46</v>
      </c>
      <c r="P885" t="b">
        <v>0</v>
      </c>
      <c r="Q885">
        <v>6</v>
      </c>
      <c r="R885" t="b">
        <v>0</v>
      </c>
      <c r="T885">
        <v>0</v>
      </c>
      <c r="U885">
        <v>40.19</v>
      </c>
      <c r="V885" t="b">
        <v>1</v>
      </c>
      <c r="W885" t="s">
        <v>31</v>
      </c>
    </row>
    <row r="886" spans="1:23" x14ac:dyDescent="0.25">
      <c r="A886" t="s">
        <v>32</v>
      </c>
      <c r="B886" t="s">
        <v>49</v>
      </c>
      <c r="C886">
        <v>60.57</v>
      </c>
      <c r="D886">
        <v>50</v>
      </c>
      <c r="E886" t="b">
        <v>1</v>
      </c>
      <c r="F886" t="b">
        <v>1</v>
      </c>
      <c r="G886" t="b">
        <v>1</v>
      </c>
      <c r="H886" t="s">
        <v>43</v>
      </c>
      <c r="I886" t="s">
        <v>67</v>
      </c>
      <c r="J886" t="s">
        <v>27</v>
      </c>
      <c r="K886" t="s">
        <v>39</v>
      </c>
      <c r="L886" t="s">
        <v>38</v>
      </c>
      <c r="M886" t="s">
        <v>39</v>
      </c>
      <c r="O886" t="b">
        <v>1</v>
      </c>
      <c r="P886" t="b">
        <v>1</v>
      </c>
      <c r="Q886">
        <v>8.8000000000000007</v>
      </c>
      <c r="R886" t="b">
        <v>1</v>
      </c>
      <c r="S886" t="s">
        <v>65</v>
      </c>
      <c r="T886">
        <v>16.2</v>
      </c>
      <c r="U886">
        <v>47.68</v>
      </c>
      <c r="V886" t="b">
        <v>0</v>
      </c>
      <c r="W886" t="s">
        <v>31</v>
      </c>
    </row>
    <row r="887" spans="1:23" x14ac:dyDescent="0.25">
      <c r="A887" t="s">
        <v>23</v>
      </c>
      <c r="B887" t="s">
        <v>76</v>
      </c>
      <c r="C887">
        <v>81.099999999999994</v>
      </c>
      <c r="D887">
        <v>79</v>
      </c>
      <c r="E887" t="b">
        <v>0</v>
      </c>
      <c r="F887" t="b">
        <v>0</v>
      </c>
      <c r="G887" t="b">
        <v>1</v>
      </c>
      <c r="H887" t="s">
        <v>53</v>
      </c>
      <c r="I887" t="s">
        <v>26</v>
      </c>
      <c r="J887" t="s">
        <v>36</v>
      </c>
      <c r="K887" t="s">
        <v>28</v>
      </c>
      <c r="L887" t="s">
        <v>69</v>
      </c>
      <c r="M887" t="s">
        <v>46</v>
      </c>
      <c r="N887" t="s">
        <v>28</v>
      </c>
      <c r="O887" t="b">
        <v>1</v>
      </c>
      <c r="P887" t="b">
        <v>0</v>
      </c>
      <c r="Q887">
        <v>10</v>
      </c>
      <c r="R887" t="b">
        <v>1</v>
      </c>
      <c r="S887" t="s">
        <v>64</v>
      </c>
      <c r="T887">
        <v>18.899999999999999</v>
      </c>
      <c r="U887">
        <v>66.8</v>
      </c>
      <c r="V887" t="b">
        <v>0</v>
      </c>
      <c r="W887" t="s">
        <v>31</v>
      </c>
    </row>
    <row r="888" spans="1:23" x14ac:dyDescent="0.25">
      <c r="A888" t="s">
        <v>23</v>
      </c>
      <c r="B888" t="s">
        <v>24</v>
      </c>
      <c r="C888">
        <v>85.8</v>
      </c>
      <c r="D888">
        <v>258</v>
      </c>
      <c r="E888" t="b">
        <v>0</v>
      </c>
      <c r="F888" t="b">
        <v>1</v>
      </c>
      <c r="G888" t="b">
        <v>1</v>
      </c>
      <c r="H888" t="s">
        <v>34</v>
      </c>
      <c r="I888" t="s">
        <v>57</v>
      </c>
      <c r="J888" t="s">
        <v>54</v>
      </c>
      <c r="K888" t="s">
        <v>37</v>
      </c>
      <c r="L888" t="s">
        <v>38</v>
      </c>
      <c r="M888" t="s">
        <v>46</v>
      </c>
      <c r="N888" t="s">
        <v>46</v>
      </c>
      <c r="O888" t="b">
        <v>0</v>
      </c>
      <c r="P888" t="b">
        <v>0</v>
      </c>
      <c r="Q888">
        <v>7.4</v>
      </c>
      <c r="R888" t="b">
        <v>0</v>
      </c>
      <c r="T888">
        <v>0</v>
      </c>
      <c r="U888">
        <v>78.3</v>
      </c>
      <c r="V888" t="b">
        <v>1</v>
      </c>
      <c r="W888" t="s">
        <v>31</v>
      </c>
    </row>
    <row r="889" spans="1:23" x14ac:dyDescent="0.25">
      <c r="A889" t="s">
        <v>68</v>
      </c>
      <c r="B889" t="s">
        <v>70</v>
      </c>
      <c r="C889">
        <v>75.89</v>
      </c>
      <c r="D889">
        <v>758</v>
      </c>
      <c r="E889" t="b">
        <v>1</v>
      </c>
      <c r="F889" t="b">
        <v>1</v>
      </c>
      <c r="G889" t="b">
        <v>1</v>
      </c>
      <c r="H889" t="s">
        <v>34</v>
      </c>
      <c r="I889" t="s">
        <v>63</v>
      </c>
      <c r="J889" t="s">
        <v>50</v>
      </c>
      <c r="K889" t="s">
        <v>37</v>
      </c>
      <c r="L889" t="s">
        <v>37</v>
      </c>
      <c r="M889" t="s">
        <v>46</v>
      </c>
      <c r="N889" t="s">
        <v>46</v>
      </c>
      <c r="O889" t="b">
        <v>0</v>
      </c>
      <c r="P889" t="b">
        <v>0</v>
      </c>
      <c r="Q889">
        <v>7</v>
      </c>
      <c r="R889" t="b">
        <v>1</v>
      </c>
      <c r="S889" t="s">
        <v>75</v>
      </c>
      <c r="T889">
        <v>17.7</v>
      </c>
      <c r="U889">
        <v>84.34</v>
      </c>
      <c r="V889" t="b">
        <v>1</v>
      </c>
      <c r="W889" t="s">
        <v>41</v>
      </c>
    </row>
    <row r="890" spans="1:23" x14ac:dyDescent="0.25">
      <c r="A890" t="s">
        <v>68</v>
      </c>
      <c r="B890" t="s">
        <v>71</v>
      </c>
      <c r="C890">
        <v>57.46</v>
      </c>
      <c r="D890">
        <v>375</v>
      </c>
      <c r="E890" t="b">
        <v>1</v>
      </c>
      <c r="F890" t="b">
        <v>1</v>
      </c>
      <c r="G890" t="b">
        <v>1</v>
      </c>
      <c r="H890" t="s">
        <v>34</v>
      </c>
      <c r="I890" t="s">
        <v>35</v>
      </c>
      <c r="J890" t="s">
        <v>54</v>
      </c>
      <c r="K890" t="s">
        <v>46</v>
      </c>
      <c r="L890" t="s">
        <v>37</v>
      </c>
      <c r="M890" t="s">
        <v>39</v>
      </c>
      <c r="N890" t="s">
        <v>46</v>
      </c>
      <c r="P890" t="b">
        <v>1</v>
      </c>
      <c r="Q890">
        <v>6.3</v>
      </c>
      <c r="R890" t="b">
        <v>0</v>
      </c>
      <c r="T890">
        <v>0</v>
      </c>
      <c r="U890">
        <v>58.46</v>
      </c>
      <c r="V890" t="b">
        <v>1</v>
      </c>
      <c r="W890" t="s">
        <v>31</v>
      </c>
    </row>
    <row r="891" spans="1:23" x14ac:dyDescent="0.25">
      <c r="A891" t="s">
        <v>32</v>
      </c>
      <c r="B891" t="s">
        <v>66</v>
      </c>
      <c r="C891">
        <v>77.8</v>
      </c>
      <c r="D891">
        <v>514</v>
      </c>
      <c r="E891" t="b">
        <v>1</v>
      </c>
      <c r="F891" t="b">
        <v>1</v>
      </c>
      <c r="G891" t="b">
        <v>0</v>
      </c>
      <c r="H891" t="s">
        <v>25</v>
      </c>
      <c r="I891" t="s">
        <v>67</v>
      </c>
      <c r="J891" t="s">
        <v>54</v>
      </c>
      <c r="K891" t="s">
        <v>46</v>
      </c>
      <c r="L891" t="s">
        <v>37</v>
      </c>
      <c r="M891" t="s">
        <v>28</v>
      </c>
      <c r="N891" t="s">
        <v>39</v>
      </c>
      <c r="O891" t="b">
        <v>0</v>
      </c>
      <c r="P891" t="b">
        <v>1</v>
      </c>
      <c r="Q891">
        <v>9.5</v>
      </c>
      <c r="R891" t="b">
        <v>0</v>
      </c>
      <c r="T891">
        <v>0</v>
      </c>
      <c r="U891">
        <v>68.06</v>
      </c>
      <c r="V891" t="b">
        <v>0</v>
      </c>
      <c r="W891" t="s">
        <v>58</v>
      </c>
    </row>
    <row r="892" spans="1:23" x14ac:dyDescent="0.25">
      <c r="A892" t="s">
        <v>56</v>
      </c>
      <c r="B892" t="s">
        <v>24</v>
      </c>
      <c r="C892">
        <v>97.43</v>
      </c>
      <c r="D892">
        <v>409</v>
      </c>
      <c r="E892" t="b">
        <v>0</v>
      </c>
      <c r="F892" t="b">
        <v>0</v>
      </c>
      <c r="G892" t="b">
        <v>0</v>
      </c>
      <c r="H892" t="s">
        <v>25</v>
      </c>
      <c r="I892" t="s">
        <v>63</v>
      </c>
      <c r="J892" t="s">
        <v>36</v>
      </c>
      <c r="K892" t="s">
        <v>37</v>
      </c>
      <c r="L892" t="s">
        <v>37</v>
      </c>
      <c r="M892" t="s">
        <v>39</v>
      </c>
      <c r="N892" t="s">
        <v>46</v>
      </c>
      <c r="P892" t="b">
        <v>1</v>
      </c>
      <c r="Q892">
        <v>9.1999999999999993</v>
      </c>
      <c r="R892" t="b">
        <v>1</v>
      </c>
      <c r="S892" t="s">
        <v>48</v>
      </c>
      <c r="T892">
        <v>26.6</v>
      </c>
      <c r="U892">
        <v>100</v>
      </c>
      <c r="V892" t="b">
        <v>1</v>
      </c>
      <c r="W892" t="s">
        <v>31</v>
      </c>
    </row>
    <row r="893" spans="1:23" x14ac:dyDescent="0.25">
      <c r="A893" t="s">
        <v>32</v>
      </c>
      <c r="B893" t="s">
        <v>33</v>
      </c>
      <c r="C893">
        <v>81.239999999999995</v>
      </c>
      <c r="D893">
        <v>56</v>
      </c>
      <c r="E893" t="b">
        <v>0</v>
      </c>
      <c r="F893" t="b">
        <v>1</v>
      </c>
      <c r="G893" t="b">
        <v>1</v>
      </c>
      <c r="H893" t="s">
        <v>25</v>
      </c>
      <c r="I893" t="s">
        <v>63</v>
      </c>
      <c r="J893" t="s">
        <v>27</v>
      </c>
      <c r="K893" t="s">
        <v>46</v>
      </c>
      <c r="L893" t="s">
        <v>29</v>
      </c>
      <c r="M893" t="s">
        <v>47</v>
      </c>
      <c r="N893" t="s">
        <v>28</v>
      </c>
      <c r="O893" t="b">
        <v>1</v>
      </c>
      <c r="P893" t="b">
        <v>0</v>
      </c>
      <c r="Q893">
        <v>8.6</v>
      </c>
      <c r="R893" t="b">
        <v>1</v>
      </c>
      <c r="S893" t="s">
        <v>52</v>
      </c>
      <c r="T893">
        <v>14.2</v>
      </c>
      <c r="U893">
        <v>73.739999999999995</v>
      </c>
      <c r="V893" t="b">
        <v>1</v>
      </c>
      <c r="W893" t="s">
        <v>31</v>
      </c>
    </row>
    <row r="894" spans="1:23" x14ac:dyDescent="0.25">
      <c r="A894" t="s">
        <v>23</v>
      </c>
      <c r="B894" t="s">
        <v>24</v>
      </c>
      <c r="C894">
        <v>96.17</v>
      </c>
      <c r="D894">
        <v>285</v>
      </c>
      <c r="E894" t="b">
        <v>1</v>
      </c>
      <c r="F894" t="b">
        <v>0</v>
      </c>
      <c r="G894" t="b">
        <v>1</v>
      </c>
      <c r="H894" t="s">
        <v>43</v>
      </c>
      <c r="I894" t="s">
        <v>57</v>
      </c>
      <c r="J894" t="s">
        <v>36</v>
      </c>
      <c r="K894" t="s">
        <v>37</v>
      </c>
      <c r="L894" t="s">
        <v>29</v>
      </c>
      <c r="M894" t="s">
        <v>47</v>
      </c>
      <c r="O894" t="b">
        <v>1</v>
      </c>
      <c r="P894" t="b">
        <v>1</v>
      </c>
      <c r="Q894">
        <v>10</v>
      </c>
      <c r="R894" t="b">
        <v>1</v>
      </c>
      <c r="S894" t="s">
        <v>40</v>
      </c>
      <c r="T894">
        <v>37.1</v>
      </c>
      <c r="U894">
        <v>100</v>
      </c>
      <c r="V894" t="b">
        <v>1</v>
      </c>
      <c r="W894" t="s">
        <v>31</v>
      </c>
    </row>
    <row r="895" spans="1:23" x14ac:dyDescent="0.25">
      <c r="A895" t="s">
        <v>61</v>
      </c>
      <c r="B895" t="s">
        <v>62</v>
      </c>
      <c r="C895">
        <v>56.98</v>
      </c>
      <c r="D895">
        <v>168</v>
      </c>
      <c r="E895" t="b">
        <v>1</v>
      </c>
      <c r="F895" t="b">
        <v>0</v>
      </c>
      <c r="G895" t="b">
        <v>1</v>
      </c>
      <c r="H895" t="s">
        <v>53</v>
      </c>
      <c r="I895" t="s">
        <v>63</v>
      </c>
      <c r="J895" t="s">
        <v>27</v>
      </c>
      <c r="K895" t="s">
        <v>37</v>
      </c>
      <c r="L895" t="s">
        <v>37</v>
      </c>
      <c r="M895" t="s">
        <v>47</v>
      </c>
      <c r="N895" t="s">
        <v>39</v>
      </c>
      <c r="O895" t="b">
        <v>1</v>
      </c>
      <c r="P895" t="b">
        <v>0</v>
      </c>
      <c r="Q895">
        <v>7</v>
      </c>
      <c r="R895" t="b">
        <v>1</v>
      </c>
      <c r="S895" t="s">
        <v>64</v>
      </c>
      <c r="T895">
        <v>27.9</v>
      </c>
      <c r="U895">
        <v>44.44</v>
      </c>
      <c r="V895" t="b">
        <v>0</v>
      </c>
      <c r="W895" t="s">
        <v>41</v>
      </c>
    </row>
    <row r="896" spans="1:23" x14ac:dyDescent="0.25">
      <c r="A896" t="s">
        <v>32</v>
      </c>
      <c r="B896" t="s">
        <v>71</v>
      </c>
      <c r="C896">
        <v>41.36</v>
      </c>
      <c r="D896">
        <v>525</v>
      </c>
      <c r="E896" t="b">
        <v>1</v>
      </c>
      <c r="F896" t="b">
        <v>0</v>
      </c>
      <c r="G896" t="b">
        <v>0</v>
      </c>
      <c r="H896" t="s">
        <v>34</v>
      </c>
      <c r="I896" t="s">
        <v>67</v>
      </c>
      <c r="J896" t="s">
        <v>50</v>
      </c>
      <c r="K896" t="s">
        <v>28</v>
      </c>
      <c r="L896" t="s">
        <v>69</v>
      </c>
      <c r="M896" t="s">
        <v>39</v>
      </c>
      <c r="P896" t="b">
        <v>0</v>
      </c>
      <c r="Q896">
        <v>5.9</v>
      </c>
      <c r="R896" t="b">
        <v>1</v>
      </c>
      <c r="S896" t="s">
        <v>75</v>
      </c>
      <c r="T896">
        <v>22.4</v>
      </c>
      <c r="U896">
        <v>19.420000000000002</v>
      </c>
      <c r="V896" t="b">
        <v>0</v>
      </c>
      <c r="W896" t="s">
        <v>41</v>
      </c>
    </row>
    <row r="897" spans="1:23" x14ac:dyDescent="0.25">
      <c r="A897" t="s">
        <v>74</v>
      </c>
      <c r="B897" t="s">
        <v>70</v>
      </c>
      <c r="C897">
        <v>82.59</v>
      </c>
      <c r="D897">
        <v>337</v>
      </c>
      <c r="E897" t="b">
        <v>1</v>
      </c>
      <c r="F897" t="b">
        <v>0</v>
      </c>
      <c r="G897" t="b">
        <v>0</v>
      </c>
      <c r="H897" t="s">
        <v>53</v>
      </c>
      <c r="I897" t="s">
        <v>35</v>
      </c>
      <c r="J897" t="s">
        <v>50</v>
      </c>
      <c r="K897" t="s">
        <v>46</v>
      </c>
      <c r="L897" t="s">
        <v>29</v>
      </c>
      <c r="M897" t="s">
        <v>28</v>
      </c>
      <c r="N897" t="s">
        <v>46</v>
      </c>
      <c r="O897" t="b">
        <v>1</v>
      </c>
      <c r="P897" t="b">
        <v>1</v>
      </c>
      <c r="Q897">
        <v>10</v>
      </c>
      <c r="R897" t="b">
        <v>0</v>
      </c>
      <c r="T897">
        <v>0</v>
      </c>
      <c r="U897">
        <v>96.18</v>
      </c>
      <c r="V897" t="b">
        <v>1</v>
      </c>
      <c r="W897" t="s">
        <v>58</v>
      </c>
    </row>
    <row r="898" spans="1:23" x14ac:dyDescent="0.25">
      <c r="A898" t="s">
        <v>32</v>
      </c>
      <c r="B898" t="s">
        <v>60</v>
      </c>
      <c r="C898">
        <v>55.61</v>
      </c>
      <c r="D898">
        <v>313</v>
      </c>
      <c r="E898" t="b">
        <v>1</v>
      </c>
      <c r="F898" t="b">
        <v>1</v>
      </c>
      <c r="G898" t="b">
        <v>1</v>
      </c>
      <c r="H898" t="s">
        <v>25</v>
      </c>
      <c r="I898" t="s">
        <v>63</v>
      </c>
      <c r="J898" t="s">
        <v>36</v>
      </c>
      <c r="K898" t="s">
        <v>28</v>
      </c>
      <c r="L898" t="s">
        <v>29</v>
      </c>
      <c r="M898" t="s">
        <v>28</v>
      </c>
      <c r="N898" t="s">
        <v>46</v>
      </c>
      <c r="O898" t="b">
        <v>0</v>
      </c>
      <c r="P898" t="b">
        <v>1</v>
      </c>
      <c r="Q898">
        <v>6.1</v>
      </c>
      <c r="R898" t="b">
        <v>1</v>
      </c>
      <c r="S898" t="s">
        <v>75</v>
      </c>
      <c r="T898">
        <v>6.2</v>
      </c>
      <c r="U898">
        <v>41.3</v>
      </c>
      <c r="V898" t="b">
        <v>1</v>
      </c>
      <c r="W898" t="s">
        <v>41</v>
      </c>
    </row>
    <row r="899" spans="1:23" x14ac:dyDescent="0.25">
      <c r="A899" t="s">
        <v>61</v>
      </c>
      <c r="B899" t="s">
        <v>66</v>
      </c>
      <c r="C899">
        <v>58.62</v>
      </c>
      <c r="D899">
        <v>725</v>
      </c>
      <c r="E899" t="b">
        <v>0</v>
      </c>
      <c r="F899" t="b">
        <v>0</v>
      </c>
      <c r="G899" t="b">
        <v>0</v>
      </c>
      <c r="H899" t="s">
        <v>25</v>
      </c>
      <c r="I899" t="s">
        <v>44</v>
      </c>
      <c r="J899" t="s">
        <v>54</v>
      </c>
      <c r="K899" t="s">
        <v>39</v>
      </c>
      <c r="L899" t="s">
        <v>38</v>
      </c>
      <c r="M899" t="s">
        <v>28</v>
      </c>
      <c r="O899" t="b">
        <v>0</v>
      </c>
      <c r="P899" t="b">
        <v>1</v>
      </c>
      <c r="Q899">
        <v>6.2</v>
      </c>
      <c r="R899" t="b">
        <v>0</v>
      </c>
      <c r="T899">
        <v>0</v>
      </c>
      <c r="U899">
        <v>60.2</v>
      </c>
      <c r="V899" t="b">
        <v>1</v>
      </c>
      <c r="W899" t="s">
        <v>31</v>
      </c>
    </row>
    <row r="900" spans="1:23" x14ac:dyDescent="0.25">
      <c r="A900" t="s">
        <v>56</v>
      </c>
      <c r="B900" t="s">
        <v>73</v>
      </c>
      <c r="C900">
        <v>49.07</v>
      </c>
      <c r="D900">
        <v>571</v>
      </c>
      <c r="E900" t="b">
        <v>1</v>
      </c>
      <c r="F900" t="b">
        <v>0</v>
      </c>
      <c r="G900" t="b">
        <v>0</v>
      </c>
      <c r="H900" t="s">
        <v>25</v>
      </c>
      <c r="I900" t="s">
        <v>44</v>
      </c>
      <c r="J900" t="s">
        <v>54</v>
      </c>
      <c r="K900" t="s">
        <v>46</v>
      </c>
      <c r="L900" t="s">
        <v>37</v>
      </c>
      <c r="M900" t="s">
        <v>28</v>
      </c>
      <c r="N900" t="s">
        <v>28</v>
      </c>
      <c r="O900" t="b">
        <v>1</v>
      </c>
      <c r="P900" t="b">
        <v>0</v>
      </c>
      <c r="Q900">
        <v>8.3000000000000007</v>
      </c>
      <c r="R900" t="b">
        <v>1</v>
      </c>
      <c r="S900" t="s">
        <v>65</v>
      </c>
      <c r="T900">
        <v>14.4</v>
      </c>
      <c r="U900">
        <v>43.36</v>
      </c>
      <c r="V900" t="b">
        <v>0</v>
      </c>
      <c r="W900" t="s">
        <v>31</v>
      </c>
    </row>
    <row r="901" spans="1:23" x14ac:dyDescent="0.25">
      <c r="A901" t="s">
        <v>23</v>
      </c>
      <c r="B901" t="s">
        <v>66</v>
      </c>
      <c r="C901">
        <v>66.849999999999994</v>
      </c>
      <c r="D901">
        <v>238</v>
      </c>
      <c r="E901" t="b">
        <v>0</v>
      </c>
      <c r="F901" t="b">
        <v>0</v>
      </c>
      <c r="G901" t="b">
        <v>0</v>
      </c>
      <c r="H901" t="s">
        <v>53</v>
      </c>
      <c r="I901" t="s">
        <v>67</v>
      </c>
      <c r="J901" t="s">
        <v>50</v>
      </c>
      <c r="K901" t="s">
        <v>39</v>
      </c>
      <c r="L901" t="s">
        <v>69</v>
      </c>
      <c r="M901" t="s">
        <v>28</v>
      </c>
      <c r="N901" t="s">
        <v>46</v>
      </c>
      <c r="P901" t="b">
        <v>1</v>
      </c>
      <c r="Q901">
        <v>8</v>
      </c>
      <c r="R901" t="b">
        <v>1</v>
      </c>
      <c r="S901" t="s">
        <v>75</v>
      </c>
      <c r="T901">
        <v>34.1</v>
      </c>
      <c r="U901">
        <v>64.05</v>
      </c>
      <c r="V901" t="b">
        <v>1</v>
      </c>
      <c r="W901" t="s">
        <v>31</v>
      </c>
    </row>
    <row r="902" spans="1:23" x14ac:dyDescent="0.25">
      <c r="A902" t="s">
        <v>74</v>
      </c>
      <c r="B902" t="s">
        <v>71</v>
      </c>
      <c r="C902">
        <v>46.25</v>
      </c>
      <c r="D902">
        <v>353</v>
      </c>
      <c r="E902" t="b">
        <v>0</v>
      </c>
      <c r="F902" t="b">
        <v>1</v>
      </c>
      <c r="G902" t="b">
        <v>0</v>
      </c>
      <c r="H902" t="s">
        <v>43</v>
      </c>
      <c r="I902" t="s">
        <v>35</v>
      </c>
      <c r="J902" t="s">
        <v>36</v>
      </c>
      <c r="K902" t="s">
        <v>39</v>
      </c>
      <c r="L902" t="s">
        <v>38</v>
      </c>
      <c r="M902" t="s">
        <v>47</v>
      </c>
      <c r="N902" t="s">
        <v>39</v>
      </c>
      <c r="O902" t="b">
        <v>1</v>
      </c>
      <c r="P902" t="b">
        <v>0</v>
      </c>
      <c r="Q902">
        <v>5.8</v>
      </c>
      <c r="R902" t="b">
        <v>1</v>
      </c>
      <c r="S902" t="s">
        <v>52</v>
      </c>
      <c r="T902">
        <v>4.7</v>
      </c>
      <c r="U902">
        <v>23.14</v>
      </c>
      <c r="V902" t="b">
        <v>0</v>
      </c>
      <c r="W902" t="s">
        <v>41</v>
      </c>
    </row>
    <row r="903" spans="1:23" x14ac:dyDescent="0.25">
      <c r="A903" t="s">
        <v>68</v>
      </c>
      <c r="B903" t="s">
        <v>73</v>
      </c>
      <c r="C903">
        <v>65.569999999999993</v>
      </c>
      <c r="D903">
        <v>205</v>
      </c>
      <c r="E903" t="b">
        <v>0</v>
      </c>
      <c r="F903" t="b">
        <v>0</v>
      </c>
      <c r="G903" t="b">
        <v>0</v>
      </c>
      <c r="H903" t="s">
        <v>34</v>
      </c>
      <c r="I903" t="s">
        <v>44</v>
      </c>
      <c r="J903" t="s">
        <v>27</v>
      </c>
      <c r="K903" t="s">
        <v>39</v>
      </c>
      <c r="L903" t="s">
        <v>69</v>
      </c>
      <c r="M903" t="s">
        <v>46</v>
      </c>
      <c r="O903" t="b">
        <v>0</v>
      </c>
      <c r="P903" t="b">
        <v>0</v>
      </c>
      <c r="Q903">
        <v>6.1</v>
      </c>
      <c r="R903" t="b">
        <v>1</v>
      </c>
      <c r="S903" t="s">
        <v>65</v>
      </c>
      <c r="T903">
        <v>44.8</v>
      </c>
      <c r="U903">
        <v>52.66</v>
      </c>
      <c r="V903" t="b">
        <v>1</v>
      </c>
      <c r="W903" t="s">
        <v>41</v>
      </c>
    </row>
    <row r="904" spans="1:23" x14ac:dyDescent="0.25">
      <c r="A904" t="s">
        <v>68</v>
      </c>
      <c r="B904" t="s">
        <v>49</v>
      </c>
      <c r="C904">
        <v>64.239999999999995</v>
      </c>
      <c r="D904">
        <v>693</v>
      </c>
      <c r="E904" t="b">
        <v>0</v>
      </c>
      <c r="F904" t="b">
        <v>1</v>
      </c>
      <c r="G904" t="b">
        <v>1</v>
      </c>
      <c r="H904" t="s">
        <v>43</v>
      </c>
      <c r="I904" t="s">
        <v>63</v>
      </c>
      <c r="J904" t="s">
        <v>27</v>
      </c>
      <c r="K904" t="s">
        <v>46</v>
      </c>
      <c r="L904" t="s">
        <v>38</v>
      </c>
      <c r="M904" t="s">
        <v>47</v>
      </c>
      <c r="N904" t="s">
        <v>28</v>
      </c>
      <c r="O904" t="b">
        <v>0</v>
      </c>
      <c r="P904" t="b">
        <v>1</v>
      </c>
      <c r="Q904">
        <v>4.7</v>
      </c>
      <c r="R904" t="b">
        <v>1</v>
      </c>
      <c r="S904" t="s">
        <v>52</v>
      </c>
      <c r="T904">
        <v>9.8000000000000007</v>
      </c>
      <c r="U904">
        <v>64.27</v>
      </c>
      <c r="V904" t="b">
        <v>1</v>
      </c>
      <c r="W904" t="s">
        <v>72</v>
      </c>
    </row>
    <row r="905" spans="1:23" x14ac:dyDescent="0.25">
      <c r="A905" t="s">
        <v>32</v>
      </c>
      <c r="B905" t="s">
        <v>76</v>
      </c>
      <c r="C905">
        <v>85.35</v>
      </c>
      <c r="D905">
        <v>378</v>
      </c>
      <c r="E905" t="b">
        <v>1</v>
      </c>
      <c r="F905" t="b">
        <v>1</v>
      </c>
      <c r="G905" t="b">
        <v>0</v>
      </c>
      <c r="H905" t="s">
        <v>34</v>
      </c>
      <c r="I905" t="s">
        <v>57</v>
      </c>
      <c r="J905" t="s">
        <v>54</v>
      </c>
      <c r="K905" t="s">
        <v>37</v>
      </c>
      <c r="L905" t="s">
        <v>37</v>
      </c>
      <c r="M905" t="s">
        <v>28</v>
      </c>
      <c r="N905" t="s">
        <v>28</v>
      </c>
      <c r="O905" t="b">
        <v>1</v>
      </c>
      <c r="P905" t="b">
        <v>1</v>
      </c>
      <c r="Q905">
        <v>10</v>
      </c>
      <c r="R905" t="b">
        <v>0</v>
      </c>
      <c r="T905">
        <v>0</v>
      </c>
      <c r="U905">
        <v>71.03</v>
      </c>
      <c r="V905" t="b">
        <v>0</v>
      </c>
      <c r="W905" t="s">
        <v>58</v>
      </c>
    </row>
    <row r="906" spans="1:23" x14ac:dyDescent="0.25">
      <c r="A906" t="s">
        <v>23</v>
      </c>
      <c r="B906" t="s">
        <v>42</v>
      </c>
      <c r="C906">
        <v>82.63</v>
      </c>
      <c r="D906">
        <v>342</v>
      </c>
      <c r="E906" t="b">
        <v>1</v>
      </c>
      <c r="F906" t="b">
        <v>1</v>
      </c>
      <c r="G906" t="b">
        <v>0</v>
      </c>
      <c r="H906" t="s">
        <v>53</v>
      </c>
      <c r="I906" t="s">
        <v>67</v>
      </c>
      <c r="J906" t="s">
        <v>50</v>
      </c>
      <c r="K906" t="s">
        <v>37</v>
      </c>
      <c r="L906" t="s">
        <v>51</v>
      </c>
      <c r="M906" t="s">
        <v>46</v>
      </c>
      <c r="N906" t="s">
        <v>46</v>
      </c>
      <c r="P906" t="b">
        <v>0</v>
      </c>
      <c r="Q906">
        <v>9.1999999999999993</v>
      </c>
      <c r="R906" t="b">
        <v>0</v>
      </c>
      <c r="T906">
        <v>0</v>
      </c>
      <c r="U906">
        <v>86.52</v>
      </c>
      <c r="V906" t="b">
        <v>1</v>
      </c>
      <c r="W906" t="s">
        <v>58</v>
      </c>
    </row>
    <row r="907" spans="1:23" x14ac:dyDescent="0.25">
      <c r="A907" t="s">
        <v>68</v>
      </c>
      <c r="B907" t="s">
        <v>42</v>
      </c>
      <c r="C907">
        <v>84.11</v>
      </c>
      <c r="D907">
        <v>393</v>
      </c>
      <c r="E907" t="b">
        <v>0</v>
      </c>
      <c r="F907" t="b">
        <v>0</v>
      </c>
      <c r="G907" t="b">
        <v>1</v>
      </c>
      <c r="H907" t="s">
        <v>53</v>
      </c>
      <c r="I907" t="s">
        <v>67</v>
      </c>
      <c r="J907" t="s">
        <v>45</v>
      </c>
      <c r="K907" t="s">
        <v>39</v>
      </c>
      <c r="L907" t="s">
        <v>69</v>
      </c>
      <c r="M907" t="s">
        <v>39</v>
      </c>
      <c r="O907" t="b">
        <v>0</v>
      </c>
      <c r="P907" t="b">
        <v>1</v>
      </c>
      <c r="Q907">
        <v>8.3000000000000007</v>
      </c>
      <c r="R907" t="b">
        <v>1</v>
      </c>
      <c r="S907" t="s">
        <v>65</v>
      </c>
      <c r="T907">
        <v>35.5</v>
      </c>
      <c r="U907">
        <v>69.83</v>
      </c>
      <c r="V907" t="b">
        <v>1</v>
      </c>
      <c r="W907" t="s">
        <v>31</v>
      </c>
    </row>
    <row r="908" spans="1:23" x14ac:dyDescent="0.25">
      <c r="A908" t="s">
        <v>61</v>
      </c>
      <c r="B908" t="s">
        <v>33</v>
      </c>
      <c r="C908">
        <v>81.13</v>
      </c>
      <c r="D908">
        <v>784</v>
      </c>
      <c r="E908" t="b">
        <v>0</v>
      </c>
      <c r="F908" t="b">
        <v>0</v>
      </c>
      <c r="G908" t="b">
        <v>1</v>
      </c>
      <c r="H908" t="s">
        <v>25</v>
      </c>
      <c r="I908" t="s">
        <v>26</v>
      </c>
      <c r="J908" t="s">
        <v>45</v>
      </c>
      <c r="K908" t="s">
        <v>28</v>
      </c>
      <c r="L908" t="s">
        <v>69</v>
      </c>
      <c r="M908" t="s">
        <v>28</v>
      </c>
      <c r="O908" t="b">
        <v>0</v>
      </c>
      <c r="P908" t="b">
        <v>1</v>
      </c>
      <c r="Q908">
        <v>9.1999999999999993</v>
      </c>
      <c r="R908" t="b">
        <v>0</v>
      </c>
      <c r="T908">
        <v>0</v>
      </c>
      <c r="U908">
        <v>81.48</v>
      </c>
      <c r="V908" t="b">
        <v>1</v>
      </c>
      <c r="W908" t="s">
        <v>58</v>
      </c>
    </row>
    <row r="909" spans="1:23" x14ac:dyDescent="0.25">
      <c r="A909" t="s">
        <v>68</v>
      </c>
      <c r="B909" t="s">
        <v>71</v>
      </c>
      <c r="C909">
        <v>59.98</v>
      </c>
      <c r="D909">
        <v>641</v>
      </c>
      <c r="E909" t="b">
        <v>0</v>
      </c>
      <c r="F909" t="b">
        <v>0</v>
      </c>
      <c r="G909" t="b">
        <v>0</v>
      </c>
      <c r="H909" t="s">
        <v>34</v>
      </c>
      <c r="I909" t="s">
        <v>44</v>
      </c>
      <c r="J909" t="s">
        <v>36</v>
      </c>
      <c r="K909" t="s">
        <v>28</v>
      </c>
      <c r="L909" t="s">
        <v>29</v>
      </c>
      <c r="M909" t="s">
        <v>28</v>
      </c>
      <c r="P909" t="b">
        <v>0</v>
      </c>
      <c r="Q909">
        <v>6.9</v>
      </c>
      <c r="R909" t="b">
        <v>1</v>
      </c>
      <c r="S909" t="s">
        <v>40</v>
      </c>
      <c r="T909">
        <v>41.5</v>
      </c>
      <c r="U909">
        <v>49.84</v>
      </c>
      <c r="V909" t="b">
        <v>1</v>
      </c>
      <c r="W909" t="s">
        <v>41</v>
      </c>
    </row>
    <row r="910" spans="1:23" x14ac:dyDescent="0.25">
      <c r="A910" t="s">
        <v>23</v>
      </c>
      <c r="B910" t="s">
        <v>60</v>
      </c>
      <c r="C910">
        <v>43.58</v>
      </c>
      <c r="D910">
        <v>63</v>
      </c>
      <c r="E910" t="b">
        <v>0</v>
      </c>
      <c r="F910" t="b">
        <v>1</v>
      </c>
      <c r="G910" t="b">
        <v>1</v>
      </c>
      <c r="H910" t="s">
        <v>53</v>
      </c>
      <c r="I910" t="s">
        <v>63</v>
      </c>
      <c r="J910" t="s">
        <v>54</v>
      </c>
      <c r="K910" t="s">
        <v>39</v>
      </c>
      <c r="L910" t="s">
        <v>69</v>
      </c>
      <c r="M910" t="s">
        <v>46</v>
      </c>
      <c r="N910" t="s">
        <v>39</v>
      </c>
      <c r="O910" t="b">
        <v>0</v>
      </c>
      <c r="P910" t="b">
        <v>0</v>
      </c>
      <c r="Q910">
        <v>3.7</v>
      </c>
      <c r="R910" t="b">
        <v>1</v>
      </c>
      <c r="S910" t="s">
        <v>75</v>
      </c>
      <c r="T910">
        <v>40.700000000000003</v>
      </c>
      <c r="U910">
        <v>42.21</v>
      </c>
      <c r="V910" t="b">
        <v>1</v>
      </c>
      <c r="W910" t="s">
        <v>72</v>
      </c>
    </row>
    <row r="911" spans="1:23" x14ac:dyDescent="0.25">
      <c r="A911" t="s">
        <v>74</v>
      </c>
      <c r="B911" t="s">
        <v>59</v>
      </c>
      <c r="C911">
        <v>90.28</v>
      </c>
      <c r="D911">
        <v>251</v>
      </c>
      <c r="E911" t="b">
        <v>1</v>
      </c>
      <c r="F911" t="b">
        <v>0</v>
      </c>
      <c r="G911" t="b">
        <v>0</v>
      </c>
      <c r="H911" t="s">
        <v>25</v>
      </c>
      <c r="I911" t="s">
        <v>67</v>
      </c>
      <c r="J911" t="s">
        <v>36</v>
      </c>
      <c r="K911" t="s">
        <v>46</v>
      </c>
      <c r="L911" t="s">
        <v>51</v>
      </c>
      <c r="M911" t="s">
        <v>46</v>
      </c>
      <c r="N911" t="s">
        <v>46</v>
      </c>
      <c r="O911" t="b">
        <v>1</v>
      </c>
      <c r="P911" t="b">
        <v>0</v>
      </c>
      <c r="Q911">
        <v>10</v>
      </c>
      <c r="R911" t="b">
        <v>1</v>
      </c>
      <c r="S911" t="s">
        <v>30</v>
      </c>
      <c r="T911">
        <v>27.2</v>
      </c>
      <c r="U911">
        <v>92.28</v>
      </c>
      <c r="V911" t="b">
        <v>1</v>
      </c>
      <c r="W911" t="s">
        <v>31</v>
      </c>
    </row>
    <row r="912" spans="1:23" x14ac:dyDescent="0.25">
      <c r="A912" t="s">
        <v>68</v>
      </c>
      <c r="B912" t="s">
        <v>24</v>
      </c>
      <c r="C912">
        <v>90.24</v>
      </c>
      <c r="D912">
        <v>140</v>
      </c>
      <c r="E912" t="b">
        <v>1</v>
      </c>
      <c r="F912" t="b">
        <v>1</v>
      </c>
      <c r="G912" t="b">
        <v>0</v>
      </c>
      <c r="H912" t="s">
        <v>43</v>
      </c>
      <c r="I912" t="s">
        <v>35</v>
      </c>
      <c r="J912" t="s">
        <v>50</v>
      </c>
      <c r="K912" t="s">
        <v>28</v>
      </c>
      <c r="L912" t="s">
        <v>38</v>
      </c>
      <c r="M912" t="s">
        <v>39</v>
      </c>
      <c r="N912" t="s">
        <v>39</v>
      </c>
      <c r="O912" t="b">
        <v>1</v>
      </c>
      <c r="P912" t="b">
        <v>0</v>
      </c>
      <c r="Q912">
        <v>10</v>
      </c>
      <c r="R912" t="b">
        <v>1</v>
      </c>
      <c r="S912" t="s">
        <v>64</v>
      </c>
      <c r="T912">
        <v>14.6</v>
      </c>
      <c r="U912">
        <v>77.72</v>
      </c>
      <c r="V912" t="b">
        <v>0</v>
      </c>
      <c r="W912" t="s">
        <v>31</v>
      </c>
    </row>
    <row r="913" spans="1:23" x14ac:dyDescent="0.25">
      <c r="A913" t="s">
        <v>32</v>
      </c>
      <c r="B913" t="s">
        <v>76</v>
      </c>
      <c r="C913">
        <v>74.59</v>
      </c>
      <c r="D913">
        <v>406</v>
      </c>
      <c r="E913" t="b">
        <v>1</v>
      </c>
      <c r="F913" t="b">
        <v>0</v>
      </c>
      <c r="G913" t="b">
        <v>0</v>
      </c>
      <c r="H913" t="s">
        <v>53</v>
      </c>
      <c r="I913" t="s">
        <v>63</v>
      </c>
      <c r="J913" t="s">
        <v>45</v>
      </c>
      <c r="K913" t="s">
        <v>28</v>
      </c>
      <c r="L913" t="s">
        <v>38</v>
      </c>
      <c r="M913" t="s">
        <v>46</v>
      </c>
      <c r="N913" t="s">
        <v>39</v>
      </c>
      <c r="O913" t="b">
        <v>0</v>
      </c>
      <c r="P913" t="b">
        <v>0</v>
      </c>
      <c r="Q913">
        <v>9</v>
      </c>
      <c r="R913" t="b">
        <v>0</v>
      </c>
      <c r="T913">
        <v>0</v>
      </c>
      <c r="U913">
        <v>88.26</v>
      </c>
      <c r="V913" t="b">
        <v>1</v>
      </c>
      <c r="W913" t="s">
        <v>58</v>
      </c>
    </row>
    <row r="914" spans="1:23" x14ac:dyDescent="0.25">
      <c r="A914" t="s">
        <v>32</v>
      </c>
      <c r="B914" t="s">
        <v>59</v>
      </c>
      <c r="C914">
        <v>92.25</v>
      </c>
      <c r="D914">
        <v>675</v>
      </c>
      <c r="E914" t="b">
        <v>1</v>
      </c>
      <c r="F914" t="b">
        <v>0</v>
      </c>
      <c r="G914" t="b">
        <v>0</v>
      </c>
      <c r="H914" t="s">
        <v>43</v>
      </c>
      <c r="I914" t="s">
        <v>35</v>
      </c>
      <c r="J914" t="s">
        <v>50</v>
      </c>
      <c r="K914" t="s">
        <v>37</v>
      </c>
      <c r="L914" t="s">
        <v>51</v>
      </c>
      <c r="M914" t="s">
        <v>39</v>
      </c>
      <c r="O914" t="b">
        <v>1</v>
      </c>
      <c r="P914" t="b">
        <v>1</v>
      </c>
      <c r="Q914">
        <v>10</v>
      </c>
      <c r="R914" t="b">
        <v>1</v>
      </c>
      <c r="S914" t="s">
        <v>30</v>
      </c>
      <c r="T914">
        <v>2.9</v>
      </c>
      <c r="U914">
        <v>82.69</v>
      </c>
      <c r="V914" t="b">
        <v>1</v>
      </c>
      <c r="W914" t="s">
        <v>31</v>
      </c>
    </row>
    <row r="915" spans="1:23" x14ac:dyDescent="0.25">
      <c r="A915" t="s">
        <v>68</v>
      </c>
      <c r="B915" t="s">
        <v>49</v>
      </c>
      <c r="C915">
        <v>77.94</v>
      </c>
      <c r="D915">
        <v>488</v>
      </c>
      <c r="E915" t="b">
        <v>1</v>
      </c>
      <c r="F915" t="b">
        <v>1</v>
      </c>
      <c r="G915" t="b">
        <v>1</v>
      </c>
      <c r="H915" t="s">
        <v>34</v>
      </c>
      <c r="I915" t="s">
        <v>35</v>
      </c>
      <c r="J915" t="s">
        <v>54</v>
      </c>
      <c r="K915" t="s">
        <v>28</v>
      </c>
      <c r="L915" t="s">
        <v>51</v>
      </c>
      <c r="M915" t="s">
        <v>46</v>
      </c>
      <c r="N915" t="s">
        <v>39</v>
      </c>
      <c r="O915" t="b">
        <v>1</v>
      </c>
      <c r="P915" t="b">
        <v>1</v>
      </c>
      <c r="Q915">
        <v>10</v>
      </c>
      <c r="R915" t="b">
        <v>0</v>
      </c>
      <c r="T915">
        <v>0</v>
      </c>
      <c r="U915">
        <v>76.239999999999995</v>
      </c>
      <c r="V915" t="b">
        <v>0</v>
      </c>
      <c r="W915" t="s">
        <v>58</v>
      </c>
    </row>
    <row r="916" spans="1:23" x14ac:dyDescent="0.25">
      <c r="A916" t="s">
        <v>56</v>
      </c>
      <c r="B916" t="s">
        <v>76</v>
      </c>
      <c r="C916">
        <v>78.81</v>
      </c>
      <c r="D916">
        <v>748</v>
      </c>
      <c r="E916" t="b">
        <v>0</v>
      </c>
      <c r="F916" t="b">
        <v>0</v>
      </c>
      <c r="G916" t="b">
        <v>1</v>
      </c>
      <c r="H916" t="s">
        <v>25</v>
      </c>
      <c r="I916" t="s">
        <v>57</v>
      </c>
      <c r="J916" t="s">
        <v>50</v>
      </c>
      <c r="K916" t="s">
        <v>39</v>
      </c>
      <c r="L916" t="s">
        <v>37</v>
      </c>
      <c r="M916" t="s">
        <v>28</v>
      </c>
      <c r="P916" t="b">
        <v>0</v>
      </c>
      <c r="Q916">
        <v>8.4</v>
      </c>
      <c r="R916" t="b">
        <v>1</v>
      </c>
      <c r="S916" t="s">
        <v>64</v>
      </c>
      <c r="T916">
        <v>36.9</v>
      </c>
      <c r="U916">
        <v>67.16</v>
      </c>
      <c r="V916" t="b">
        <v>1</v>
      </c>
      <c r="W916" t="s">
        <v>31</v>
      </c>
    </row>
    <row r="917" spans="1:23" x14ac:dyDescent="0.25">
      <c r="A917" t="s">
        <v>74</v>
      </c>
      <c r="B917" t="s">
        <v>60</v>
      </c>
      <c r="C917">
        <v>54.01</v>
      </c>
      <c r="D917">
        <v>185</v>
      </c>
      <c r="E917" t="b">
        <v>1</v>
      </c>
      <c r="F917" t="b">
        <v>0</v>
      </c>
      <c r="G917" t="b">
        <v>1</v>
      </c>
      <c r="H917" t="s">
        <v>43</v>
      </c>
      <c r="I917" t="s">
        <v>57</v>
      </c>
      <c r="J917" t="s">
        <v>36</v>
      </c>
      <c r="K917" t="s">
        <v>37</v>
      </c>
      <c r="L917" t="s">
        <v>38</v>
      </c>
      <c r="M917" t="s">
        <v>46</v>
      </c>
      <c r="N917" t="s">
        <v>28</v>
      </c>
      <c r="O917" t="b">
        <v>0</v>
      </c>
      <c r="P917" t="b">
        <v>1</v>
      </c>
      <c r="Q917">
        <v>6.4</v>
      </c>
      <c r="R917" t="b">
        <v>1</v>
      </c>
      <c r="S917" t="s">
        <v>52</v>
      </c>
      <c r="T917">
        <v>6.5</v>
      </c>
      <c r="U917">
        <v>39.54</v>
      </c>
      <c r="V917" t="b">
        <v>0</v>
      </c>
      <c r="W917" t="s">
        <v>41</v>
      </c>
    </row>
    <row r="918" spans="1:23" x14ac:dyDescent="0.25">
      <c r="A918" t="s">
        <v>74</v>
      </c>
      <c r="B918" t="s">
        <v>71</v>
      </c>
      <c r="C918">
        <v>58.09</v>
      </c>
      <c r="D918">
        <v>787</v>
      </c>
      <c r="E918" t="b">
        <v>1</v>
      </c>
      <c r="F918" t="b">
        <v>0</v>
      </c>
      <c r="G918" t="b">
        <v>1</v>
      </c>
      <c r="H918" t="s">
        <v>43</v>
      </c>
      <c r="I918" t="s">
        <v>44</v>
      </c>
      <c r="J918" t="s">
        <v>45</v>
      </c>
      <c r="K918" t="s">
        <v>46</v>
      </c>
      <c r="L918" t="s">
        <v>38</v>
      </c>
      <c r="M918" t="s">
        <v>46</v>
      </c>
      <c r="N918" t="s">
        <v>46</v>
      </c>
      <c r="O918" t="b">
        <v>1</v>
      </c>
      <c r="P918" t="b">
        <v>1</v>
      </c>
      <c r="Q918">
        <v>10</v>
      </c>
      <c r="R918" t="b">
        <v>0</v>
      </c>
      <c r="T918">
        <v>0</v>
      </c>
      <c r="U918">
        <v>59.84</v>
      </c>
      <c r="V918" t="b">
        <v>0</v>
      </c>
      <c r="W918" t="s">
        <v>58</v>
      </c>
    </row>
    <row r="919" spans="1:23" x14ac:dyDescent="0.25">
      <c r="A919" t="s">
        <v>23</v>
      </c>
      <c r="B919" t="s">
        <v>24</v>
      </c>
      <c r="C919">
        <v>95.27</v>
      </c>
      <c r="D919">
        <v>485</v>
      </c>
      <c r="E919" t="b">
        <v>0</v>
      </c>
      <c r="F919" t="b">
        <v>1</v>
      </c>
      <c r="G919" t="b">
        <v>0</v>
      </c>
      <c r="H919" t="s">
        <v>43</v>
      </c>
      <c r="I919" t="s">
        <v>63</v>
      </c>
      <c r="J919" t="s">
        <v>36</v>
      </c>
      <c r="K919" t="s">
        <v>28</v>
      </c>
      <c r="L919" t="s">
        <v>38</v>
      </c>
      <c r="M919" t="s">
        <v>47</v>
      </c>
      <c r="O919" t="b">
        <v>0</v>
      </c>
      <c r="P919" t="b">
        <v>0</v>
      </c>
      <c r="Q919">
        <v>8.6999999999999993</v>
      </c>
      <c r="R919" t="b">
        <v>1</v>
      </c>
      <c r="S919" t="s">
        <v>52</v>
      </c>
      <c r="T919">
        <v>2.8</v>
      </c>
      <c r="U919">
        <v>80.5</v>
      </c>
      <c r="V919" t="b">
        <v>1</v>
      </c>
      <c r="W919" t="s">
        <v>31</v>
      </c>
    </row>
    <row r="920" spans="1:23" x14ac:dyDescent="0.25">
      <c r="A920" t="s">
        <v>74</v>
      </c>
      <c r="B920" t="s">
        <v>73</v>
      </c>
      <c r="C920">
        <v>53.09</v>
      </c>
      <c r="D920">
        <v>295</v>
      </c>
      <c r="E920" t="b">
        <v>1</v>
      </c>
      <c r="F920" t="b">
        <v>0</v>
      </c>
      <c r="G920" t="b">
        <v>1</v>
      </c>
      <c r="H920" t="s">
        <v>25</v>
      </c>
      <c r="I920" t="s">
        <v>67</v>
      </c>
      <c r="J920" t="s">
        <v>27</v>
      </c>
      <c r="K920" t="s">
        <v>39</v>
      </c>
      <c r="L920" t="s">
        <v>69</v>
      </c>
      <c r="M920" t="s">
        <v>39</v>
      </c>
      <c r="N920" t="s">
        <v>39</v>
      </c>
      <c r="O920" t="b">
        <v>0</v>
      </c>
      <c r="P920" t="b">
        <v>1</v>
      </c>
      <c r="Q920">
        <v>5.6</v>
      </c>
      <c r="R920" t="b">
        <v>1</v>
      </c>
      <c r="S920" t="s">
        <v>40</v>
      </c>
      <c r="T920">
        <v>38.5</v>
      </c>
      <c r="U920">
        <v>66.790000000000006</v>
      </c>
      <c r="V920" t="b">
        <v>1</v>
      </c>
      <c r="W920" t="s">
        <v>41</v>
      </c>
    </row>
    <row r="921" spans="1:23" x14ac:dyDescent="0.25">
      <c r="A921" t="s">
        <v>61</v>
      </c>
      <c r="B921" t="s">
        <v>49</v>
      </c>
      <c r="C921">
        <v>76.5</v>
      </c>
      <c r="D921">
        <v>732</v>
      </c>
      <c r="E921" t="b">
        <v>1</v>
      </c>
      <c r="F921" t="b">
        <v>1</v>
      </c>
      <c r="G921" t="b">
        <v>1</v>
      </c>
      <c r="H921" t="s">
        <v>43</v>
      </c>
      <c r="I921" t="s">
        <v>26</v>
      </c>
      <c r="J921" t="s">
        <v>54</v>
      </c>
      <c r="K921" t="s">
        <v>37</v>
      </c>
      <c r="L921" t="s">
        <v>51</v>
      </c>
      <c r="M921" t="s">
        <v>28</v>
      </c>
      <c r="N921" t="s">
        <v>28</v>
      </c>
      <c r="P921" t="b">
        <v>1</v>
      </c>
      <c r="Q921">
        <v>8.5</v>
      </c>
      <c r="R921" t="b">
        <v>1</v>
      </c>
      <c r="S921" t="s">
        <v>64</v>
      </c>
      <c r="T921">
        <v>15.4</v>
      </c>
      <c r="U921">
        <v>68.319999999999993</v>
      </c>
      <c r="V921" t="b">
        <v>1</v>
      </c>
      <c r="W921" t="s">
        <v>31</v>
      </c>
    </row>
    <row r="922" spans="1:23" x14ac:dyDescent="0.25">
      <c r="A922" t="s">
        <v>32</v>
      </c>
      <c r="B922" t="s">
        <v>62</v>
      </c>
      <c r="C922">
        <v>55.07</v>
      </c>
      <c r="D922">
        <v>84</v>
      </c>
      <c r="E922" t="b">
        <v>0</v>
      </c>
      <c r="F922" t="b">
        <v>0</v>
      </c>
      <c r="G922" t="b">
        <v>0</v>
      </c>
      <c r="H922" t="s">
        <v>53</v>
      </c>
      <c r="I922" t="s">
        <v>26</v>
      </c>
      <c r="J922" t="s">
        <v>54</v>
      </c>
      <c r="K922" t="s">
        <v>37</v>
      </c>
      <c r="L922" t="s">
        <v>29</v>
      </c>
      <c r="M922" t="s">
        <v>47</v>
      </c>
      <c r="N922" t="s">
        <v>46</v>
      </c>
      <c r="O922" t="b">
        <v>0</v>
      </c>
      <c r="P922" t="b">
        <v>1</v>
      </c>
      <c r="Q922">
        <v>3.2</v>
      </c>
      <c r="R922" t="b">
        <v>1</v>
      </c>
      <c r="S922" t="s">
        <v>75</v>
      </c>
      <c r="T922">
        <v>44.9</v>
      </c>
      <c r="U922">
        <v>43.4</v>
      </c>
      <c r="V922" t="b">
        <v>1</v>
      </c>
      <c r="W922" t="s">
        <v>72</v>
      </c>
    </row>
    <row r="923" spans="1:23" x14ac:dyDescent="0.25">
      <c r="A923" t="s">
        <v>56</v>
      </c>
      <c r="B923" t="s">
        <v>59</v>
      </c>
      <c r="C923">
        <v>83.84</v>
      </c>
      <c r="D923">
        <v>411</v>
      </c>
      <c r="E923" t="b">
        <v>0</v>
      </c>
      <c r="F923" t="b">
        <v>1</v>
      </c>
      <c r="G923" t="b">
        <v>0</v>
      </c>
      <c r="H923" t="s">
        <v>43</v>
      </c>
      <c r="I923" t="s">
        <v>35</v>
      </c>
      <c r="J923" t="s">
        <v>50</v>
      </c>
      <c r="K923" t="s">
        <v>28</v>
      </c>
      <c r="L923" t="s">
        <v>51</v>
      </c>
      <c r="M923" t="s">
        <v>28</v>
      </c>
      <c r="O923" t="b">
        <v>1</v>
      </c>
      <c r="P923" t="b">
        <v>0</v>
      </c>
      <c r="Q923">
        <v>10</v>
      </c>
      <c r="R923" t="b">
        <v>1</v>
      </c>
      <c r="S923" t="s">
        <v>55</v>
      </c>
      <c r="T923">
        <v>23.7</v>
      </c>
      <c r="U923">
        <v>78.209999999999994</v>
      </c>
      <c r="V923" t="b">
        <v>0</v>
      </c>
      <c r="W923" t="s">
        <v>31</v>
      </c>
    </row>
    <row r="924" spans="1:23" x14ac:dyDescent="0.25">
      <c r="A924" t="s">
        <v>32</v>
      </c>
      <c r="B924" t="s">
        <v>59</v>
      </c>
      <c r="C924">
        <v>75.040000000000006</v>
      </c>
      <c r="D924">
        <v>352</v>
      </c>
      <c r="E924" t="b">
        <v>0</v>
      </c>
      <c r="F924" t="b">
        <v>1</v>
      </c>
      <c r="G924" t="b">
        <v>1</v>
      </c>
      <c r="H924" t="s">
        <v>25</v>
      </c>
      <c r="I924" t="s">
        <v>63</v>
      </c>
      <c r="J924" t="s">
        <v>45</v>
      </c>
      <c r="K924" t="s">
        <v>46</v>
      </c>
      <c r="L924" t="s">
        <v>38</v>
      </c>
      <c r="M924" t="s">
        <v>28</v>
      </c>
      <c r="N924" t="s">
        <v>46</v>
      </c>
      <c r="P924" t="b">
        <v>1</v>
      </c>
      <c r="Q924">
        <v>8.9</v>
      </c>
      <c r="R924" t="b">
        <v>0</v>
      </c>
      <c r="T924">
        <v>0</v>
      </c>
      <c r="U924">
        <v>89.25</v>
      </c>
      <c r="V924" t="b">
        <v>1</v>
      </c>
      <c r="W924" t="s">
        <v>58</v>
      </c>
    </row>
    <row r="925" spans="1:23" x14ac:dyDescent="0.25">
      <c r="A925" t="s">
        <v>61</v>
      </c>
      <c r="B925" t="s">
        <v>49</v>
      </c>
      <c r="C925">
        <v>62.02</v>
      </c>
      <c r="D925">
        <v>631</v>
      </c>
      <c r="E925" t="b">
        <v>0</v>
      </c>
      <c r="F925" t="b">
        <v>0</v>
      </c>
      <c r="G925" t="b">
        <v>0</v>
      </c>
      <c r="H925" t="s">
        <v>53</v>
      </c>
      <c r="I925" t="s">
        <v>44</v>
      </c>
      <c r="J925" t="s">
        <v>27</v>
      </c>
      <c r="K925" t="s">
        <v>37</v>
      </c>
      <c r="L925" t="s">
        <v>37</v>
      </c>
      <c r="M925" t="s">
        <v>46</v>
      </c>
      <c r="N925" t="s">
        <v>46</v>
      </c>
      <c r="O925" t="b">
        <v>0</v>
      </c>
      <c r="P925" t="b">
        <v>0</v>
      </c>
      <c r="Q925">
        <v>5.5</v>
      </c>
      <c r="R925" t="b">
        <v>0</v>
      </c>
      <c r="T925">
        <v>0</v>
      </c>
      <c r="U925">
        <v>51.41</v>
      </c>
      <c r="V925" t="b">
        <v>1</v>
      </c>
      <c r="W925" t="s">
        <v>41</v>
      </c>
    </row>
    <row r="926" spans="1:23" x14ac:dyDescent="0.25">
      <c r="A926" t="s">
        <v>74</v>
      </c>
      <c r="B926" t="s">
        <v>42</v>
      </c>
      <c r="C926">
        <v>80.400000000000006</v>
      </c>
      <c r="D926">
        <v>702</v>
      </c>
      <c r="E926" t="b">
        <v>1</v>
      </c>
      <c r="F926" t="b">
        <v>0</v>
      </c>
      <c r="G926" t="b">
        <v>1</v>
      </c>
      <c r="H926" t="s">
        <v>34</v>
      </c>
      <c r="I926" t="s">
        <v>67</v>
      </c>
      <c r="J926" t="s">
        <v>27</v>
      </c>
      <c r="K926" t="s">
        <v>37</v>
      </c>
      <c r="L926" t="s">
        <v>38</v>
      </c>
      <c r="M926" t="s">
        <v>46</v>
      </c>
      <c r="N926" t="s">
        <v>46</v>
      </c>
      <c r="O926" t="b">
        <v>0</v>
      </c>
      <c r="P926" t="b">
        <v>0</v>
      </c>
      <c r="Q926">
        <v>9.4</v>
      </c>
      <c r="R926" t="b">
        <v>1</v>
      </c>
      <c r="S926" t="s">
        <v>55</v>
      </c>
      <c r="T926">
        <v>13.9</v>
      </c>
      <c r="U926">
        <v>83.12</v>
      </c>
      <c r="V926" t="b">
        <v>1</v>
      </c>
      <c r="W926" t="s">
        <v>31</v>
      </c>
    </row>
    <row r="927" spans="1:23" x14ac:dyDescent="0.25">
      <c r="A927" t="s">
        <v>32</v>
      </c>
      <c r="B927" t="s">
        <v>70</v>
      </c>
      <c r="C927">
        <v>84.06</v>
      </c>
      <c r="D927">
        <v>150</v>
      </c>
      <c r="E927" t="b">
        <v>0</v>
      </c>
      <c r="F927" t="b">
        <v>0</v>
      </c>
      <c r="G927" t="b">
        <v>0</v>
      </c>
      <c r="H927" t="s">
        <v>53</v>
      </c>
      <c r="I927" t="s">
        <v>44</v>
      </c>
      <c r="J927" t="s">
        <v>50</v>
      </c>
      <c r="K927" t="s">
        <v>28</v>
      </c>
      <c r="L927" t="s">
        <v>38</v>
      </c>
      <c r="M927" t="s">
        <v>46</v>
      </c>
      <c r="N927" t="s">
        <v>39</v>
      </c>
      <c r="P927" t="b">
        <v>0</v>
      </c>
      <c r="Q927">
        <v>10</v>
      </c>
      <c r="R927" t="b">
        <v>0</v>
      </c>
      <c r="T927">
        <v>0</v>
      </c>
      <c r="U927">
        <v>76.02</v>
      </c>
      <c r="V927" t="b">
        <v>0</v>
      </c>
      <c r="W927" t="s">
        <v>58</v>
      </c>
    </row>
    <row r="928" spans="1:23" x14ac:dyDescent="0.25">
      <c r="A928" t="s">
        <v>74</v>
      </c>
      <c r="B928" t="s">
        <v>42</v>
      </c>
      <c r="C928">
        <v>75.88</v>
      </c>
      <c r="D928">
        <v>149</v>
      </c>
      <c r="E928" t="b">
        <v>0</v>
      </c>
      <c r="F928" t="b">
        <v>0</v>
      </c>
      <c r="G928" t="b">
        <v>1</v>
      </c>
      <c r="H928" t="s">
        <v>25</v>
      </c>
      <c r="I928" t="s">
        <v>26</v>
      </c>
      <c r="J928" t="s">
        <v>27</v>
      </c>
      <c r="K928" t="s">
        <v>28</v>
      </c>
      <c r="L928" t="s">
        <v>29</v>
      </c>
      <c r="M928" t="s">
        <v>28</v>
      </c>
      <c r="N928" t="s">
        <v>28</v>
      </c>
      <c r="P928" t="b">
        <v>0</v>
      </c>
      <c r="Q928">
        <v>8.5</v>
      </c>
      <c r="R928" t="b">
        <v>1</v>
      </c>
      <c r="S928" t="s">
        <v>64</v>
      </c>
      <c r="T928">
        <v>38.5</v>
      </c>
      <c r="U928">
        <v>75.25</v>
      </c>
      <c r="V928" t="b">
        <v>1</v>
      </c>
      <c r="W928" t="s">
        <v>31</v>
      </c>
    </row>
    <row r="929" spans="1:23" x14ac:dyDescent="0.25">
      <c r="A929" t="s">
        <v>74</v>
      </c>
      <c r="B929" t="s">
        <v>59</v>
      </c>
      <c r="C929">
        <v>84</v>
      </c>
      <c r="D929">
        <v>66</v>
      </c>
      <c r="E929" t="b">
        <v>0</v>
      </c>
      <c r="F929" t="b">
        <v>0</v>
      </c>
      <c r="G929" t="b">
        <v>1</v>
      </c>
      <c r="H929" t="s">
        <v>25</v>
      </c>
      <c r="I929" t="s">
        <v>67</v>
      </c>
      <c r="J929" t="s">
        <v>54</v>
      </c>
      <c r="K929" t="s">
        <v>46</v>
      </c>
      <c r="L929" t="s">
        <v>51</v>
      </c>
      <c r="M929" t="s">
        <v>47</v>
      </c>
      <c r="N929" t="s">
        <v>46</v>
      </c>
      <c r="P929" t="b">
        <v>0</v>
      </c>
      <c r="Q929">
        <v>7.9</v>
      </c>
      <c r="R929" t="b">
        <v>1</v>
      </c>
      <c r="S929" t="s">
        <v>48</v>
      </c>
      <c r="T929">
        <v>2.1</v>
      </c>
      <c r="U929">
        <v>94.16</v>
      </c>
      <c r="V929" t="b">
        <v>1</v>
      </c>
      <c r="W929" t="s">
        <v>41</v>
      </c>
    </row>
    <row r="930" spans="1:23" x14ac:dyDescent="0.25">
      <c r="A930" t="s">
        <v>56</v>
      </c>
      <c r="B930" t="s">
        <v>24</v>
      </c>
      <c r="C930">
        <v>89.31</v>
      </c>
      <c r="D930">
        <v>725</v>
      </c>
      <c r="E930" t="b">
        <v>0</v>
      </c>
      <c r="F930" t="b">
        <v>0</v>
      </c>
      <c r="G930" t="b">
        <v>1</v>
      </c>
      <c r="H930" t="s">
        <v>25</v>
      </c>
      <c r="I930" t="s">
        <v>63</v>
      </c>
      <c r="J930" t="s">
        <v>45</v>
      </c>
      <c r="K930" t="s">
        <v>28</v>
      </c>
      <c r="L930" t="s">
        <v>38</v>
      </c>
      <c r="M930" t="s">
        <v>47</v>
      </c>
      <c r="P930" t="b">
        <v>1</v>
      </c>
      <c r="Q930">
        <v>8.8000000000000007</v>
      </c>
      <c r="R930" t="b">
        <v>0</v>
      </c>
      <c r="T930">
        <v>0</v>
      </c>
      <c r="U930">
        <v>82.97</v>
      </c>
      <c r="V930" t="b">
        <v>1</v>
      </c>
      <c r="W930" t="s">
        <v>58</v>
      </c>
    </row>
    <row r="931" spans="1:23" x14ac:dyDescent="0.25">
      <c r="A931" t="s">
        <v>61</v>
      </c>
      <c r="B931" t="s">
        <v>59</v>
      </c>
      <c r="C931">
        <v>93.21</v>
      </c>
      <c r="D931">
        <v>769</v>
      </c>
      <c r="E931" t="b">
        <v>0</v>
      </c>
      <c r="F931" t="b">
        <v>1</v>
      </c>
      <c r="G931" t="b">
        <v>0</v>
      </c>
      <c r="H931" t="s">
        <v>53</v>
      </c>
      <c r="I931" t="s">
        <v>35</v>
      </c>
      <c r="J931" t="s">
        <v>50</v>
      </c>
      <c r="K931" t="s">
        <v>28</v>
      </c>
      <c r="L931" t="s">
        <v>51</v>
      </c>
      <c r="M931" t="s">
        <v>47</v>
      </c>
      <c r="N931" t="s">
        <v>46</v>
      </c>
      <c r="O931" t="b">
        <v>0</v>
      </c>
      <c r="P931" t="b">
        <v>0</v>
      </c>
      <c r="Q931">
        <v>6.9</v>
      </c>
      <c r="R931" t="b">
        <v>1</v>
      </c>
      <c r="S931" t="s">
        <v>48</v>
      </c>
      <c r="T931">
        <v>13.2</v>
      </c>
      <c r="U931">
        <v>89.06</v>
      </c>
      <c r="V931" t="b">
        <v>0</v>
      </c>
      <c r="W931" t="s">
        <v>41</v>
      </c>
    </row>
    <row r="932" spans="1:23" x14ac:dyDescent="0.25">
      <c r="A932" t="s">
        <v>32</v>
      </c>
      <c r="B932" t="s">
        <v>62</v>
      </c>
      <c r="C932">
        <v>71.790000000000006</v>
      </c>
      <c r="D932">
        <v>541</v>
      </c>
      <c r="E932" t="b">
        <v>1</v>
      </c>
      <c r="F932" t="b">
        <v>0</v>
      </c>
      <c r="G932" t="b">
        <v>1</v>
      </c>
      <c r="H932" t="s">
        <v>43</v>
      </c>
      <c r="I932" t="s">
        <v>35</v>
      </c>
      <c r="J932" t="s">
        <v>45</v>
      </c>
      <c r="K932" t="s">
        <v>39</v>
      </c>
      <c r="L932" t="s">
        <v>69</v>
      </c>
      <c r="M932" t="s">
        <v>39</v>
      </c>
      <c r="N932" t="s">
        <v>28</v>
      </c>
      <c r="P932" t="b">
        <v>0</v>
      </c>
      <c r="Q932">
        <v>8.9</v>
      </c>
      <c r="R932" t="b">
        <v>0</v>
      </c>
      <c r="T932">
        <v>0</v>
      </c>
      <c r="U932">
        <v>62.18</v>
      </c>
      <c r="V932" t="b">
        <v>0</v>
      </c>
      <c r="W932" t="s">
        <v>58</v>
      </c>
    </row>
    <row r="933" spans="1:23" x14ac:dyDescent="0.25">
      <c r="A933" t="s">
        <v>32</v>
      </c>
      <c r="B933" t="s">
        <v>62</v>
      </c>
      <c r="C933">
        <v>53.2</v>
      </c>
      <c r="D933">
        <v>282</v>
      </c>
      <c r="E933" t="b">
        <v>1</v>
      </c>
      <c r="F933" t="b">
        <v>0</v>
      </c>
      <c r="G933" t="b">
        <v>1</v>
      </c>
      <c r="H933" t="s">
        <v>34</v>
      </c>
      <c r="I933" t="s">
        <v>57</v>
      </c>
      <c r="J933" t="s">
        <v>54</v>
      </c>
      <c r="K933" t="s">
        <v>37</v>
      </c>
      <c r="L933" t="s">
        <v>51</v>
      </c>
      <c r="M933" t="s">
        <v>47</v>
      </c>
      <c r="N933" t="s">
        <v>28</v>
      </c>
      <c r="P933" t="b">
        <v>1</v>
      </c>
      <c r="Q933">
        <v>4.9000000000000004</v>
      </c>
      <c r="R933" t="b">
        <v>1</v>
      </c>
      <c r="S933" t="s">
        <v>75</v>
      </c>
      <c r="T933">
        <v>2</v>
      </c>
      <c r="U933">
        <v>67.75</v>
      </c>
      <c r="V933" t="b">
        <v>1</v>
      </c>
      <c r="W933" t="s">
        <v>72</v>
      </c>
    </row>
    <row r="934" spans="1:23" x14ac:dyDescent="0.25">
      <c r="A934" t="s">
        <v>32</v>
      </c>
      <c r="B934" t="s">
        <v>70</v>
      </c>
      <c r="C934">
        <v>89.99</v>
      </c>
      <c r="D934">
        <v>262</v>
      </c>
      <c r="E934" t="b">
        <v>1</v>
      </c>
      <c r="F934" t="b">
        <v>0</v>
      </c>
      <c r="G934" t="b">
        <v>1</v>
      </c>
      <c r="H934" t="s">
        <v>25</v>
      </c>
      <c r="I934" t="s">
        <v>26</v>
      </c>
      <c r="J934" t="s">
        <v>45</v>
      </c>
      <c r="K934" t="s">
        <v>28</v>
      </c>
      <c r="L934" t="s">
        <v>37</v>
      </c>
      <c r="M934" t="s">
        <v>46</v>
      </c>
      <c r="N934" t="s">
        <v>39</v>
      </c>
      <c r="O934" t="b">
        <v>0</v>
      </c>
      <c r="P934" t="b">
        <v>0</v>
      </c>
      <c r="Q934">
        <v>9.1999999999999993</v>
      </c>
      <c r="R934" t="b">
        <v>0</v>
      </c>
      <c r="T934">
        <v>0</v>
      </c>
      <c r="U934">
        <v>97.89</v>
      </c>
      <c r="V934" t="b">
        <v>1</v>
      </c>
      <c r="W934" t="s">
        <v>58</v>
      </c>
    </row>
    <row r="935" spans="1:23" x14ac:dyDescent="0.25">
      <c r="A935" t="s">
        <v>61</v>
      </c>
      <c r="B935" t="s">
        <v>73</v>
      </c>
      <c r="C935">
        <v>67.06</v>
      </c>
      <c r="D935">
        <v>238</v>
      </c>
      <c r="E935" t="b">
        <v>1</v>
      </c>
      <c r="F935" t="b">
        <v>1</v>
      </c>
      <c r="G935" t="b">
        <v>0</v>
      </c>
      <c r="H935" t="s">
        <v>43</v>
      </c>
      <c r="I935" t="s">
        <v>35</v>
      </c>
      <c r="J935" t="s">
        <v>36</v>
      </c>
      <c r="K935" t="s">
        <v>39</v>
      </c>
      <c r="L935" t="s">
        <v>69</v>
      </c>
      <c r="M935" t="s">
        <v>39</v>
      </c>
      <c r="N935" t="s">
        <v>46</v>
      </c>
      <c r="O935" t="b">
        <v>1</v>
      </c>
      <c r="P935" t="b">
        <v>0</v>
      </c>
      <c r="Q935">
        <v>8.5</v>
      </c>
      <c r="R935" t="b">
        <v>1</v>
      </c>
      <c r="S935" t="s">
        <v>30</v>
      </c>
      <c r="T935">
        <v>8</v>
      </c>
      <c r="U935">
        <v>64.319999999999993</v>
      </c>
      <c r="V935" t="b">
        <v>0</v>
      </c>
      <c r="W935" t="s">
        <v>31</v>
      </c>
    </row>
    <row r="936" spans="1:23" x14ac:dyDescent="0.25">
      <c r="A936" t="s">
        <v>56</v>
      </c>
      <c r="B936" t="s">
        <v>59</v>
      </c>
      <c r="C936">
        <v>86.05</v>
      </c>
      <c r="D936">
        <v>588</v>
      </c>
      <c r="E936" t="b">
        <v>0</v>
      </c>
      <c r="F936" t="b">
        <v>1</v>
      </c>
      <c r="G936" t="b">
        <v>0</v>
      </c>
      <c r="H936" t="s">
        <v>25</v>
      </c>
      <c r="I936" t="s">
        <v>26</v>
      </c>
      <c r="J936" t="s">
        <v>36</v>
      </c>
      <c r="K936" t="s">
        <v>37</v>
      </c>
      <c r="L936" t="s">
        <v>38</v>
      </c>
      <c r="M936" t="s">
        <v>46</v>
      </c>
      <c r="N936" t="s">
        <v>39</v>
      </c>
      <c r="O936" t="b">
        <v>1</v>
      </c>
      <c r="P936" t="b">
        <v>1</v>
      </c>
      <c r="Q936">
        <v>10</v>
      </c>
      <c r="R936" t="b">
        <v>1</v>
      </c>
      <c r="S936" t="s">
        <v>52</v>
      </c>
      <c r="T936">
        <v>44.8</v>
      </c>
      <c r="U936">
        <v>75.680000000000007</v>
      </c>
      <c r="V936" t="b">
        <v>0</v>
      </c>
      <c r="W936" t="s">
        <v>31</v>
      </c>
    </row>
    <row r="937" spans="1:23" x14ac:dyDescent="0.25">
      <c r="A937" t="s">
        <v>61</v>
      </c>
      <c r="B937" t="s">
        <v>59</v>
      </c>
      <c r="C937">
        <v>93.53</v>
      </c>
      <c r="D937">
        <v>146</v>
      </c>
      <c r="E937" t="b">
        <v>1</v>
      </c>
      <c r="F937" t="b">
        <v>0</v>
      </c>
      <c r="G937" t="b">
        <v>0</v>
      </c>
      <c r="H937" t="s">
        <v>43</v>
      </c>
      <c r="I937" t="s">
        <v>67</v>
      </c>
      <c r="J937" t="s">
        <v>54</v>
      </c>
      <c r="K937" t="s">
        <v>28</v>
      </c>
      <c r="L937" t="s">
        <v>38</v>
      </c>
      <c r="M937" t="s">
        <v>39</v>
      </c>
      <c r="N937" t="s">
        <v>28</v>
      </c>
      <c r="O937" t="b">
        <v>0</v>
      </c>
      <c r="P937" t="b">
        <v>0</v>
      </c>
      <c r="Q937">
        <v>10</v>
      </c>
      <c r="R937" t="b">
        <v>1</v>
      </c>
      <c r="S937" t="s">
        <v>52</v>
      </c>
      <c r="T937">
        <v>17.399999999999999</v>
      </c>
      <c r="U937">
        <v>100</v>
      </c>
      <c r="V937" t="b">
        <v>1</v>
      </c>
      <c r="W937" t="s">
        <v>31</v>
      </c>
    </row>
    <row r="938" spans="1:23" x14ac:dyDescent="0.25">
      <c r="A938" t="s">
        <v>74</v>
      </c>
      <c r="B938" t="s">
        <v>60</v>
      </c>
      <c r="C938">
        <v>60.57</v>
      </c>
      <c r="D938">
        <v>472</v>
      </c>
      <c r="E938" t="b">
        <v>1</v>
      </c>
      <c r="F938" t="b">
        <v>0</v>
      </c>
      <c r="G938" t="b">
        <v>0</v>
      </c>
      <c r="H938" t="s">
        <v>34</v>
      </c>
      <c r="I938" t="s">
        <v>63</v>
      </c>
      <c r="J938" t="s">
        <v>54</v>
      </c>
      <c r="K938" t="s">
        <v>39</v>
      </c>
      <c r="L938" t="s">
        <v>37</v>
      </c>
      <c r="M938" t="s">
        <v>39</v>
      </c>
      <c r="N938" t="s">
        <v>46</v>
      </c>
      <c r="O938" t="b">
        <v>1</v>
      </c>
      <c r="P938" t="b">
        <v>1</v>
      </c>
      <c r="Q938">
        <v>8.1999999999999993</v>
      </c>
      <c r="R938" t="b">
        <v>0</v>
      </c>
      <c r="T938">
        <v>0</v>
      </c>
      <c r="U938">
        <v>45.89</v>
      </c>
      <c r="V938" t="b">
        <v>0</v>
      </c>
      <c r="W938" t="s">
        <v>58</v>
      </c>
    </row>
    <row r="939" spans="1:23" x14ac:dyDescent="0.25">
      <c r="A939" t="s">
        <v>74</v>
      </c>
      <c r="B939" t="s">
        <v>49</v>
      </c>
      <c r="C939">
        <v>73.23</v>
      </c>
      <c r="D939">
        <v>747</v>
      </c>
      <c r="E939" t="b">
        <v>0</v>
      </c>
      <c r="F939" t="b">
        <v>1</v>
      </c>
      <c r="G939" t="b">
        <v>0</v>
      </c>
      <c r="H939" t="s">
        <v>43</v>
      </c>
      <c r="I939" t="s">
        <v>35</v>
      </c>
      <c r="J939" t="s">
        <v>36</v>
      </c>
      <c r="K939" t="s">
        <v>28</v>
      </c>
      <c r="L939" t="s">
        <v>69</v>
      </c>
      <c r="M939" t="s">
        <v>28</v>
      </c>
      <c r="N939" t="s">
        <v>46</v>
      </c>
      <c r="P939" t="b">
        <v>1</v>
      </c>
      <c r="Q939">
        <v>8.8000000000000007</v>
      </c>
      <c r="R939" t="b">
        <v>0</v>
      </c>
      <c r="T939">
        <v>0</v>
      </c>
      <c r="U939">
        <v>80.489999999999995</v>
      </c>
      <c r="V939" t="b">
        <v>1</v>
      </c>
      <c r="W939" t="s">
        <v>58</v>
      </c>
    </row>
    <row r="940" spans="1:23" x14ac:dyDescent="0.25">
      <c r="A940" t="s">
        <v>74</v>
      </c>
      <c r="B940" t="s">
        <v>76</v>
      </c>
      <c r="C940">
        <v>73.53</v>
      </c>
      <c r="D940">
        <v>727</v>
      </c>
      <c r="E940" t="b">
        <v>0</v>
      </c>
      <c r="F940" t="b">
        <v>1</v>
      </c>
      <c r="G940" t="b">
        <v>0</v>
      </c>
      <c r="H940" t="s">
        <v>43</v>
      </c>
      <c r="I940" t="s">
        <v>35</v>
      </c>
      <c r="J940" t="s">
        <v>45</v>
      </c>
      <c r="K940" t="s">
        <v>46</v>
      </c>
      <c r="L940" t="s">
        <v>29</v>
      </c>
      <c r="M940" t="s">
        <v>39</v>
      </c>
      <c r="N940" t="s">
        <v>46</v>
      </c>
      <c r="O940" t="b">
        <v>1</v>
      </c>
      <c r="P940" t="b">
        <v>0</v>
      </c>
      <c r="Q940">
        <v>8.3000000000000007</v>
      </c>
      <c r="R940" t="b">
        <v>1</v>
      </c>
      <c r="S940" t="s">
        <v>65</v>
      </c>
      <c r="T940">
        <v>39.1</v>
      </c>
      <c r="U940">
        <v>70.569999999999993</v>
      </c>
      <c r="V940" t="b">
        <v>1</v>
      </c>
      <c r="W940" t="s">
        <v>31</v>
      </c>
    </row>
    <row r="941" spans="1:23" x14ac:dyDescent="0.25">
      <c r="A941" t="s">
        <v>68</v>
      </c>
      <c r="B941" t="s">
        <v>42</v>
      </c>
      <c r="C941">
        <v>75.31</v>
      </c>
      <c r="D941">
        <v>60</v>
      </c>
      <c r="E941" t="b">
        <v>1</v>
      </c>
      <c r="F941" t="b">
        <v>0</v>
      </c>
      <c r="G941" t="b">
        <v>0</v>
      </c>
      <c r="H941" t="s">
        <v>43</v>
      </c>
      <c r="I941" t="s">
        <v>35</v>
      </c>
      <c r="J941" t="s">
        <v>27</v>
      </c>
      <c r="K941" t="s">
        <v>28</v>
      </c>
      <c r="L941" t="s">
        <v>51</v>
      </c>
      <c r="M941" t="s">
        <v>28</v>
      </c>
      <c r="N941" t="s">
        <v>46</v>
      </c>
      <c r="O941" t="b">
        <v>0</v>
      </c>
      <c r="P941" t="b">
        <v>0</v>
      </c>
      <c r="Q941">
        <v>8.9</v>
      </c>
      <c r="R941" t="b">
        <v>1</v>
      </c>
      <c r="S941" t="s">
        <v>55</v>
      </c>
      <c r="T941">
        <v>24.7</v>
      </c>
      <c r="U941">
        <v>60.54</v>
      </c>
      <c r="V941" t="b">
        <v>0</v>
      </c>
      <c r="W941" t="s">
        <v>31</v>
      </c>
    </row>
    <row r="942" spans="1:23" x14ac:dyDescent="0.25">
      <c r="A942" t="s">
        <v>61</v>
      </c>
      <c r="B942" t="s">
        <v>66</v>
      </c>
      <c r="C942">
        <v>70.13</v>
      </c>
      <c r="D942">
        <v>105</v>
      </c>
      <c r="E942" t="b">
        <v>0</v>
      </c>
      <c r="F942" t="b">
        <v>0</v>
      </c>
      <c r="G942" t="b">
        <v>1</v>
      </c>
      <c r="H942" t="s">
        <v>25</v>
      </c>
      <c r="I942" t="s">
        <v>35</v>
      </c>
      <c r="J942" t="s">
        <v>27</v>
      </c>
      <c r="K942" t="s">
        <v>39</v>
      </c>
      <c r="L942" t="s">
        <v>51</v>
      </c>
      <c r="M942" t="s">
        <v>47</v>
      </c>
      <c r="O942" t="b">
        <v>0</v>
      </c>
      <c r="P942" t="b">
        <v>1</v>
      </c>
      <c r="Q942">
        <v>4.8</v>
      </c>
      <c r="R942" t="b">
        <v>1</v>
      </c>
      <c r="S942" t="s">
        <v>30</v>
      </c>
      <c r="T942">
        <v>39.6</v>
      </c>
      <c r="U942">
        <v>64.3</v>
      </c>
      <c r="V942" t="b">
        <v>1</v>
      </c>
      <c r="W942" t="s">
        <v>72</v>
      </c>
    </row>
    <row r="943" spans="1:23" x14ac:dyDescent="0.25">
      <c r="A943" t="s">
        <v>56</v>
      </c>
      <c r="B943" t="s">
        <v>76</v>
      </c>
      <c r="C943">
        <v>79.87</v>
      </c>
      <c r="D943">
        <v>687</v>
      </c>
      <c r="E943" t="b">
        <v>0</v>
      </c>
      <c r="F943" t="b">
        <v>1</v>
      </c>
      <c r="G943" t="b">
        <v>1</v>
      </c>
      <c r="H943" t="s">
        <v>25</v>
      </c>
      <c r="I943" t="s">
        <v>35</v>
      </c>
      <c r="J943" t="s">
        <v>50</v>
      </c>
      <c r="K943" t="s">
        <v>28</v>
      </c>
      <c r="L943" t="s">
        <v>51</v>
      </c>
      <c r="M943" t="s">
        <v>46</v>
      </c>
      <c r="N943" t="s">
        <v>46</v>
      </c>
      <c r="O943" t="b">
        <v>1</v>
      </c>
      <c r="P943" t="b">
        <v>1</v>
      </c>
      <c r="Q943">
        <v>10</v>
      </c>
      <c r="R943" t="b">
        <v>0</v>
      </c>
      <c r="T943">
        <v>0</v>
      </c>
      <c r="U943">
        <v>89.52</v>
      </c>
      <c r="V943" t="b">
        <v>1</v>
      </c>
      <c r="W943" t="s">
        <v>58</v>
      </c>
    </row>
    <row r="944" spans="1:23" x14ac:dyDescent="0.25">
      <c r="A944" t="s">
        <v>23</v>
      </c>
      <c r="B944" t="s">
        <v>70</v>
      </c>
      <c r="C944">
        <v>73.47</v>
      </c>
      <c r="D944">
        <v>799</v>
      </c>
      <c r="E944" t="b">
        <v>1</v>
      </c>
      <c r="F944" t="b">
        <v>1</v>
      </c>
      <c r="G944" t="b">
        <v>1</v>
      </c>
      <c r="H944" t="s">
        <v>25</v>
      </c>
      <c r="I944" t="s">
        <v>67</v>
      </c>
      <c r="J944" t="s">
        <v>50</v>
      </c>
      <c r="K944" t="s">
        <v>46</v>
      </c>
      <c r="L944" t="s">
        <v>51</v>
      </c>
      <c r="M944" t="s">
        <v>47</v>
      </c>
      <c r="N944" t="s">
        <v>39</v>
      </c>
      <c r="O944" t="b">
        <v>0</v>
      </c>
      <c r="P944" t="b">
        <v>1</v>
      </c>
      <c r="Q944">
        <v>6.8</v>
      </c>
      <c r="R944" t="b">
        <v>1</v>
      </c>
      <c r="S944" t="s">
        <v>40</v>
      </c>
      <c r="T944">
        <v>42.8</v>
      </c>
      <c r="U944">
        <v>59.53</v>
      </c>
      <c r="V944" t="b">
        <v>1</v>
      </c>
      <c r="W944" t="s">
        <v>41</v>
      </c>
    </row>
    <row r="945" spans="1:23" x14ac:dyDescent="0.25">
      <c r="A945" t="s">
        <v>68</v>
      </c>
      <c r="B945" t="s">
        <v>76</v>
      </c>
      <c r="C945">
        <v>76.77</v>
      </c>
      <c r="D945">
        <v>471</v>
      </c>
      <c r="E945" t="b">
        <v>1</v>
      </c>
      <c r="F945" t="b">
        <v>0</v>
      </c>
      <c r="G945" t="b">
        <v>0</v>
      </c>
      <c r="H945" t="s">
        <v>53</v>
      </c>
      <c r="I945" t="s">
        <v>57</v>
      </c>
      <c r="J945" t="s">
        <v>27</v>
      </c>
      <c r="K945" t="s">
        <v>37</v>
      </c>
      <c r="L945" t="s">
        <v>69</v>
      </c>
      <c r="M945" t="s">
        <v>47</v>
      </c>
      <c r="N945" t="s">
        <v>28</v>
      </c>
      <c r="O945" t="b">
        <v>1</v>
      </c>
      <c r="P945" t="b">
        <v>1</v>
      </c>
      <c r="Q945">
        <v>9.6</v>
      </c>
      <c r="R945" t="b">
        <v>1</v>
      </c>
      <c r="S945" t="s">
        <v>52</v>
      </c>
      <c r="T945">
        <v>37.799999999999997</v>
      </c>
      <c r="U945">
        <v>88.05</v>
      </c>
      <c r="V945" t="b">
        <v>1</v>
      </c>
      <c r="W945" t="s">
        <v>31</v>
      </c>
    </row>
    <row r="946" spans="1:23" x14ac:dyDescent="0.25">
      <c r="A946" t="s">
        <v>68</v>
      </c>
      <c r="B946" t="s">
        <v>33</v>
      </c>
      <c r="C946">
        <v>81.22</v>
      </c>
      <c r="D946">
        <v>570</v>
      </c>
      <c r="E946" t="b">
        <v>1</v>
      </c>
      <c r="F946" t="b">
        <v>1</v>
      </c>
      <c r="G946" t="b">
        <v>0</v>
      </c>
      <c r="H946" t="s">
        <v>53</v>
      </c>
      <c r="I946" t="s">
        <v>44</v>
      </c>
      <c r="J946" t="s">
        <v>54</v>
      </c>
      <c r="K946" t="s">
        <v>46</v>
      </c>
      <c r="L946" t="s">
        <v>29</v>
      </c>
      <c r="M946" t="s">
        <v>28</v>
      </c>
      <c r="N946" t="s">
        <v>46</v>
      </c>
      <c r="O946" t="b">
        <v>1</v>
      </c>
      <c r="P946" t="b">
        <v>0</v>
      </c>
      <c r="Q946">
        <v>10</v>
      </c>
      <c r="R946" t="b">
        <v>0</v>
      </c>
      <c r="T946">
        <v>0</v>
      </c>
      <c r="U946">
        <v>80.25</v>
      </c>
      <c r="V946" t="b">
        <v>1</v>
      </c>
      <c r="W946" t="s">
        <v>58</v>
      </c>
    </row>
    <row r="947" spans="1:23" x14ac:dyDescent="0.25">
      <c r="A947" t="s">
        <v>23</v>
      </c>
      <c r="B947" t="s">
        <v>49</v>
      </c>
      <c r="C947">
        <v>65.36</v>
      </c>
      <c r="D947">
        <v>640</v>
      </c>
      <c r="E947" t="b">
        <v>1</v>
      </c>
      <c r="F947" t="b">
        <v>0</v>
      </c>
      <c r="G947" t="b">
        <v>0</v>
      </c>
      <c r="H947" t="s">
        <v>43</v>
      </c>
      <c r="I947" t="s">
        <v>44</v>
      </c>
      <c r="J947" t="s">
        <v>54</v>
      </c>
      <c r="K947" t="s">
        <v>46</v>
      </c>
      <c r="L947" t="s">
        <v>37</v>
      </c>
      <c r="M947" t="s">
        <v>39</v>
      </c>
      <c r="N947" t="s">
        <v>39</v>
      </c>
      <c r="P947" t="b">
        <v>0</v>
      </c>
      <c r="Q947">
        <v>7.4</v>
      </c>
      <c r="R947" t="b">
        <v>1</v>
      </c>
      <c r="S947" t="s">
        <v>65</v>
      </c>
      <c r="T947">
        <v>32.299999999999997</v>
      </c>
      <c r="U947">
        <v>61.3</v>
      </c>
      <c r="V947" t="b">
        <v>1</v>
      </c>
      <c r="W947" t="s">
        <v>41</v>
      </c>
    </row>
    <row r="948" spans="1:23" x14ac:dyDescent="0.25">
      <c r="A948" t="s">
        <v>56</v>
      </c>
      <c r="B948" t="s">
        <v>76</v>
      </c>
      <c r="C948">
        <v>78.17</v>
      </c>
      <c r="D948">
        <v>350</v>
      </c>
      <c r="E948" t="b">
        <v>0</v>
      </c>
      <c r="F948" t="b">
        <v>0</v>
      </c>
      <c r="G948" t="b">
        <v>0</v>
      </c>
      <c r="H948" t="s">
        <v>53</v>
      </c>
      <c r="I948" t="s">
        <v>57</v>
      </c>
      <c r="J948" t="s">
        <v>36</v>
      </c>
      <c r="K948" t="s">
        <v>37</v>
      </c>
      <c r="L948" t="s">
        <v>37</v>
      </c>
      <c r="M948" t="s">
        <v>39</v>
      </c>
      <c r="N948" t="s">
        <v>28</v>
      </c>
      <c r="P948" t="b">
        <v>1</v>
      </c>
      <c r="Q948">
        <v>7.3</v>
      </c>
      <c r="R948" t="b">
        <v>1</v>
      </c>
      <c r="S948" t="s">
        <v>48</v>
      </c>
      <c r="T948">
        <v>23.3</v>
      </c>
      <c r="U948">
        <v>76.52</v>
      </c>
      <c r="V948" t="b">
        <v>1</v>
      </c>
      <c r="W948" t="s">
        <v>41</v>
      </c>
    </row>
    <row r="949" spans="1:23" x14ac:dyDescent="0.25">
      <c r="A949" t="s">
        <v>68</v>
      </c>
      <c r="B949" t="s">
        <v>49</v>
      </c>
      <c r="C949">
        <v>67.150000000000006</v>
      </c>
      <c r="D949">
        <v>223</v>
      </c>
      <c r="E949" t="b">
        <v>0</v>
      </c>
      <c r="F949" t="b">
        <v>0</v>
      </c>
      <c r="G949" t="b">
        <v>0</v>
      </c>
      <c r="H949" t="s">
        <v>34</v>
      </c>
      <c r="I949" t="s">
        <v>26</v>
      </c>
      <c r="J949" t="s">
        <v>45</v>
      </c>
      <c r="K949" t="s">
        <v>28</v>
      </c>
      <c r="L949" t="s">
        <v>38</v>
      </c>
      <c r="M949" t="s">
        <v>47</v>
      </c>
      <c r="N949" t="s">
        <v>46</v>
      </c>
      <c r="P949" t="b">
        <v>1</v>
      </c>
      <c r="Q949">
        <v>7.3</v>
      </c>
      <c r="R949" t="b">
        <v>0</v>
      </c>
      <c r="T949">
        <v>0</v>
      </c>
      <c r="U949">
        <v>77.36</v>
      </c>
      <c r="V949" t="b">
        <v>1</v>
      </c>
      <c r="W949" t="s">
        <v>31</v>
      </c>
    </row>
    <row r="950" spans="1:23" x14ac:dyDescent="0.25">
      <c r="A950" t="s">
        <v>32</v>
      </c>
      <c r="B950" t="s">
        <v>33</v>
      </c>
      <c r="C950">
        <v>89.39</v>
      </c>
      <c r="D950">
        <v>183</v>
      </c>
      <c r="E950" t="b">
        <v>0</v>
      </c>
      <c r="F950" t="b">
        <v>0</v>
      </c>
      <c r="G950" t="b">
        <v>1</v>
      </c>
      <c r="H950" t="s">
        <v>53</v>
      </c>
      <c r="I950" t="s">
        <v>44</v>
      </c>
      <c r="J950" t="s">
        <v>54</v>
      </c>
      <c r="K950" t="s">
        <v>37</v>
      </c>
      <c r="L950" t="s">
        <v>51</v>
      </c>
      <c r="M950" t="s">
        <v>47</v>
      </c>
      <c r="N950" t="s">
        <v>39</v>
      </c>
      <c r="O950" t="b">
        <v>0</v>
      </c>
      <c r="P950" t="b">
        <v>0</v>
      </c>
      <c r="Q950">
        <v>6.7</v>
      </c>
      <c r="R950" t="b">
        <v>1</v>
      </c>
      <c r="S950" t="s">
        <v>55</v>
      </c>
      <c r="T950">
        <v>7.2</v>
      </c>
      <c r="U950">
        <v>80.17</v>
      </c>
      <c r="V950" t="b">
        <v>1</v>
      </c>
      <c r="W950" t="s">
        <v>41</v>
      </c>
    </row>
    <row r="951" spans="1:23" x14ac:dyDescent="0.25">
      <c r="A951" t="s">
        <v>56</v>
      </c>
      <c r="B951" t="s">
        <v>62</v>
      </c>
      <c r="C951">
        <v>50.41</v>
      </c>
      <c r="D951">
        <v>355</v>
      </c>
      <c r="E951" t="b">
        <v>0</v>
      </c>
      <c r="F951" t="b">
        <v>0</v>
      </c>
      <c r="G951" t="b">
        <v>0</v>
      </c>
      <c r="H951" t="s">
        <v>43</v>
      </c>
      <c r="I951" t="s">
        <v>44</v>
      </c>
      <c r="J951" t="s">
        <v>27</v>
      </c>
      <c r="K951" t="s">
        <v>39</v>
      </c>
      <c r="L951" t="s">
        <v>29</v>
      </c>
      <c r="M951" t="s">
        <v>47</v>
      </c>
      <c r="N951" t="s">
        <v>39</v>
      </c>
      <c r="O951" t="b">
        <v>1</v>
      </c>
      <c r="P951" t="b">
        <v>1</v>
      </c>
      <c r="Q951">
        <v>5.2</v>
      </c>
      <c r="R951" t="b">
        <v>1</v>
      </c>
      <c r="S951" t="s">
        <v>64</v>
      </c>
      <c r="T951">
        <v>17.8</v>
      </c>
      <c r="U951">
        <v>60</v>
      </c>
      <c r="V951" t="b">
        <v>1</v>
      </c>
      <c r="W951" t="s">
        <v>41</v>
      </c>
    </row>
    <row r="952" spans="1:23" x14ac:dyDescent="0.25">
      <c r="A952" t="s">
        <v>32</v>
      </c>
      <c r="B952" t="s">
        <v>76</v>
      </c>
      <c r="C952">
        <v>88.29</v>
      </c>
      <c r="D952">
        <v>435</v>
      </c>
      <c r="E952" t="b">
        <v>1</v>
      </c>
      <c r="F952" t="b">
        <v>1</v>
      </c>
      <c r="G952" t="b">
        <v>1</v>
      </c>
      <c r="H952" t="s">
        <v>53</v>
      </c>
      <c r="I952" t="s">
        <v>44</v>
      </c>
      <c r="J952" t="s">
        <v>50</v>
      </c>
      <c r="K952" t="s">
        <v>46</v>
      </c>
      <c r="L952" t="s">
        <v>51</v>
      </c>
      <c r="M952" t="s">
        <v>47</v>
      </c>
      <c r="O952" t="b">
        <v>0</v>
      </c>
      <c r="P952" t="b">
        <v>1</v>
      </c>
      <c r="Q952">
        <v>8.1999999999999993</v>
      </c>
      <c r="R952" t="b">
        <v>1</v>
      </c>
      <c r="S952" t="s">
        <v>40</v>
      </c>
      <c r="T952">
        <v>38.4</v>
      </c>
      <c r="U952">
        <v>84.74</v>
      </c>
      <c r="V952" t="b">
        <v>1</v>
      </c>
      <c r="W952" t="s">
        <v>31</v>
      </c>
    </row>
    <row r="953" spans="1:23" x14ac:dyDescent="0.25">
      <c r="A953" t="s">
        <v>68</v>
      </c>
      <c r="B953" t="s">
        <v>76</v>
      </c>
      <c r="C953">
        <v>86.43</v>
      </c>
      <c r="D953">
        <v>208</v>
      </c>
      <c r="E953" t="b">
        <v>1</v>
      </c>
      <c r="F953" t="b">
        <v>1</v>
      </c>
      <c r="G953" t="b">
        <v>1</v>
      </c>
      <c r="H953" t="s">
        <v>34</v>
      </c>
      <c r="I953" t="s">
        <v>44</v>
      </c>
      <c r="J953" t="s">
        <v>50</v>
      </c>
      <c r="K953" t="s">
        <v>39</v>
      </c>
      <c r="L953" t="s">
        <v>37</v>
      </c>
      <c r="M953" t="s">
        <v>39</v>
      </c>
      <c r="N953" t="s">
        <v>39</v>
      </c>
      <c r="O953" t="b">
        <v>0</v>
      </c>
      <c r="P953" t="b">
        <v>0</v>
      </c>
      <c r="Q953">
        <v>7.4</v>
      </c>
      <c r="R953" t="b">
        <v>1</v>
      </c>
      <c r="S953" t="s">
        <v>65</v>
      </c>
      <c r="T953">
        <v>7.4</v>
      </c>
      <c r="U953">
        <v>72.069999999999993</v>
      </c>
      <c r="V953" t="b">
        <v>1</v>
      </c>
      <c r="W953" t="s">
        <v>41</v>
      </c>
    </row>
    <row r="954" spans="1:23" x14ac:dyDescent="0.25">
      <c r="A954" t="s">
        <v>56</v>
      </c>
      <c r="B954" t="s">
        <v>73</v>
      </c>
      <c r="C954">
        <v>63.97</v>
      </c>
      <c r="D954">
        <v>514</v>
      </c>
      <c r="E954" t="b">
        <v>0</v>
      </c>
      <c r="F954" t="b">
        <v>0</v>
      </c>
      <c r="G954" t="b">
        <v>1</v>
      </c>
      <c r="H954" t="s">
        <v>34</v>
      </c>
      <c r="I954" t="s">
        <v>35</v>
      </c>
      <c r="J954" t="s">
        <v>54</v>
      </c>
      <c r="K954" t="s">
        <v>46</v>
      </c>
      <c r="L954" t="s">
        <v>51</v>
      </c>
      <c r="M954" t="s">
        <v>47</v>
      </c>
      <c r="O954" t="b">
        <v>0</v>
      </c>
      <c r="P954" t="b">
        <v>0</v>
      </c>
      <c r="Q954">
        <v>4.5999999999999996</v>
      </c>
      <c r="R954" t="b">
        <v>1</v>
      </c>
      <c r="S954" t="s">
        <v>30</v>
      </c>
      <c r="T954">
        <v>6.7</v>
      </c>
      <c r="U954">
        <v>56.63</v>
      </c>
      <c r="V954" t="b">
        <v>1</v>
      </c>
      <c r="W954" t="s">
        <v>72</v>
      </c>
    </row>
    <row r="955" spans="1:23" x14ac:dyDescent="0.25">
      <c r="A955" t="s">
        <v>61</v>
      </c>
      <c r="B955" t="s">
        <v>33</v>
      </c>
      <c r="C955">
        <v>87.38</v>
      </c>
      <c r="D955">
        <v>430</v>
      </c>
      <c r="E955" t="b">
        <v>1</v>
      </c>
      <c r="F955" t="b">
        <v>1</v>
      </c>
      <c r="G955" t="b">
        <v>1</v>
      </c>
      <c r="H955" t="s">
        <v>25</v>
      </c>
      <c r="I955" t="s">
        <v>67</v>
      </c>
      <c r="J955" t="s">
        <v>27</v>
      </c>
      <c r="K955" t="s">
        <v>46</v>
      </c>
      <c r="L955" t="s">
        <v>37</v>
      </c>
      <c r="M955" t="s">
        <v>39</v>
      </c>
      <c r="N955" t="s">
        <v>46</v>
      </c>
      <c r="P955" t="b">
        <v>1</v>
      </c>
      <c r="Q955">
        <v>9.8000000000000007</v>
      </c>
      <c r="R955" t="b">
        <v>0</v>
      </c>
      <c r="T955">
        <v>0</v>
      </c>
      <c r="U955">
        <v>97.04</v>
      </c>
      <c r="V955" t="b">
        <v>1</v>
      </c>
      <c r="W955" t="s">
        <v>58</v>
      </c>
    </row>
    <row r="956" spans="1:23" x14ac:dyDescent="0.25">
      <c r="A956" t="s">
        <v>74</v>
      </c>
      <c r="B956" t="s">
        <v>33</v>
      </c>
      <c r="C956">
        <v>84.29</v>
      </c>
      <c r="D956">
        <v>528</v>
      </c>
      <c r="E956" t="b">
        <v>0</v>
      </c>
      <c r="F956" t="b">
        <v>1</v>
      </c>
      <c r="G956" t="b">
        <v>1</v>
      </c>
      <c r="H956" t="s">
        <v>53</v>
      </c>
      <c r="I956" t="s">
        <v>35</v>
      </c>
      <c r="J956" t="s">
        <v>45</v>
      </c>
      <c r="K956" t="s">
        <v>28</v>
      </c>
      <c r="L956" t="s">
        <v>37</v>
      </c>
      <c r="M956" t="s">
        <v>39</v>
      </c>
      <c r="P956" t="b">
        <v>0</v>
      </c>
      <c r="Q956">
        <v>7.9</v>
      </c>
      <c r="R956" t="b">
        <v>0</v>
      </c>
      <c r="T956">
        <v>0</v>
      </c>
      <c r="U956">
        <v>94.79</v>
      </c>
      <c r="V956" t="b">
        <v>1</v>
      </c>
      <c r="W956" t="s">
        <v>31</v>
      </c>
    </row>
    <row r="957" spans="1:23" x14ac:dyDescent="0.25">
      <c r="A957" t="s">
        <v>74</v>
      </c>
      <c r="B957" t="s">
        <v>71</v>
      </c>
      <c r="C957">
        <v>45.48</v>
      </c>
      <c r="D957">
        <v>276</v>
      </c>
      <c r="E957" t="b">
        <v>0</v>
      </c>
      <c r="F957" t="b">
        <v>0</v>
      </c>
      <c r="G957" t="b">
        <v>1</v>
      </c>
      <c r="H957" t="s">
        <v>25</v>
      </c>
      <c r="I957" t="s">
        <v>26</v>
      </c>
      <c r="J957" t="s">
        <v>54</v>
      </c>
      <c r="K957" t="s">
        <v>46</v>
      </c>
      <c r="L957" t="s">
        <v>29</v>
      </c>
      <c r="M957" t="s">
        <v>28</v>
      </c>
      <c r="N957" t="s">
        <v>39</v>
      </c>
      <c r="O957" t="b">
        <v>1</v>
      </c>
      <c r="P957" t="b">
        <v>1</v>
      </c>
      <c r="Q957">
        <v>7.9</v>
      </c>
      <c r="R957" t="b">
        <v>0</v>
      </c>
      <c r="T957">
        <v>0</v>
      </c>
      <c r="U957">
        <v>38.53</v>
      </c>
      <c r="V957" t="b">
        <v>0</v>
      </c>
      <c r="W957" t="s">
        <v>31</v>
      </c>
    </row>
    <row r="958" spans="1:23" x14ac:dyDescent="0.25">
      <c r="A958" t="s">
        <v>23</v>
      </c>
      <c r="B958" t="s">
        <v>49</v>
      </c>
      <c r="C958">
        <v>68.7</v>
      </c>
      <c r="D958">
        <v>629</v>
      </c>
      <c r="E958" t="b">
        <v>1</v>
      </c>
      <c r="F958" t="b">
        <v>0</v>
      </c>
      <c r="G958" t="b">
        <v>1</v>
      </c>
      <c r="H958" t="s">
        <v>25</v>
      </c>
      <c r="I958" t="s">
        <v>35</v>
      </c>
      <c r="J958" t="s">
        <v>54</v>
      </c>
      <c r="K958" t="s">
        <v>37</v>
      </c>
      <c r="L958" t="s">
        <v>51</v>
      </c>
      <c r="M958" t="s">
        <v>28</v>
      </c>
      <c r="N958" t="s">
        <v>46</v>
      </c>
      <c r="O958" t="b">
        <v>1</v>
      </c>
      <c r="P958" t="b">
        <v>0</v>
      </c>
      <c r="Q958">
        <v>9.8000000000000007</v>
      </c>
      <c r="R958" t="b">
        <v>0</v>
      </c>
      <c r="T958">
        <v>0</v>
      </c>
      <c r="U958">
        <v>79.77</v>
      </c>
      <c r="V958" t="b">
        <v>1</v>
      </c>
      <c r="W958" t="s">
        <v>58</v>
      </c>
    </row>
    <row r="959" spans="1:23" x14ac:dyDescent="0.25">
      <c r="A959" t="s">
        <v>68</v>
      </c>
      <c r="B959" t="s">
        <v>59</v>
      </c>
      <c r="C959">
        <v>92.66</v>
      </c>
      <c r="D959">
        <v>387</v>
      </c>
      <c r="E959" t="b">
        <v>1</v>
      </c>
      <c r="F959" t="b">
        <v>0</v>
      </c>
      <c r="G959" t="b">
        <v>1</v>
      </c>
      <c r="H959" t="s">
        <v>43</v>
      </c>
      <c r="I959" t="s">
        <v>57</v>
      </c>
      <c r="J959" t="s">
        <v>36</v>
      </c>
      <c r="K959" t="s">
        <v>39</v>
      </c>
      <c r="L959" t="s">
        <v>51</v>
      </c>
      <c r="M959" t="s">
        <v>47</v>
      </c>
      <c r="O959" t="b">
        <v>0</v>
      </c>
      <c r="P959" t="b">
        <v>1</v>
      </c>
      <c r="Q959">
        <v>8.1</v>
      </c>
      <c r="R959" t="b">
        <v>1</v>
      </c>
      <c r="S959" t="s">
        <v>64</v>
      </c>
      <c r="T959">
        <v>43.8</v>
      </c>
      <c r="U959">
        <v>81.75</v>
      </c>
      <c r="V959" t="b">
        <v>1</v>
      </c>
      <c r="W959" t="s">
        <v>31</v>
      </c>
    </row>
    <row r="960" spans="1:23" x14ac:dyDescent="0.25">
      <c r="A960" t="s">
        <v>74</v>
      </c>
      <c r="B960" t="s">
        <v>62</v>
      </c>
      <c r="C960">
        <v>59.89</v>
      </c>
      <c r="D960">
        <v>701</v>
      </c>
      <c r="E960" t="b">
        <v>0</v>
      </c>
      <c r="F960" t="b">
        <v>0</v>
      </c>
      <c r="G960" t="b">
        <v>1</v>
      </c>
      <c r="H960" t="s">
        <v>34</v>
      </c>
      <c r="I960" t="s">
        <v>26</v>
      </c>
      <c r="J960" t="s">
        <v>45</v>
      </c>
      <c r="K960" t="s">
        <v>39</v>
      </c>
      <c r="L960" t="s">
        <v>69</v>
      </c>
      <c r="M960" t="s">
        <v>39</v>
      </c>
      <c r="O960" t="b">
        <v>1</v>
      </c>
      <c r="P960" t="b">
        <v>1</v>
      </c>
      <c r="Q960">
        <v>8.3000000000000007</v>
      </c>
      <c r="R960" t="b">
        <v>1</v>
      </c>
      <c r="S960" t="s">
        <v>75</v>
      </c>
      <c r="T960">
        <v>30.5</v>
      </c>
      <c r="U960">
        <v>62.75</v>
      </c>
      <c r="V960" t="b">
        <v>0</v>
      </c>
      <c r="W960" t="s">
        <v>31</v>
      </c>
    </row>
    <row r="961" spans="1:23" x14ac:dyDescent="0.25">
      <c r="A961" t="s">
        <v>61</v>
      </c>
      <c r="B961" t="s">
        <v>62</v>
      </c>
      <c r="C961">
        <v>69</v>
      </c>
      <c r="D961">
        <v>724</v>
      </c>
      <c r="E961" t="b">
        <v>0</v>
      </c>
      <c r="F961" t="b">
        <v>1</v>
      </c>
      <c r="G961" t="b">
        <v>1</v>
      </c>
      <c r="H961" t="s">
        <v>43</v>
      </c>
      <c r="I961" t="s">
        <v>44</v>
      </c>
      <c r="J961" t="s">
        <v>54</v>
      </c>
      <c r="K961" t="s">
        <v>39</v>
      </c>
      <c r="L961" t="s">
        <v>38</v>
      </c>
      <c r="M961" t="s">
        <v>47</v>
      </c>
      <c r="O961" t="b">
        <v>1</v>
      </c>
      <c r="P961" t="b">
        <v>0</v>
      </c>
      <c r="Q961">
        <v>8.3000000000000007</v>
      </c>
      <c r="R961" t="b">
        <v>1</v>
      </c>
      <c r="S961" t="s">
        <v>30</v>
      </c>
      <c r="T961">
        <v>8</v>
      </c>
      <c r="U961">
        <v>72.650000000000006</v>
      </c>
      <c r="V961" t="b">
        <v>1</v>
      </c>
      <c r="W961" t="s">
        <v>31</v>
      </c>
    </row>
    <row r="962" spans="1:23" x14ac:dyDescent="0.25">
      <c r="A962" t="s">
        <v>68</v>
      </c>
      <c r="B962" t="s">
        <v>66</v>
      </c>
      <c r="C962">
        <v>70.42</v>
      </c>
      <c r="D962">
        <v>268</v>
      </c>
      <c r="E962" t="b">
        <v>0</v>
      </c>
      <c r="F962" t="b">
        <v>1</v>
      </c>
      <c r="G962" t="b">
        <v>0</v>
      </c>
      <c r="H962" t="s">
        <v>34</v>
      </c>
      <c r="I962" t="s">
        <v>26</v>
      </c>
      <c r="J962" t="s">
        <v>54</v>
      </c>
      <c r="K962" t="s">
        <v>28</v>
      </c>
      <c r="L962" t="s">
        <v>29</v>
      </c>
      <c r="M962" t="s">
        <v>39</v>
      </c>
      <c r="N962" t="s">
        <v>39</v>
      </c>
      <c r="O962" t="b">
        <v>1</v>
      </c>
      <c r="P962" t="b">
        <v>1</v>
      </c>
      <c r="Q962">
        <v>8.1999999999999993</v>
      </c>
      <c r="R962" t="b">
        <v>1</v>
      </c>
      <c r="S962" t="s">
        <v>40</v>
      </c>
      <c r="T962">
        <v>3.1</v>
      </c>
      <c r="U962">
        <v>70.39</v>
      </c>
      <c r="V962" t="b">
        <v>1</v>
      </c>
      <c r="W962" t="s">
        <v>31</v>
      </c>
    </row>
    <row r="963" spans="1:23" x14ac:dyDescent="0.25">
      <c r="A963" t="s">
        <v>74</v>
      </c>
      <c r="B963" t="s">
        <v>59</v>
      </c>
      <c r="C963">
        <v>77.34</v>
      </c>
      <c r="D963">
        <v>631</v>
      </c>
      <c r="E963" t="b">
        <v>1</v>
      </c>
      <c r="F963" t="b">
        <v>0</v>
      </c>
      <c r="G963" t="b">
        <v>1</v>
      </c>
      <c r="H963" t="s">
        <v>43</v>
      </c>
      <c r="I963" t="s">
        <v>67</v>
      </c>
      <c r="J963" t="s">
        <v>27</v>
      </c>
      <c r="K963" t="s">
        <v>37</v>
      </c>
      <c r="L963" t="s">
        <v>69</v>
      </c>
      <c r="M963" t="s">
        <v>46</v>
      </c>
      <c r="N963" t="s">
        <v>39</v>
      </c>
      <c r="O963" t="b">
        <v>1</v>
      </c>
      <c r="P963" t="b">
        <v>0</v>
      </c>
      <c r="Q963">
        <v>10</v>
      </c>
      <c r="R963" t="b">
        <v>0</v>
      </c>
      <c r="T963">
        <v>0</v>
      </c>
      <c r="U963">
        <v>67.02</v>
      </c>
      <c r="V963" t="b">
        <v>0</v>
      </c>
      <c r="W963" t="s">
        <v>58</v>
      </c>
    </row>
    <row r="964" spans="1:23" x14ac:dyDescent="0.25">
      <c r="A964" t="s">
        <v>68</v>
      </c>
      <c r="B964" t="s">
        <v>42</v>
      </c>
      <c r="C964">
        <v>70.63</v>
      </c>
      <c r="D964">
        <v>631</v>
      </c>
      <c r="E964" t="b">
        <v>0</v>
      </c>
      <c r="F964" t="b">
        <v>0</v>
      </c>
      <c r="G964" t="b">
        <v>0</v>
      </c>
      <c r="H964" t="s">
        <v>53</v>
      </c>
      <c r="I964" t="s">
        <v>67</v>
      </c>
      <c r="J964" t="s">
        <v>45</v>
      </c>
      <c r="K964" t="s">
        <v>28</v>
      </c>
      <c r="L964" t="s">
        <v>37</v>
      </c>
      <c r="M964" t="s">
        <v>28</v>
      </c>
      <c r="N964" t="s">
        <v>46</v>
      </c>
      <c r="P964" t="b">
        <v>0</v>
      </c>
      <c r="Q964">
        <v>8.4</v>
      </c>
      <c r="R964" t="b">
        <v>0</v>
      </c>
      <c r="T964">
        <v>0</v>
      </c>
      <c r="U964">
        <v>85.13</v>
      </c>
      <c r="V964" t="b">
        <v>1</v>
      </c>
      <c r="W964" t="s">
        <v>58</v>
      </c>
    </row>
    <row r="965" spans="1:23" x14ac:dyDescent="0.25">
      <c r="A965" t="s">
        <v>61</v>
      </c>
      <c r="B965" t="s">
        <v>59</v>
      </c>
      <c r="C965">
        <v>80.349999999999994</v>
      </c>
      <c r="D965">
        <v>171</v>
      </c>
      <c r="E965" t="b">
        <v>0</v>
      </c>
      <c r="F965" t="b">
        <v>1</v>
      </c>
      <c r="G965" t="b">
        <v>0</v>
      </c>
      <c r="H965" t="s">
        <v>43</v>
      </c>
      <c r="I965" t="s">
        <v>44</v>
      </c>
      <c r="J965" t="s">
        <v>27</v>
      </c>
      <c r="K965" t="s">
        <v>39</v>
      </c>
      <c r="L965" t="s">
        <v>37</v>
      </c>
      <c r="M965" t="s">
        <v>28</v>
      </c>
      <c r="P965" t="b">
        <v>1</v>
      </c>
      <c r="Q965">
        <v>7.9</v>
      </c>
      <c r="R965" t="b">
        <v>1</v>
      </c>
      <c r="S965" t="s">
        <v>64</v>
      </c>
      <c r="T965">
        <v>32</v>
      </c>
      <c r="U965">
        <v>75.27</v>
      </c>
      <c r="V965" t="b">
        <v>1</v>
      </c>
      <c r="W965" t="s">
        <v>41</v>
      </c>
    </row>
    <row r="966" spans="1:23" x14ac:dyDescent="0.25">
      <c r="A966" t="s">
        <v>68</v>
      </c>
      <c r="B966" t="s">
        <v>71</v>
      </c>
      <c r="C966">
        <v>41.66</v>
      </c>
      <c r="D966">
        <v>551</v>
      </c>
      <c r="E966" t="b">
        <v>1</v>
      </c>
      <c r="F966" t="b">
        <v>0</v>
      </c>
      <c r="G966" t="b">
        <v>0</v>
      </c>
      <c r="H966" t="s">
        <v>34</v>
      </c>
      <c r="I966" t="s">
        <v>63</v>
      </c>
      <c r="J966" t="s">
        <v>45</v>
      </c>
      <c r="K966" t="s">
        <v>28</v>
      </c>
      <c r="L966" t="s">
        <v>37</v>
      </c>
      <c r="M966" t="s">
        <v>46</v>
      </c>
      <c r="O966" t="b">
        <v>1</v>
      </c>
      <c r="P966" t="b">
        <v>1</v>
      </c>
      <c r="Q966">
        <v>7.1</v>
      </c>
      <c r="R966" t="b">
        <v>1</v>
      </c>
      <c r="S966" t="s">
        <v>30</v>
      </c>
      <c r="T966">
        <v>8.6999999999999993</v>
      </c>
      <c r="U966">
        <v>24.24</v>
      </c>
      <c r="V966" t="b">
        <v>0</v>
      </c>
      <c r="W966" t="s">
        <v>41</v>
      </c>
    </row>
    <row r="967" spans="1:23" x14ac:dyDescent="0.25">
      <c r="A967" t="s">
        <v>32</v>
      </c>
      <c r="B967" t="s">
        <v>71</v>
      </c>
      <c r="C967">
        <v>54.89</v>
      </c>
      <c r="D967">
        <v>108</v>
      </c>
      <c r="E967" t="b">
        <v>1</v>
      </c>
      <c r="F967" t="b">
        <v>1</v>
      </c>
      <c r="G967" t="b">
        <v>1</v>
      </c>
      <c r="H967" t="s">
        <v>34</v>
      </c>
      <c r="I967" t="s">
        <v>57</v>
      </c>
      <c r="J967" t="s">
        <v>54</v>
      </c>
      <c r="K967" t="s">
        <v>46</v>
      </c>
      <c r="L967" t="s">
        <v>69</v>
      </c>
      <c r="M967" t="s">
        <v>28</v>
      </c>
      <c r="P967" t="b">
        <v>0</v>
      </c>
      <c r="Q967">
        <v>7.3</v>
      </c>
      <c r="R967" t="b">
        <v>0</v>
      </c>
      <c r="T967">
        <v>0</v>
      </c>
      <c r="U967">
        <v>42.88</v>
      </c>
      <c r="V967" t="b">
        <v>0</v>
      </c>
      <c r="W967" t="s">
        <v>31</v>
      </c>
    </row>
    <row r="968" spans="1:23" x14ac:dyDescent="0.25">
      <c r="A968" t="s">
        <v>68</v>
      </c>
      <c r="B968" t="s">
        <v>49</v>
      </c>
      <c r="C968">
        <v>67.02</v>
      </c>
      <c r="D968">
        <v>105</v>
      </c>
      <c r="E968" t="b">
        <v>1</v>
      </c>
      <c r="F968" t="b">
        <v>1</v>
      </c>
      <c r="G968" t="b">
        <v>1</v>
      </c>
      <c r="H968" t="s">
        <v>25</v>
      </c>
      <c r="I968" t="s">
        <v>26</v>
      </c>
      <c r="J968" t="s">
        <v>27</v>
      </c>
      <c r="K968" t="s">
        <v>37</v>
      </c>
      <c r="L968" t="s">
        <v>37</v>
      </c>
      <c r="M968" t="s">
        <v>28</v>
      </c>
      <c r="N968" t="s">
        <v>46</v>
      </c>
      <c r="O968" t="b">
        <v>1</v>
      </c>
      <c r="P968" t="b">
        <v>1</v>
      </c>
      <c r="Q968">
        <v>9.5</v>
      </c>
      <c r="R968" t="b">
        <v>0</v>
      </c>
      <c r="T968">
        <v>0</v>
      </c>
      <c r="U968">
        <v>59.94</v>
      </c>
      <c r="V968" t="b">
        <v>0</v>
      </c>
      <c r="W968" t="s">
        <v>58</v>
      </c>
    </row>
    <row r="969" spans="1:23" x14ac:dyDescent="0.25">
      <c r="A969" t="s">
        <v>61</v>
      </c>
      <c r="B969" t="s">
        <v>71</v>
      </c>
      <c r="C969">
        <v>48.62</v>
      </c>
      <c r="D969">
        <v>442</v>
      </c>
      <c r="E969" t="b">
        <v>1</v>
      </c>
      <c r="F969" t="b">
        <v>1</v>
      </c>
      <c r="G969" t="b">
        <v>0</v>
      </c>
      <c r="H969" t="s">
        <v>53</v>
      </c>
      <c r="I969" t="s">
        <v>63</v>
      </c>
      <c r="J969" t="s">
        <v>50</v>
      </c>
      <c r="K969" t="s">
        <v>28</v>
      </c>
      <c r="L969" t="s">
        <v>29</v>
      </c>
      <c r="M969" t="s">
        <v>28</v>
      </c>
      <c r="N969" t="s">
        <v>39</v>
      </c>
      <c r="P969" t="b">
        <v>0</v>
      </c>
      <c r="Q969">
        <v>6.6</v>
      </c>
      <c r="R969" t="b">
        <v>0</v>
      </c>
      <c r="T969">
        <v>0</v>
      </c>
      <c r="U969">
        <v>42.55</v>
      </c>
      <c r="V969" t="b">
        <v>0</v>
      </c>
      <c r="W969" t="s">
        <v>31</v>
      </c>
    </row>
    <row r="970" spans="1:23" x14ac:dyDescent="0.25">
      <c r="A970" t="s">
        <v>56</v>
      </c>
      <c r="B970" t="s">
        <v>76</v>
      </c>
      <c r="C970">
        <v>83.86</v>
      </c>
      <c r="D970">
        <v>353</v>
      </c>
      <c r="E970" t="b">
        <v>1</v>
      </c>
      <c r="F970" t="b">
        <v>1</v>
      </c>
      <c r="G970" t="b">
        <v>1</v>
      </c>
      <c r="H970" t="s">
        <v>43</v>
      </c>
      <c r="I970" t="s">
        <v>35</v>
      </c>
      <c r="J970" t="s">
        <v>27</v>
      </c>
      <c r="K970" t="s">
        <v>46</v>
      </c>
      <c r="L970" t="s">
        <v>29</v>
      </c>
      <c r="M970" t="s">
        <v>39</v>
      </c>
      <c r="N970" t="s">
        <v>28</v>
      </c>
      <c r="O970" t="b">
        <v>1</v>
      </c>
      <c r="P970" t="b">
        <v>0</v>
      </c>
      <c r="Q970">
        <v>10</v>
      </c>
      <c r="R970" t="b">
        <v>0</v>
      </c>
      <c r="T970">
        <v>0</v>
      </c>
      <c r="U970">
        <v>75.37</v>
      </c>
      <c r="V970" t="b">
        <v>0</v>
      </c>
      <c r="W970" t="s">
        <v>58</v>
      </c>
    </row>
    <row r="971" spans="1:23" x14ac:dyDescent="0.25">
      <c r="A971" t="s">
        <v>68</v>
      </c>
      <c r="B971" t="s">
        <v>60</v>
      </c>
      <c r="C971">
        <v>42.42</v>
      </c>
      <c r="D971">
        <v>666</v>
      </c>
      <c r="E971" t="b">
        <v>0</v>
      </c>
      <c r="F971" t="b">
        <v>0</v>
      </c>
      <c r="G971" t="b">
        <v>1</v>
      </c>
      <c r="H971" t="s">
        <v>25</v>
      </c>
      <c r="I971" t="s">
        <v>35</v>
      </c>
      <c r="J971" t="s">
        <v>27</v>
      </c>
      <c r="K971" t="s">
        <v>46</v>
      </c>
      <c r="L971" t="s">
        <v>38</v>
      </c>
      <c r="M971" t="s">
        <v>47</v>
      </c>
      <c r="N971" t="s">
        <v>46</v>
      </c>
      <c r="P971" t="b">
        <v>1</v>
      </c>
      <c r="Q971">
        <v>4.9000000000000004</v>
      </c>
      <c r="R971" t="b">
        <v>1</v>
      </c>
      <c r="S971" t="s">
        <v>65</v>
      </c>
      <c r="T971">
        <v>7.3</v>
      </c>
      <c r="U971">
        <v>52.95</v>
      </c>
      <c r="V971" t="b">
        <v>1</v>
      </c>
      <c r="W971" t="s">
        <v>72</v>
      </c>
    </row>
    <row r="972" spans="1:23" x14ac:dyDescent="0.25">
      <c r="A972" t="s">
        <v>61</v>
      </c>
      <c r="B972" t="s">
        <v>73</v>
      </c>
      <c r="C972">
        <v>56.66</v>
      </c>
      <c r="D972">
        <v>377</v>
      </c>
      <c r="E972" t="b">
        <v>0</v>
      </c>
      <c r="F972" t="b">
        <v>0</v>
      </c>
      <c r="G972" t="b">
        <v>1</v>
      </c>
      <c r="H972" t="s">
        <v>43</v>
      </c>
      <c r="I972" t="s">
        <v>57</v>
      </c>
      <c r="J972" t="s">
        <v>36</v>
      </c>
      <c r="K972" t="s">
        <v>37</v>
      </c>
      <c r="L972" t="s">
        <v>29</v>
      </c>
      <c r="M972" t="s">
        <v>28</v>
      </c>
      <c r="N972" t="s">
        <v>28</v>
      </c>
      <c r="O972" t="b">
        <v>1</v>
      </c>
      <c r="P972" t="b">
        <v>1</v>
      </c>
      <c r="Q972">
        <v>7.9</v>
      </c>
      <c r="R972" t="b">
        <v>1</v>
      </c>
      <c r="S972" t="s">
        <v>40</v>
      </c>
      <c r="T972">
        <v>38.200000000000003</v>
      </c>
      <c r="U972">
        <v>41.83</v>
      </c>
      <c r="V972" t="b">
        <v>0</v>
      </c>
      <c r="W972" t="s">
        <v>41</v>
      </c>
    </row>
    <row r="973" spans="1:23" x14ac:dyDescent="0.25">
      <c r="A973" t="s">
        <v>32</v>
      </c>
      <c r="B973" t="s">
        <v>66</v>
      </c>
      <c r="C973">
        <v>69.31</v>
      </c>
      <c r="D973">
        <v>100</v>
      </c>
      <c r="E973" t="b">
        <v>0</v>
      </c>
      <c r="F973" t="b">
        <v>0</v>
      </c>
      <c r="G973" t="b">
        <v>1</v>
      </c>
      <c r="H973" t="s">
        <v>53</v>
      </c>
      <c r="I973" t="s">
        <v>35</v>
      </c>
      <c r="J973" t="s">
        <v>45</v>
      </c>
      <c r="K973" t="s">
        <v>39</v>
      </c>
      <c r="L973" t="s">
        <v>38</v>
      </c>
      <c r="M973" t="s">
        <v>39</v>
      </c>
      <c r="N973" t="s">
        <v>28</v>
      </c>
      <c r="P973" t="b">
        <v>1</v>
      </c>
      <c r="Q973">
        <v>7</v>
      </c>
      <c r="R973" t="b">
        <v>0</v>
      </c>
      <c r="T973">
        <v>0</v>
      </c>
      <c r="U973">
        <v>65.760000000000005</v>
      </c>
      <c r="V973" t="b">
        <v>1</v>
      </c>
      <c r="W973" t="s">
        <v>31</v>
      </c>
    </row>
    <row r="974" spans="1:23" x14ac:dyDescent="0.25">
      <c r="A974" t="s">
        <v>61</v>
      </c>
      <c r="B974" t="s">
        <v>60</v>
      </c>
      <c r="C974">
        <v>57.41</v>
      </c>
      <c r="D974">
        <v>299</v>
      </c>
      <c r="E974" t="b">
        <v>0</v>
      </c>
      <c r="F974" t="b">
        <v>0</v>
      </c>
      <c r="G974" t="b">
        <v>0</v>
      </c>
      <c r="H974" t="s">
        <v>34</v>
      </c>
      <c r="I974" t="s">
        <v>44</v>
      </c>
      <c r="J974" t="s">
        <v>27</v>
      </c>
      <c r="K974" t="s">
        <v>46</v>
      </c>
      <c r="L974" t="s">
        <v>69</v>
      </c>
      <c r="M974" t="s">
        <v>47</v>
      </c>
      <c r="N974" t="s">
        <v>46</v>
      </c>
      <c r="O974" t="b">
        <v>0</v>
      </c>
      <c r="P974" t="b">
        <v>1</v>
      </c>
      <c r="Q974">
        <v>4.7</v>
      </c>
      <c r="R974" t="b">
        <v>1</v>
      </c>
      <c r="S974" t="s">
        <v>40</v>
      </c>
      <c r="T974">
        <v>26.2</v>
      </c>
      <c r="U974">
        <v>71.09</v>
      </c>
      <c r="V974" t="b">
        <v>0</v>
      </c>
      <c r="W974" t="s">
        <v>72</v>
      </c>
    </row>
    <row r="975" spans="1:23" x14ac:dyDescent="0.25">
      <c r="A975" t="s">
        <v>23</v>
      </c>
      <c r="B975" t="s">
        <v>62</v>
      </c>
      <c r="C975">
        <v>53.51</v>
      </c>
      <c r="D975">
        <v>364</v>
      </c>
      <c r="E975" t="b">
        <v>1</v>
      </c>
      <c r="F975" t="b">
        <v>0</v>
      </c>
      <c r="G975" t="b">
        <v>0</v>
      </c>
      <c r="H975" t="s">
        <v>25</v>
      </c>
      <c r="I975" t="s">
        <v>57</v>
      </c>
      <c r="J975" t="s">
        <v>50</v>
      </c>
      <c r="K975" t="s">
        <v>46</v>
      </c>
      <c r="L975" t="s">
        <v>69</v>
      </c>
      <c r="M975" t="s">
        <v>39</v>
      </c>
      <c r="P975" t="b">
        <v>0</v>
      </c>
      <c r="Q975">
        <v>7.6</v>
      </c>
      <c r="R975" t="b">
        <v>1</v>
      </c>
      <c r="S975" t="s">
        <v>65</v>
      </c>
      <c r="T975">
        <v>6.6</v>
      </c>
      <c r="U975">
        <v>65.19</v>
      </c>
      <c r="V975" t="b">
        <v>1</v>
      </c>
      <c r="W975" t="s">
        <v>41</v>
      </c>
    </row>
    <row r="976" spans="1:23" x14ac:dyDescent="0.25">
      <c r="A976" t="s">
        <v>23</v>
      </c>
      <c r="B976" t="s">
        <v>73</v>
      </c>
      <c r="C976">
        <v>64.489999999999995</v>
      </c>
      <c r="D976">
        <v>604</v>
      </c>
      <c r="E976" t="b">
        <v>1</v>
      </c>
      <c r="F976" t="b">
        <v>1</v>
      </c>
      <c r="G976" t="b">
        <v>1</v>
      </c>
      <c r="H976" t="s">
        <v>43</v>
      </c>
      <c r="I976" t="s">
        <v>44</v>
      </c>
      <c r="J976" t="s">
        <v>54</v>
      </c>
      <c r="K976" t="s">
        <v>46</v>
      </c>
      <c r="L976" t="s">
        <v>51</v>
      </c>
      <c r="M976" t="s">
        <v>28</v>
      </c>
      <c r="N976" t="s">
        <v>39</v>
      </c>
      <c r="P976" t="b">
        <v>1</v>
      </c>
      <c r="Q976">
        <v>8.6</v>
      </c>
      <c r="R976" t="b">
        <v>1</v>
      </c>
      <c r="S976" t="s">
        <v>40</v>
      </c>
      <c r="T976">
        <v>29.1</v>
      </c>
      <c r="U976">
        <v>64.06</v>
      </c>
      <c r="V976" t="b">
        <v>0</v>
      </c>
      <c r="W976" t="s">
        <v>31</v>
      </c>
    </row>
    <row r="977" spans="1:23" x14ac:dyDescent="0.25">
      <c r="A977" t="s">
        <v>23</v>
      </c>
      <c r="B977" t="s">
        <v>24</v>
      </c>
      <c r="C977">
        <v>92.33</v>
      </c>
      <c r="D977">
        <v>53</v>
      </c>
      <c r="E977" t="b">
        <v>0</v>
      </c>
      <c r="F977" t="b">
        <v>0</v>
      </c>
      <c r="G977" t="b">
        <v>0</v>
      </c>
      <c r="H977" t="s">
        <v>43</v>
      </c>
      <c r="I977" t="s">
        <v>57</v>
      </c>
      <c r="J977" t="s">
        <v>50</v>
      </c>
      <c r="K977" t="s">
        <v>39</v>
      </c>
      <c r="L977" t="s">
        <v>38</v>
      </c>
      <c r="M977" t="s">
        <v>28</v>
      </c>
      <c r="N977" t="s">
        <v>28</v>
      </c>
      <c r="O977" t="b">
        <v>1</v>
      </c>
      <c r="P977" t="b">
        <v>1</v>
      </c>
      <c r="Q977">
        <v>10</v>
      </c>
      <c r="R977" t="b">
        <v>1</v>
      </c>
      <c r="S977" t="s">
        <v>55</v>
      </c>
      <c r="T977">
        <v>23.3</v>
      </c>
      <c r="U977">
        <v>100</v>
      </c>
      <c r="V977" t="b">
        <v>1</v>
      </c>
      <c r="W977" t="s">
        <v>31</v>
      </c>
    </row>
    <row r="978" spans="1:23" x14ac:dyDescent="0.25">
      <c r="A978" t="s">
        <v>68</v>
      </c>
      <c r="B978" t="s">
        <v>42</v>
      </c>
      <c r="C978">
        <v>66.760000000000005</v>
      </c>
      <c r="D978">
        <v>642</v>
      </c>
      <c r="E978" t="b">
        <v>0</v>
      </c>
      <c r="F978" t="b">
        <v>0</v>
      </c>
      <c r="G978" t="b">
        <v>1</v>
      </c>
      <c r="H978" t="s">
        <v>34</v>
      </c>
      <c r="I978" t="s">
        <v>67</v>
      </c>
      <c r="J978" t="s">
        <v>50</v>
      </c>
      <c r="K978" t="s">
        <v>28</v>
      </c>
      <c r="L978" t="s">
        <v>51</v>
      </c>
      <c r="M978" t="s">
        <v>28</v>
      </c>
      <c r="O978" t="b">
        <v>1</v>
      </c>
      <c r="P978" t="b">
        <v>0</v>
      </c>
      <c r="Q978">
        <v>9.1999999999999993</v>
      </c>
      <c r="R978" t="b">
        <v>0</v>
      </c>
      <c r="T978">
        <v>0</v>
      </c>
      <c r="U978">
        <v>78.95</v>
      </c>
      <c r="V978" t="b">
        <v>1</v>
      </c>
      <c r="W978" t="s">
        <v>58</v>
      </c>
    </row>
    <row r="979" spans="1:23" x14ac:dyDescent="0.25">
      <c r="A979" t="s">
        <v>61</v>
      </c>
      <c r="B979" t="s">
        <v>71</v>
      </c>
      <c r="C979">
        <v>43.08</v>
      </c>
      <c r="D979">
        <v>552</v>
      </c>
      <c r="E979" t="b">
        <v>1</v>
      </c>
      <c r="F979" t="b">
        <v>0</v>
      </c>
      <c r="G979" t="b">
        <v>0</v>
      </c>
      <c r="H979" t="s">
        <v>53</v>
      </c>
      <c r="I979" t="s">
        <v>67</v>
      </c>
      <c r="J979" t="s">
        <v>54</v>
      </c>
      <c r="K979" t="s">
        <v>39</v>
      </c>
      <c r="L979" t="s">
        <v>29</v>
      </c>
      <c r="M979" t="s">
        <v>46</v>
      </c>
      <c r="N979" t="s">
        <v>46</v>
      </c>
      <c r="O979" t="b">
        <v>0</v>
      </c>
      <c r="P979" t="b">
        <v>1</v>
      </c>
      <c r="Q979">
        <v>3.8</v>
      </c>
      <c r="R979" t="b">
        <v>1</v>
      </c>
      <c r="S979" t="s">
        <v>40</v>
      </c>
      <c r="T979">
        <v>22.7</v>
      </c>
      <c r="U979">
        <v>25.05</v>
      </c>
      <c r="V979" t="b">
        <v>1</v>
      </c>
      <c r="W979" t="s">
        <v>72</v>
      </c>
    </row>
    <row r="980" spans="1:23" x14ac:dyDescent="0.25">
      <c r="A980" t="s">
        <v>74</v>
      </c>
      <c r="B980" t="s">
        <v>73</v>
      </c>
      <c r="C980">
        <v>69.37</v>
      </c>
      <c r="D980">
        <v>276</v>
      </c>
      <c r="E980" t="b">
        <v>0</v>
      </c>
      <c r="F980" t="b">
        <v>1</v>
      </c>
      <c r="G980" t="b">
        <v>0</v>
      </c>
      <c r="H980" t="s">
        <v>53</v>
      </c>
      <c r="I980" t="s">
        <v>67</v>
      </c>
      <c r="J980" t="s">
        <v>54</v>
      </c>
      <c r="K980" t="s">
        <v>28</v>
      </c>
      <c r="L980" t="s">
        <v>29</v>
      </c>
      <c r="M980" t="s">
        <v>46</v>
      </c>
      <c r="N980" t="s">
        <v>46</v>
      </c>
      <c r="O980" t="b">
        <v>0</v>
      </c>
      <c r="P980" t="b">
        <v>1</v>
      </c>
      <c r="Q980">
        <v>6.2</v>
      </c>
      <c r="R980" t="b">
        <v>0</v>
      </c>
      <c r="T980">
        <v>0</v>
      </c>
      <c r="U980">
        <v>70.84</v>
      </c>
      <c r="V980" t="b">
        <v>1</v>
      </c>
      <c r="W980" t="s">
        <v>31</v>
      </c>
    </row>
    <row r="981" spans="1:23" x14ac:dyDescent="0.25">
      <c r="A981" t="s">
        <v>56</v>
      </c>
      <c r="B981" t="s">
        <v>66</v>
      </c>
      <c r="C981">
        <v>60.59</v>
      </c>
      <c r="D981">
        <v>123</v>
      </c>
      <c r="E981" t="b">
        <v>1</v>
      </c>
      <c r="F981" t="b">
        <v>0</v>
      </c>
      <c r="G981" t="b">
        <v>1</v>
      </c>
      <c r="H981" t="s">
        <v>34</v>
      </c>
      <c r="I981" t="s">
        <v>67</v>
      </c>
      <c r="J981" t="s">
        <v>54</v>
      </c>
      <c r="K981" t="s">
        <v>37</v>
      </c>
      <c r="L981" t="s">
        <v>69</v>
      </c>
      <c r="M981" t="s">
        <v>47</v>
      </c>
      <c r="N981" t="s">
        <v>46</v>
      </c>
      <c r="P981" t="b">
        <v>1</v>
      </c>
      <c r="Q981">
        <v>6.5</v>
      </c>
      <c r="R981" t="b">
        <v>1</v>
      </c>
      <c r="S981" t="s">
        <v>48</v>
      </c>
      <c r="T981">
        <v>29.5</v>
      </c>
      <c r="U981">
        <v>47.43</v>
      </c>
      <c r="V981" t="b">
        <v>1</v>
      </c>
      <c r="W981" t="s">
        <v>41</v>
      </c>
    </row>
    <row r="982" spans="1:23" x14ac:dyDescent="0.25">
      <c r="A982" t="s">
        <v>74</v>
      </c>
      <c r="B982" t="s">
        <v>66</v>
      </c>
      <c r="C982">
        <v>59.4</v>
      </c>
      <c r="D982">
        <v>324</v>
      </c>
      <c r="E982" t="b">
        <v>0</v>
      </c>
      <c r="F982" t="b">
        <v>0</v>
      </c>
      <c r="G982" t="b">
        <v>1</v>
      </c>
      <c r="H982" t="s">
        <v>34</v>
      </c>
      <c r="I982" t="s">
        <v>57</v>
      </c>
      <c r="J982" t="s">
        <v>27</v>
      </c>
      <c r="K982" t="s">
        <v>39</v>
      </c>
      <c r="L982" t="s">
        <v>37</v>
      </c>
      <c r="M982" t="s">
        <v>28</v>
      </c>
      <c r="P982" t="b">
        <v>1</v>
      </c>
      <c r="Q982">
        <v>6.4</v>
      </c>
      <c r="R982" t="b">
        <v>0</v>
      </c>
      <c r="T982">
        <v>0</v>
      </c>
      <c r="U982">
        <v>49.86</v>
      </c>
      <c r="V982" t="b">
        <v>1</v>
      </c>
      <c r="W982" t="s">
        <v>31</v>
      </c>
    </row>
    <row r="983" spans="1:23" x14ac:dyDescent="0.25">
      <c r="A983" t="s">
        <v>23</v>
      </c>
      <c r="B983" t="s">
        <v>33</v>
      </c>
      <c r="C983">
        <v>75.05</v>
      </c>
      <c r="D983">
        <v>375</v>
      </c>
      <c r="E983" t="b">
        <v>0</v>
      </c>
      <c r="F983" t="b">
        <v>0</v>
      </c>
      <c r="G983" t="b">
        <v>0</v>
      </c>
      <c r="H983" t="s">
        <v>25</v>
      </c>
      <c r="I983" t="s">
        <v>35</v>
      </c>
      <c r="J983" t="s">
        <v>36</v>
      </c>
      <c r="K983" t="s">
        <v>46</v>
      </c>
      <c r="L983" t="s">
        <v>69</v>
      </c>
      <c r="M983" t="s">
        <v>39</v>
      </c>
      <c r="N983" t="s">
        <v>28</v>
      </c>
      <c r="O983" t="b">
        <v>1</v>
      </c>
      <c r="P983" t="b">
        <v>1</v>
      </c>
      <c r="Q983">
        <v>9.6</v>
      </c>
      <c r="R983" t="b">
        <v>1</v>
      </c>
      <c r="S983" t="s">
        <v>65</v>
      </c>
      <c r="T983">
        <v>3.8</v>
      </c>
      <c r="U983">
        <v>67.680000000000007</v>
      </c>
      <c r="V983" t="b">
        <v>0</v>
      </c>
      <c r="W983" t="s">
        <v>31</v>
      </c>
    </row>
    <row r="984" spans="1:23" x14ac:dyDescent="0.25">
      <c r="A984" t="s">
        <v>32</v>
      </c>
      <c r="B984" t="s">
        <v>62</v>
      </c>
      <c r="C984">
        <v>64.95</v>
      </c>
      <c r="D984">
        <v>585</v>
      </c>
      <c r="E984" t="b">
        <v>0</v>
      </c>
      <c r="F984" t="b">
        <v>0</v>
      </c>
      <c r="G984" t="b">
        <v>0</v>
      </c>
      <c r="H984" t="s">
        <v>53</v>
      </c>
      <c r="I984" t="s">
        <v>67</v>
      </c>
      <c r="J984" t="s">
        <v>45</v>
      </c>
      <c r="K984" t="s">
        <v>46</v>
      </c>
      <c r="L984" t="s">
        <v>69</v>
      </c>
      <c r="M984" t="s">
        <v>39</v>
      </c>
      <c r="N984" t="s">
        <v>39</v>
      </c>
      <c r="O984" t="b">
        <v>0</v>
      </c>
      <c r="P984" t="b">
        <v>1</v>
      </c>
      <c r="Q984">
        <v>7.2</v>
      </c>
      <c r="R984" t="b">
        <v>1</v>
      </c>
      <c r="S984" t="s">
        <v>64</v>
      </c>
      <c r="T984">
        <v>18.600000000000001</v>
      </c>
      <c r="U984">
        <v>57.99</v>
      </c>
      <c r="V984" t="b">
        <v>1</v>
      </c>
      <c r="W984" t="s">
        <v>41</v>
      </c>
    </row>
    <row r="985" spans="1:23" x14ac:dyDescent="0.25">
      <c r="A985" t="s">
        <v>61</v>
      </c>
      <c r="B985" t="s">
        <v>24</v>
      </c>
      <c r="C985">
        <v>98</v>
      </c>
      <c r="D985">
        <v>122</v>
      </c>
      <c r="E985" t="b">
        <v>0</v>
      </c>
      <c r="F985" t="b">
        <v>1</v>
      </c>
      <c r="G985" t="b">
        <v>0</v>
      </c>
      <c r="H985" t="s">
        <v>53</v>
      </c>
      <c r="I985" t="s">
        <v>26</v>
      </c>
      <c r="J985" t="s">
        <v>50</v>
      </c>
      <c r="K985" t="s">
        <v>28</v>
      </c>
      <c r="L985" t="s">
        <v>51</v>
      </c>
      <c r="M985" t="s">
        <v>46</v>
      </c>
      <c r="P985" t="b">
        <v>0</v>
      </c>
      <c r="Q985">
        <v>10</v>
      </c>
      <c r="R985" t="b">
        <v>1</v>
      </c>
      <c r="S985" t="s">
        <v>64</v>
      </c>
      <c r="T985">
        <v>20.3</v>
      </c>
      <c r="U985">
        <v>86.65</v>
      </c>
      <c r="V985" t="b">
        <v>1</v>
      </c>
      <c r="W985" t="s">
        <v>31</v>
      </c>
    </row>
    <row r="986" spans="1:23" x14ac:dyDescent="0.25">
      <c r="A986" t="s">
        <v>74</v>
      </c>
      <c r="B986" t="s">
        <v>76</v>
      </c>
      <c r="C986">
        <v>73.42</v>
      </c>
      <c r="D986">
        <v>217</v>
      </c>
      <c r="E986" t="b">
        <v>1</v>
      </c>
      <c r="F986" t="b">
        <v>0</v>
      </c>
      <c r="G986" t="b">
        <v>0</v>
      </c>
      <c r="H986" t="s">
        <v>53</v>
      </c>
      <c r="I986" t="s">
        <v>35</v>
      </c>
      <c r="J986" t="s">
        <v>27</v>
      </c>
      <c r="K986" t="s">
        <v>46</v>
      </c>
      <c r="L986" t="s">
        <v>38</v>
      </c>
      <c r="M986" t="s">
        <v>46</v>
      </c>
      <c r="N986" t="s">
        <v>46</v>
      </c>
      <c r="O986" t="b">
        <v>1</v>
      </c>
      <c r="P986" t="b">
        <v>0</v>
      </c>
      <c r="Q986">
        <v>10</v>
      </c>
      <c r="R986" t="b">
        <v>1</v>
      </c>
      <c r="S986" t="s">
        <v>55</v>
      </c>
      <c r="T986">
        <v>24.8</v>
      </c>
      <c r="U986">
        <v>60.13</v>
      </c>
      <c r="V986" t="b">
        <v>0</v>
      </c>
      <c r="W986" t="s">
        <v>31</v>
      </c>
    </row>
    <row r="987" spans="1:23" x14ac:dyDescent="0.25">
      <c r="A987" t="s">
        <v>68</v>
      </c>
      <c r="B987" t="s">
        <v>73</v>
      </c>
      <c r="C987">
        <v>49.05</v>
      </c>
      <c r="D987">
        <v>241</v>
      </c>
      <c r="E987" t="b">
        <v>0</v>
      </c>
      <c r="F987" t="b">
        <v>1</v>
      </c>
      <c r="G987" t="b">
        <v>0</v>
      </c>
      <c r="H987" t="s">
        <v>43</v>
      </c>
      <c r="I987" t="s">
        <v>44</v>
      </c>
      <c r="J987" t="s">
        <v>27</v>
      </c>
      <c r="K987" t="s">
        <v>39</v>
      </c>
      <c r="L987" t="s">
        <v>37</v>
      </c>
      <c r="M987" t="s">
        <v>28</v>
      </c>
      <c r="P987" t="b">
        <v>0</v>
      </c>
      <c r="Q987">
        <v>4.5999999999999996</v>
      </c>
      <c r="R987" t="b">
        <v>1</v>
      </c>
      <c r="S987" t="s">
        <v>30</v>
      </c>
      <c r="T987">
        <v>40.6</v>
      </c>
      <c r="U987">
        <v>39.11</v>
      </c>
      <c r="V987" t="b">
        <v>1</v>
      </c>
      <c r="W987" t="s">
        <v>72</v>
      </c>
    </row>
    <row r="988" spans="1:23" x14ac:dyDescent="0.25">
      <c r="A988" t="s">
        <v>61</v>
      </c>
      <c r="B988" t="s">
        <v>76</v>
      </c>
      <c r="C988">
        <v>81.39</v>
      </c>
      <c r="D988">
        <v>410</v>
      </c>
      <c r="E988" t="b">
        <v>1</v>
      </c>
      <c r="F988" t="b">
        <v>1</v>
      </c>
      <c r="G988" t="b">
        <v>0</v>
      </c>
      <c r="H988" t="s">
        <v>34</v>
      </c>
      <c r="I988" t="s">
        <v>57</v>
      </c>
      <c r="J988" t="s">
        <v>54</v>
      </c>
      <c r="K988" t="s">
        <v>28</v>
      </c>
      <c r="L988" t="s">
        <v>29</v>
      </c>
      <c r="M988" t="s">
        <v>46</v>
      </c>
      <c r="N988" t="s">
        <v>28</v>
      </c>
      <c r="P988" t="b">
        <v>0</v>
      </c>
      <c r="Q988">
        <v>9.1</v>
      </c>
      <c r="R988" t="b">
        <v>0</v>
      </c>
      <c r="T988">
        <v>0</v>
      </c>
      <c r="U988">
        <v>79.819999999999993</v>
      </c>
      <c r="V988" t="b">
        <v>1</v>
      </c>
      <c r="W988" t="s">
        <v>58</v>
      </c>
    </row>
    <row r="989" spans="1:23" x14ac:dyDescent="0.25">
      <c r="A989" t="s">
        <v>23</v>
      </c>
      <c r="B989" t="s">
        <v>60</v>
      </c>
      <c r="C989">
        <v>51.91</v>
      </c>
      <c r="D989">
        <v>403</v>
      </c>
      <c r="E989" t="b">
        <v>1</v>
      </c>
      <c r="F989" t="b">
        <v>1</v>
      </c>
      <c r="G989" t="b">
        <v>1</v>
      </c>
      <c r="H989" t="s">
        <v>53</v>
      </c>
      <c r="I989" t="s">
        <v>63</v>
      </c>
      <c r="J989" t="s">
        <v>45</v>
      </c>
      <c r="K989" t="s">
        <v>46</v>
      </c>
      <c r="L989" t="s">
        <v>51</v>
      </c>
      <c r="M989" t="s">
        <v>47</v>
      </c>
      <c r="N989" t="s">
        <v>39</v>
      </c>
      <c r="O989" t="b">
        <v>0</v>
      </c>
      <c r="P989" t="b">
        <v>0</v>
      </c>
      <c r="Q989">
        <v>3.5</v>
      </c>
      <c r="R989" t="b">
        <v>0</v>
      </c>
      <c r="T989">
        <v>0</v>
      </c>
      <c r="U989">
        <v>43.51</v>
      </c>
      <c r="V989" t="b">
        <v>1</v>
      </c>
      <c r="W989" t="s">
        <v>41</v>
      </c>
    </row>
    <row r="990" spans="1:23" x14ac:dyDescent="0.25">
      <c r="A990" t="s">
        <v>32</v>
      </c>
      <c r="B990" t="s">
        <v>33</v>
      </c>
      <c r="C990">
        <v>78.8</v>
      </c>
      <c r="D990">
        <v>449</v>
      </c>
      <c r="E990" t="b">
        <v>1</v>
      </c>
      <c r="F990" t="b">
        <v>0</v>
      </c>
      <c r="G990" t="b">
        <v>0</v>
      </c>
      <c r="H990" t="s">
        <v>53</v>
      </c>
      <c r="I990" t="s">
        <v>63</v>
      </c>
      <c r="J990" t="s">
        <v>45</v>
      </c>
      <c r="K990" t="s">
        <v>37</v>
      </c>
      <c r="L990" t="s">
        <v>69</v>
      </c>
      <c r="M990" t="s">
        <v>28</v>
      </c>
      <c r="N990" t="s">
        <v>28</v>
      </c>
      <c r="O990" t="b">
        <v>1</v>
      </c>
      <c r="P990" t="b">
        <v>0</v>
      </c>
      <c r="Q990">
        <v>10</v>
      </c>
      <c r="R990" t="b">
        <v>0</v>
      </c>
      <c r="T990">
        <v>0</v>
      </c>
      <c r="U990">
        <v>84.44</v>
      </c>
      <c r="V990" t="b">
        <v>1</v>
      </c>
      <c r="W990" t="s">
        <v>58</v>
      </c>
    </row>
    <row r="991" spans="1:23" x14ac:dyDescent="0.25">
      <c r="A991" t="s">
        <v>56</v>
      </c>
      <c r="B991" t="s">
        <v>70</v>
      </c>
      <c r="C991">
        <v>74.349999999999994</v>
      </c>
      <c r="D991">
        <v>699</v>
      </c>
      <c r="E991" t="b">
        <v>0</v>
      </c>
      <c r="F991" t="b">
        <v>1</v>
      </c>
      <c r="G991" t="b">
        <v>1</v>
      </c>
      <c r="H991" t="s">
        <v>25</v>
      </c>
      <c r="I991" t="s">
        <v>57</v>
      </c>
      <c r="J991" t="s">
        <v>45</v>
      </c>
      <c r="K991" t="s">
        <v>46</v>
      </c>
      <c r="L991" t="s">
        <v>37</v>
      </c>
      <c r="M991" t="s">
        <v>46</v>
      </c>
      <c r="N991" t="s">
        <v>28</v>
      </c>
      <c r="O991" t="b">
        <v>0</v>
      </c>
      <c r="P991" t="b">
        <v>0</v>
      </c>
      <c r="Q991">
        <v>6.3</v>
      </c>
      <c r="R991" t="b">
        <v>1</v>
      </c>
      <c r="S991" t="s">
        <v>75</v>
      </c>
      <c r="T991">
        <v>13.5</v>
      </c>
      <c r="U991">
        <v>83.35</v>
      </c>
      <c r="V991" t="b">
        <v>0</v>
      </c>
      <c r="W991" t="s">
        <v>41</v>
      </c>
    </row>
    <row r="992" spans="1:23" x14ac:dyDescent="0.25">
      <c r="A992" t="s">
        <v>68</v>
      </c>
      <c r="B992" t="s">
        <v>59</v>
      </c>
      <c r="C992">
        <v>78.94</v>
      </c>
      <c r="D992">
        <v>705</v>
      </c>
      <c r="E992" t="b">
        <v>0</v>
      </c>
      <c r="F992" t="b">
        <v>1</v>
      </c>
      <c r="G992" t="b">
        <v>1</v>
      </c>
      <c r="H992" t="s">
        <v>53</v>
      </c>
      <c r="I992" t="s">
        <v>57</v>
      </c>
      <c r="J992" t="s">
        <v>45</v>
      </c>
      <c r="K992" t="s">
        <v>39</v>
      </c>
      <c r="L992" t="s">
        <v>51</v>
      </c>
      <c r="M992" t="s">
        <v>28</v>
      </c>
      <c r="O992" t="b">
        <v>0</v>
      </c>
      <c r="P992" t="b">
        <v>0</v>
      </c>
      <c r="Q992">
        <v>6.2</v>
      </c>
      <c r="R992" t="b">
        <v>1</v>
      </c>
      <c r="S992" t="s">
        <v>64</v>
      </c>
      <c r="T992">
        <v>41.6</v>
      </c>
      <c r="U992">
        <v>77.88</v>
      </c>
      <c r="V992" t="b">
        <v>1</v>
      </c>
      <c r="W992" t="s">
        <v>41</v>
      </c>
    </row>
    <row r="993" spans="1:23" x14ac:dyDescent="0.25">
      <c r="A993" t="s">
        <v>56</v>
      </c>
      <c r="B993" t="s">
        <v>42</v>
      </c>
      <c r="C993">
        <v>79.53</v>
      </c>
      <c r="D993">
        <v>683</v>
      </c>
      <c r="E993" t="b">
        <v>0</v>
      </c>
      <c r="F993" t="b">
        <v>1</v>
      </c>
      <c r="G993" t="b">
        <v>0</v>
      </c>
      <c r="H993" t="s">
        <v>34</v>
      </c>
      <c r="I993" t="s">
        <v>63</v>
      </c>
      <c r="J993" t="s">
        <v>36</v>
      </c>
      <c r="K993" t="s">
        <v>39</v>
      </c>
      <c r="L993" t="s">
        <v>37</v>
      </c>
      <c r="M993" t="s">
        <v>39</v>
      </c>
      <c r="N993" t="s">
        <v>39</v>
      </c>
      <c r="O993" t="b">
        <v>0</v>
      </c>
      <c r="P993" t="b">
        <v>0</v>
      </c>
      <c r="Q993">
        <v>5.9</v>
      </c>
      <c r="R993" t="b">
        <v>1</v>
      </c>
      <c r="S993" t="s">
        <v>64</v>
      </c>
      <c r="T993">
        <v>44.6</v>
      </c>
      <c r="U993">
        <v>66.349999999999994</v>
      </c>
      <c r="V993" t="b">
        <v>1</v>
      </c>
      <c r="W993" t="s">
        <v>41</v>
      </c>
    </row>
    <row r="994" spans="1:23" x14ac:dyDescent="0.25">
      <c r="A994" t="s">
        <v>61</v>
      </c>
      <c r="B994" t="s">
        <v>42</v>
      </c>
      <c r="C994">
        <v>67.78</v>
      </c>
      <c r="D994">
        <v>319</v>
      </c>
      <c r="E994" t="b">
        <v>1</v>
      </c>
      <c r="F994" t="b">
        <v>1</v>
      </c>
      <c r="G994" t="b">
        <v>0</v>
      </c>
      <c r="H994" t="s">
        <v>53</v>
      </c>
      <c r="I994" t="s">
        <v>57</v>
      </c>
      <c r="J994" t="s">
        <v>27</v>
      </c>
      <c r="K994" t="s">
        <v>39</v>
      </c>
      <c r="L994" t="s">
        <v>51</v>
      </c>
      <c r="M994" t="s">
        <v>47</v>
      </c>
      <c r="N994" t="s">
        <v>28</v>
      </c>
      <c r="O994" t="b">
        <v>0</v>
      </c>
      <c r="P994" t="b">
        <v>1</v>
      </c>
      <c r="Q994">
        <v>5.6</v>
      </c>
      <c r="R994" t="b">
        <v>1</v>
      </c>
      <c r="S994" t="s">
        <v>75</v>
      </c>
      <c r="T994">
        <v>8.1</v>
      </c>
      <c r="U994">
        <v>77.709999999999994</v>
      </c>
      <c r="V994" t="b">
        <v>0</v>
      </c>
      <c r="W994" t="s">
        <v>41</v>
      </c>
    </row>
    <row r="995" spans="1:23" x14ac:dyDescent="0.25">
      <c r="A995" t="s">
        <v>61</v>
      </c>
      <c r="B995" t="s">
        <v>73</v>
      </c>
      <c r="C995">
        <v>63.87</v>
      </c>
      <c r="D995">
        <v>260</v>
      </c>
      <c r="E995" t="b">
        <v>0</v>
      </c>
      <c r="F995" t="b">
        <v>1</v>
      </c>
      <c r="G995" t="b">
        <v>1</v>
      </c>
      <c r="H995" t="s">
        <v>53</v>
      </c>
      <c r="I995" t="s">
        <v>26</v>
      </c>
      <c r="J995" t="s">
        <v>36</v>
      </c>
      <c r="K995" t="s">
        <v>39</v>
      </c>
      <c r="L995" t="s">
        <v>69</v>
      </c>
      <c r="M995" t="s">
        <v>46</v>
      </c>
      <c r="N995" t="s">
        <v>46</v>
      </c>
      <c r="P995" t="b">
        <v>0</v>
      </c>
      <c r="Q995">
        <v>6.8</v>
      </c>
      <c r="R995" t="b">
        <v>1</v>
      </c>
      <c r="S995" t="s">
        <v>40</v>
      </c>
      <c r="T995">
        <v>13.7</v>
      </c>
      <c r="U995">
        <v>69.94</v>
      </c>
      <c r="V995" t="b">
        <v>1</v>
      </c>
      <c r="W995" t="s">
        <v>41</v>
      </c>
    </row>
    <row r="996" spans="1:23" x14ac:dyDescent="0.25">
      <c r="A996" t="s">
        <v>23</v>
      </c>
      <c r="B996" t="s">
        <v>71</v>
      </c>
      <c r="C996">
        <v>44.94</v>
      </c>
      <c r="D996">
        <v>728</v>
      </c>
      <c r="E996" t="b">
        <v>0</v>
      </c>
      <c r="F996" t="b">
        <v>1</v>
      </c>
      <c r="G996" t="b">
        <v>1</v>
      </c>
      <c r="H996" t="s">
        <v>53</v>
      </c>
      <c r="I996" t="s">
        <v>26</v>
      </c>
      <c r="J996" t="s">
        <v>50</v>
      </c>
      <c r="K996" t="s">
        <v>37</v>
      </c>
      <c r="L996" t="s">
        <v>69</v>
      </c>
      <c r="M996" t="s">
        <v>39</v>
      </c>
      <c r="N996" t="s">
        <v>28</v>
      </c>
      <c r="O996" t="b">
        <v>1</v>
      </c>
      <c r="P996" t="b">
        <v>0</v>
      </c>
      <c r="Q996">
        <v>6</v>
      </c>
      <c r="R996" t="b">
        <v>1</v>
      </c>
      <c r="S996" t="s">
        <v>75</v>
      </c>
      <c r="T996">
        <v>25</v>
      </c>
      <c r="U996">
        <v>33.200000000000003</v>
      </c>
      <c r="V996" t="b">
        <v>0</v>
      </c>
      <c r="W996" t="s">
        <v>41</v>
      </c>
    </row>
    <row r="997" spans="1:23" x14ac:dyDescent="0.25">
      <c r="A997" t="s">
        <v>68</v>
      </c>
      <c r="B997" t="s">
        <v>24</v>
      </c>
      <c r="C997">
        <v>94.09</v>
      </c>
      <c r="D997">
        <v>661</v>
      </c>
      <c r="E997" t="b">
        <v>1</v>
      </c>
      <c r="F997" t="b">
        <v>1</v>
      </c>
      <c r="G997" t="b">
        <v>0</v>
      </c>
      <c r="H997" t="s">
        <v>34</v>
      </c>
      <c r="I997" t="s">
        <v>44</v>
      </c>
      <c r="J997" t="s">
        <v>54</v>
      </c>
      <c r="K997" t="s">
        <v>46</v>
      </c>
      <c r="L997" t="s">
        <v>69</v>
      </c>
      <c r="M997" t="s">
        <v>28</v>
      </c>
      <c r="N997" t="s">
        <v>39</v>
      </c>
      <c r="O997" t="b">
        <v>1</v>
      </c>
      <c r="P997" t="b">
        <v>1</v>
      </c>
      <c r="Q997">
        <v>10</v>
      </c>
      <c r="R997" t="b">
        <v>0</v>
      </c>
      <c r="T997">
        <v>0</v>
      </c>
      <c r="U997">
        <v>95.33</v>
      </c>
      <c r="V997" t="b">
        <v>1</v>
      </c>
      <c r="W997" t="s">
        <v>58</v>
      </c>
    </row>
    <row r="998" spans="1:23" x14ac:dyDescent="0.25">
      <c r="A998" t="s">
        <v>32</v>
      </c>
      <c r="B998" t="s">
        <v>60</v>
      </c>
      <c r="C998">
        <v>62.6</v>
      </c>
      <c r="D998">
        <v>384</v>
      </c>
      <c r="E998" t="b">
        <v>1</v>
      </c>
      <c r="F998" t="b">
        <v>0</v>
      </c>
      <c r="G998" t="b">
        <v>0</v>
      </c>
      <c r="H998" t="s">
        <v>53</v>
      </c>
      <c r="I998" t="s">
        <v>63</v>
      </c>
      <c r="J998" t="s">
        <v>54</v>
      </c>
      <c r="K998" t="s">
        <v>37</v>
      </c>
      <c r="L998" t="s">
        <v>51</v>
      </c>
      <c r="M998" t="s">
        <v>39</v>
      </c>
      <c r="N998" t="s">
        <v>39</v>
      </c>
      <c r="O998" t="b">
        <v>1</v>
      </c>
      <c r="P998" t="b">
        <v>0</v>
      </c>
      <c r="Q998">
        <v>8.4</v>
      </c>
      <c r="R998" t="b">
        <v>0</v>
      </c>
      <c r="T998">
        <v>0</v>
      </c>
      <c r="U998">
        <v>68.180000000000007</v>
      </c>
      <c r="V998" t="b">
        <v>1</v>
      </c>
      <c r="W998" t="s">
        <v>58</v>
      </c>
    </row>
    <row r="999" spans="1:23" x14ac:dyDescent="0.25">
      <c r="A999" t="s">
        <v>23</v>
      </c>
      <c r="B999" t="s">
        <v>59</v>
      </c>
      <c r="C999">
        <v>77.38</v>
      </c>
      <c r="D999">
        <v>166</v>
      </c>
      <c r="E999" t="b">
        <v>1</v>
      </c>
      <c r="F999" t="b">
        <v>1</v>
      </c>
      <c r="G999" t="b">
        <v>0</v>
      </c>
      <c r="H999" t="s">
        <v>34</v>
      </c>
      <c r="I999" t="s">
        <v>44</v>
      </c>
      <c r="J999" t="s">
        <v>45</v>
      </c>
      <c r="K999" t="s">
        <v>46</v>
      </c>
      <c r="L999" t="s">
        <v>51</v>
      </c>
      <c r="M999" t="s">
        <v>39</v>
      </c>
      <c r="O999" t="b">
        <v>1</v>
      </c>
      <c r="P999" t="b">
        <v>1</v>
      </c>
      <c r="Q999">
        <v>10</v>
      </c>
      <c r="R999" t="b">
        <v>1</v>
      </c>
      <c r="S999" t="s">
        <v>65</v>
      </c>
      <c r="T999">
        <v>23.3</v>
      </c>
      <c r="U999">
        <v>92.14</v>
      </c>
      <c r="V999" t="b">
        <v>1</v>
      </c>
      <c r="W999" t="s">
        <v>31</v>
      </c>
    </row>
    <row r="1000" spans="1:23" x14ac:dyDescent="0.25">
      <c r="A1000" t="s">
        <v>61</v>
      </c>
      <c r="B1000" t="s">
        <v>24</v>
      </c>
      <c r="C1000">
        <v>98.61</v>
      </c>
      <c r="D1000">
        <v>71</v>
      </c>
      <c r="E1000" t="b">
        <v>0</v>
      </c>
      <c r="F1000" t="b">
        <v>1</v>
      </c>
      <c r="G1000" t="b">
        <v>0</v>
      </c>
      <c r="H1000" t="s">
        <v>43</v>
      </c>
      <c r="I1000" t="s">
        <v>67</v>
      </c>
      <c r="J1000" t="s">
        <v>45</v>
      </c>
      <c r="K1000" t="s">
        <v>28</v>
      </c>
      <c r="L1000" t="s">
        <v>37</v>
      </c>
      <c r="M1000" t="s">
        <v>39</v>
      </c>
      <c r="O1000" t="b">
        <v>0</v>
      </c>
      <c r="P1000" t="b">
        <v>0</v>
      </c>
      <c r="Q1000">
        <v>8.6</v>
      </c>
      <c r="R1000" t="b">
        <v>1</v>
      </c>
      <c r="S1000" t="s">
        <v>40</v>
      </c>
      <c r="T1000">
        <v>43.3</v>
      </c>
      <c r="U1000">
        <v>100</v>
      </c>
      <c r="V1000" t="b">
        <v>1</v>
      </c>
      <c r="W1000" t="s">
        <v>31</v>
      </c>
    </row>
    <row r="1001" spans="1:23" x14ac:dyDescent="0.25">
      <c r="A1001" t="s">
        <v>32</v>
      </c>
      <c r="B1001" t="s">
        <v>71</v>
      </c>
      <c r="C1001">
        <v>55.61</v>
      </c>
      <c r="D1001">
        <v>123</v>
      </c>
      <c r="E1001" t="b">
        <v>1</v>
      </c>
      <c r="F1001" t="b">
        <v>1</v>
      </c>
      <c r="G1001" t="b">
        <v>0</v>
      </c>
      <c r="H1001" t="s">
        <v>53</v>
      </c>
      <c r="I1001" t="s">
        <v>67</v>
      </c>
      <c r="J1001" t="s">
        <v>36</v>
      </c>
      <c r="K1001" t="s">
        <v>37</v>
      </c>
      <c r="L1001" t="s">
        <v>29</v>
      </c>
      <c r="M1001" t="s">
        <v>39</v>
      </c>
      <c r="N1001" t="s">
        <v>46</v>
      </c>
      <c r="O1001" t="b">
        <v>0</v>
      </c>
      <c r="P1001" t="b">
        <v>1</v>
      </c>
      <c r="Q1001">
        <v>5</v>
      </c>
      <c r="R1001" t="b">
        <v>1</v>
      </c>
      <c r="S1001" t="s">
        <v>64</v>
      </c>
      <c r="T1001">
        <v>44</v>
      </c>
      <c r="U1001">
        <v>57.1</v>
      </c>
      <c r="V1001" t="b">
        <v>1</v>
      </c>
      <c r="W1001"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topLeftCell="A900" workbookViewId="0">
      <selection activeCell="S995" sqref="S995"/>
    </sheetView>
  </sheetViews>
  <sheetFormatPr defaultRowHeight="15" x14ac:dyDescent="0.25"/>
  <cols>
    <col min="1" max="1" width="15" customWidth="1"/>
    <col min="2" max="2" width="20" customWidth="1"/>
    <col min="3" max="4" width="26" customWidth="1"/>
    <col min="5" max="5" width="19" customWidth="1"/>
    <col min="6" max="6" width="24" customWidth="1"/>
    <col min="7" max="8" width="21" customWidth="1"/>
    <col min="9" max="9" width="24" customWidth="1"/>
    <col min="10" max="10" width="17" customWidth="1"/>
    <col min="11" max="11" width="24" customWidth="1"/>
    <col min="12" max="12" width="22" customWidth="1"/>
    <col min="13" max="13" width="21" customWidth="1"/>
    <col min="14" max="14" width="15" customWidth="1"/>
    <col min="15" max="15" width="25" customWidth="1"/>
    <col min="16" max="16" width="26" customWidth="1"/>
    <col min="17" max="17" width="23" customWidth="1"/>
    <col min="18" max="18" width="22" customWidth="1"/>
    <col min="19" max="19" width="31" customWidth="1"/>
    <col min="20" max="21" width="28" customWidth="1"/>
    <col min="22" max="22" width="25" customWidth="1"/>
    <col min="23" max="23" width="26"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v>93.23</v>
      </c>
      <c r="D2">
        <v>527</v>
      </c>
      <c r="E2" t="b">
        <v>1</v>
      </c>
      <c r="F2" t="b">
        <v>0</v>
      </c>
      <c r="G2" t="b">
        <v>0</v>
      </c>
      <c r="H2" t="s">
        <v>25</v>
      </c>
      <c r="I2" t="s">
        <v>26</v>
      </c>
      <c r="J2" t="s">
        <v>27</v>
      </c>
      <c r="K2" t="s">
        <v>28</v>
      </c>
      <c r="L2" t="s">
        <v>29</v>
      </c>
      <c r="M2" t="s">
        <v>28</v>
      </c>
      <c r="N2" t="s">
        <v>28</v>
      </c>
      <c r="O2" t="b">
        <v>0</v>
      </c>
      <c r="P2" t="b">
        <v>0</v>
      </c>
      <c r="Q2">
        <v>10</v>
      </c>
      <c r="R2" t="b">
        <v>1</v>
      </c>
      <c r="S2" t="s">
        <v>30</v>
      </c>
      <c r="T2">
        <v>10.7</v>
      </c>
      <c r="U2">
        <v>80.150000000000006</v>
      </c>
      <c r="V2" t="b">
        <v>1</v>
      </c>
      <c r="W2" t="s">
        <v>31</v>
      </c>
    </row>
    <row r="3" spans="1:23" x14ac:dyDescent="0.25">
      <c r="A3" t="s">
        <v>32</v>
      </c>
      <c r="B3" t="s">
        <v>33</v>
      </c>
      <c r="C3">
        <v>84.47</v>
      </c>
      <c r="D3">
        <v>581</v>
      </c>
      <c r="E3" t="b">
        <v>0</v>
      </c>
      <c r="F3" t="b">
        <v>0</v>
      </c>
      <c r="G3" t="b">
        <v>0</v>
      </c>
      <c r="H3" t="s">
        <v>34</v>
      </c>
      <c r="I3" t="s">
        <v>35</v>
      </c>
      <c r="J3" t="s">
        <v>36</v>
      </c>
      <c r="K3" t="s">
        <v>37</v>
      </c>
      <c r="L3" t="s">
        <v>38</v>
      </c>
      <c r="M3" t="s">
        <v>39</v>
      </c>
      <c r="O3" t="b">
        <v>0</v>
      </c>
      <c r="P3" t="b">
        <v>1</v>
      </c>
      <c r="Q3">
        <v>7.9</v>
      </c>
      <c r="R3" t="b">
        <v>1</v>
      </c>
      <c r="S3" t="s">
        <v>40</v>
      </c>
      <c r="T3">
        <v>44.3</v>
      </c>
      <c r="U3">
        <v>92.33</v>
      </c>
      <c r="V3" t="b">
        <v>1</v>
      </c>
      <c r="W3" t="s">
        <v>41</v>
      </c>
    </row>
    <row r="4" spans="1:23" x14ac:dyDescent="0.25">
      <c r="A4" t="s">
        <v>23</v>
      </c>
      <c r="B4" t="s">
        <v>42</v>
      </c>
      <c r="C4">
        <v>69.819999999999993</v>
      </c>
      <c r="D4">
        <v>484</v>
      </c>
      <c r="E4" t="b">
        <v>1</v>
      </c>
      <c r="F4" t="b">
        <v>1</v>
      </c>
      <c r="G4" t="b">
        <v>0</v>
      </c>
      <c r="H4" t="s">
        <v>43</v>
      </c>
      <c r="I4" t="s">
        <v>44</v>
      </c>
      <c r="J4" t="s">
        <v>45</v>
      </c>
      <c r="K4" t="s">
        <v>46</v>
      </c>
      <c r="L4" t="s">
        <v>29</v>
      </c>
      <c r="M4" t="s">
        <v>47</v>
      </c>
      <c r="O4" t="b">
        <v>1</v>
      </c>
      <c r="P4" t="b">
        <v>0</v>
      </c>
      <c r="Q4">
        <v>8.6</v>
      </c>
      <c r="R4" t="b">
        <v>1</v>
      </c>
      <c r="S4" t="s">
        <v>48</v>
      </c>
      <c r="T4">
        <v>37.5</v>
      </c>
      <c r="U4">
        <v>67.319999999999993</v>
      </c>
      <c r="V4" t="b">
        <v>1</v>
      </c>
      <c r="W4" t="s">
        <v>31</v>
      </c>
    </row>
    <row r="5" spans="1:23" x14ac:dyDescent="0.25">
      <c r="A5" t="s">
        <v>23</v>
      </c>
      <c r="B5" t="s">
        <v>49</v>
      </c>
      <c r="C5">
        <v>79.61</v>
      </c>
      <c r="D5">
        <v>73</v>
      </c>
      <c r="E5" t="b">
        <v>1</v>
      </c>
      <c r="F5" t="b">
        <v>1</v>
      </c>
      <c r="G5" t="b">
        <v>0</v>
      </c>
      <c r="H5" t="s">
        <v>34</v>
      </c>
      <c r="I5" t="s">
        <v>26</v>
      </c>
      <c r="J5" t="s">
        <v>50</v>
      </c>
      <c r="K5" t="s">
        <v>28</v>
      </c>
      <c r="L5" t="s">
        <v>51</v>
      </c>
      <c r="M5" t="s">
        <v>39</v>
      </c>
      <c r="P5" t="b">
        <v>0</v>
      </c>
      <c r="Q5">
        <v>8.9</v>
      </c>
      <c r="R5" t="b">
        <v>1</v>
      </c>
      <c r="S5" t="s">
        <v>52</v>
      </c>
      <c r="T5">
        <v>22.7</v>
      </c>
      <c r="U5">
        <v>73.12</v>
      </c>
      <c r="V5" t="b">
        <v>1</v>
      </c>
      <c r="W5" t="s">
        <v>31</v>
      </c>
    </row>
    <row r="6" spans="1:23" x14ac:dyDescent="0.25">
      <c r="A6" t="s">
        <v>23</v>
      </c>
      <c r="B6" t="s">
        <v>49</v>
      </c>
      <c r="C6">
        <v>67.709999999999994</v>
      </c>
      <c r="D6">
        <v>146</v>
      </c>
      <c r="E6" t="b">
        <v>0</v>
      </c>
      <c r="F6" t="b">
        <v>1</v>
      </c>
      <c r="G6" t="b">
        <v>0</v>
      </c>
      <c r="H6" t="s">
        <v>53</v>
      </c>
      <c r="I6" t="s">
        <v>35</v>
      </c>
      <c r="J6" t="s">
        <v>54</v>
      </c>
      <c r="K6" t="s">
        <v>28</v>
      </c>
      <c r="L6" t="s">
        <v>37</v>
      </c>
      <c r="M6" t="s">
        <v>28</v>
      </c>
      <c r="O6" t="b">
        <v>1</v>
      </c>
      <c r="P6" t="b">
        <v>1</v>
      </c>
      <c r="Q6">
        <v>9</v>
      </c>
      <c r="R6" t="b">
        <v>1</v>
      </c>
      <c r="S6" t="s">
        <v>55</v>
      </c>
      <c r="T6">
        <v>43.7</v>
      </c>
      <c r="U6">
        <v>81.05</v>
      </c>
      <c r="V6" t="b">
        <v>1</v>
      </c>
      <c r="W6" t="s">
        <v>31</v>
      </c>
    </row>
    <row r="7" spans="1:23" x14ac:dyDescent="0.25">
      <c r="A7" t="s">
        <v>56</v>
      </c>
      <c r="B7" t="s">
        <v>24</v>
      </c>
      <c r="C7">
        <v>93.41</v>
      </c>
      <c r="D7">
        <v>198</v>
      </c>
      <c r="E7" t="b">
        <v>0</v>
      </c>
      <c r="F7" t="b">
        <v>1</v>
      </c>
      <c r="G7" t="b">
        <v>0</v>
      </c>
      <c r="H7" t="s">
        <v>25</v>
      </c>
      <c r="I7" t="s">
        <v>57</v>
      </c>
      <c r="J7" t="s">
        <v>50</v>
      </c>
      <c r="K7" t="s">
        <v>37</v>
      </c>
      <c r="L7" t="s">
        <v>51</v>
      </c>
      <c r="M7" t="s">
        <v>46</v>
      </c>
      <c r="O7" t="b">
        <v>0</v>
      </c>
      <c r="P7" t="b">
        <v>0</v>
      </c>
      <c r="Q7">
        <v>8.1999999999999993</v>
      </c>
      <c r="R7" t="b">
        <v>0</v>
      </c>
      <c r="T7">
        <v>0</v>
      </c>
      <c r="U7">
        <v>100</v>
      </c>
      <c r="V7" t="b">
        <v>1</v>
      </c>
      <c r="W7" t="s">
        <v>58</v>
      </c>
    </row>
    <row r="8" spans="1:23" x14ac:dyDescent="0.25">
      <c r="A8" t="s">
        <v>23</v>
      </c>
      <c r="B8" t="s">
        <v>59</v>
      </c>
      <c r="C8">
        <v>75.87</v>
      </c>
      <c r="D8">
        <v>285</v>
      </c>
      <c r="E8" t="b">
        <v>0</v>
      </c>
      <c r="F8" t="b">
        <v>0</v>
      </c>
      <c r="G8" t="b">
        <v>1</v>
      </c>
      <c r="H8" t="s">
        <v>43</v>
      </c>
      <c r="I8" t="s">
        <v>57</v>
      </c>
      <c r="J8" t="s">
        <v>45</v>
      </c>
      <c r="K8" t="s">
        <v>37</v>
      </c>
      <c r="L8" t="s">
        <v>37</v>
      </c>
      <c r="M8" t="s">
        <v>28</v>
      </c>
      <c r="N8" t="s">
        <v>39</v>
      </c>
      <c r="O8" t="b">
        <v>0</v>
      </c>
      <c r="P8" t="b">
        <v>1</v>
      </c>
      <c r="Q8">
        <v>7.6</v>
      </c>
      <c r="R8" t="b">
        <v>0</v>
      </c>
      <c r="T8">
        <v>0</v>
      </c>
      <c r="U8">
        <v>79.040000000000006</v>
      </c>
      <c r="V8" t="b">
        <v>1</v>
      </c>
      <c r="W8" t="s">
        <v>31</v>
      </c>
    </row>
    <row r="9" spans="1:23" x14ac:dyDescent="0.25">
      <c r="A9" t="s">
        <v>23</v>
      </c>
      <c r="B9" t="s">
        <v>60</v>
      </c>
      <c r="C9">
        <v>57.32</v>
      </c>
      <c r="D9">
        <v>371</v>
      </c>
      <c r="E9" t="b">
        <v>1</v>
      </c>
      <c r="F9" t="b">
        <v>0</v>
      </c>
      <c r="G9" t="b">
        <v>0</v>
      </c>
      <c r="H9" t="s">
        <v>53</v>
      </c>
      <c r="I9" t="s">
        <v>35</v>
      </c>
      <c r="J9" t="s">
        <v>50</v>
      </c>
      <c r="K9" t="s">
        <v>46</v>
      </c>
      <c r="L9" t="s">
        <v>38</v>
      </c>
      <c r="M9" t="s">
        <v>47</v>
      </c>
      <c r="N9" t="s">
        <v>39</v>
      </c>
      <c r="P9" t="b">
        <v>0</v>
      </c>
      <c r="Q9">
        <v>6.4</v>
      </c>
      <c r="R9" t="b">
        <v>0</v>
      </c>
      <c r="T9">
        <v>0</v>
      </c>
      <c r="U9">
        <v>55.65</v>
      </c>
      <c r="V9" t="b">
        <v>1</v>
      </c>
      <c r="W9" t="s">
        <v>31</v>
      </c>
    </row>
    <row r="10" spans="1:23" x14ac:dyDescent="0.25">
      <c r="A10" t="s">
        <v>61</v>
      </c>
      <c r="B10" t="s">
        <v>62</v>
      </c>
      <c r="C10">
        <v>50.17</v>
      </c>
      <c r="D10">
        <v>344</v>
      </c>
      <c r="E10" t="b">
        <v>0</v>
      </c>
      <c r="F10" t="b">
        <v>0</v>
      </c>
      <c r="G10" t="b">
        <v>1</v>
      </c>
      <c r="H10" t="s">
        <v>53</v>
      </c>
      <c r="I10" t="s">
        <v>63</v>
      </c>
      <c r="J10" t="s">
        <v>36</v>
      </c>
      <c r="K10" t="s">
        <v>46</v>
      </c>
      <c r="L10" t="s">
        <v>51</v>
      </c>
      <c r="M10" t="s">
        <v>46</v>
      </c>
      <c r="N10" t="s">
        <v>39</v>
      </c>
      <c r="P10" t="b">
        <v>0</v>
      </c>
      <c r="Q10">
        <v>5.3</v>
      </c>
      <c r="R10" t="b">
        <v>1</v>
      </c>
      <c r="S10" t="s">
        <v>64</v>
      </c>
      <c r="T10">
        <v>20</v>
      </c>
      <c r="U10">
        <v>41.69</v>
      </c>
      <c r="V10" t="b">
        <v>1</v>
      </c>
      <c r="W10" t="s">
        <v>41</v>
      </c>
    </row>
    <row r="11" spans="1:23" x14ac:dyDescent="0.25">
      <c r="A11" t="s">
        <v>32</v>
      </c>
      <c r="B11" t="s">
        <v>62</v>
      </c>
      <c r="C11">
        <v>58.77</v>
      </c>
      <c r="D11">
        <v>63</v>
      </c>
      <c r="E11" t="b">
        <v>0</v>
      </c>
      <c r="F11" t="b">
        <v>0</v>
      </c>
      <c r="G11" t="b">
        <v>1</v>
      </c>
      <c r="H11" t="s">
        <v>53</v>
      </c>
      <c r="I11" t="s">
        <v>63</v>
      </c>
      <c r="J11" t="s">
        <v>50</v>
      </c>
      <c r="K11" t="s">
        <v>28</v>
      </c>
      <c r="L11" t="s">
        <v>37</v>
      </c>
      <c r="M11" t="s">
        <v>46</v>
      </c>
      <c r="N11" t="s">
        <v>28</v>
      </c>
      <c r="O11" t="b">
        <v>0</v>
      </c>
      <c r="P11" t="b">
        <v>0</v>
      </c>
      <c r="Q11">
        <v>5.6</v>
      </c>
      <c r="R11" t="b">
        <v>1</v>
      </c>
      <c r="S11" t="s">
        <v>65</v>
      </c>
      <c r="T11">
        <v>23.5</v>
      </c>
      <c r="U11">
        <v>50.81</v>
      </c>
      <c r="V11" t="b">
        <v>1</v>
      </c>
      <c r="W11" t="s">
        <v>41</v>
      </c>
    </row>
    <row r="12" spans="1:23" x14ac:dyDescent="0.25">
      <c r="A12" t="s">
        <v>23</v>
      </c>
      <c r="B12" t="s">
        <v>42</v>
      </c>
      <c r="C12">
        <v>82.85</v>
      </c>
      <c r="D12">
        <v>331</v>
      </c>
      <c r="E12" t="b">
        <v>1</v>
      </c>
      <c r="F12" t="b">
        <v>1</v>
      </c>
      <c r="G12" t="b">
        <v>1</v>
      </c>
      <c r="H12" t="s">
        <v>34</v>
      </c>
      <c r="I12" t="s">
        <v>26</v>
      </c>
      <c r="J12" t="s">
        <v>54</v>
      </c>
      <c r="K12" t="s">
        <v>37</v>
      </c>
      <c r="L12" t="s">
        <v>38</v>
      </c>
      <c r="M12" t="s">
        <v>46</v>
      </c>
      <c r="N12" t="s">
        <v>46</v>
      </c>
      <c r="P12" t="b">
        <v>1</v>
      </c>
      <c r="Q12">
        <v>10</v>
      </c>
      <c r="R12" t="b">
        <v>1</v>
      </c>
      <c r="S12" t="s">
        <v>55</v>
      </c>
      <c r="T12">
        <v>22.9</v>
      </c>
      <c r="U12">
        <v>68.05</v>
      </c>
      <c r="V12" t="b">
        <v>0</v>
      </c>
      <c r="W12" t="s">
        <v>31</v>
      </c>
    </row>
    <row r="13" spans="1:23" x14ac:dyDescent="0.25">
      <c r="A13" t="s">
        <v>23</v>
      </c>
      <c r="B13" t="s">
        <v>33</v>
      </c>
      <c r="C13">
        <v>76.69</v>
      </c>
      <c r="D13">
        <v>70</v>
      </c>
      <c r="E13" t="b">
        <v>1</v>
      </c>
      <c r="F13" t="b">
        <v>0</v>
      </c>
      <c r="G13" t="b">
        <v>1</v>
      </c>
      <c r="H13" t="s">
        <v>25</v>
      </c>
      <c r="I13" t="s">
        <v>57</v>
      </c>
      <c r="J13" t="s">
        <v>50</v>
      </c>
      <c r="K13" t="s">
        <v>28</v>
      </c>
      <c r="L13" t="s">
        <v>37</v>
      </c>
      <c r="M13" t="s">
        <v>28</v>
      </c>
      <c r="N13" t="s">
        <v>46</v>
      </c>
      <c r="P13" t="b">
        <v>1</v>
      </c>
      <c r="Q13">
        <v>9.9</v>
      </c>
      <c r="R13" t="b">
        <v>0</v>
      </c>
      <c r="T13">
        <v>0</v>
      </c>
      <c r="U13">
        <v>62.11</v>
      </c>
      <c r="V13" t="b">
        <v>0</v>
      </c>
      <c r="W13" t="s">
        <v>58</v>
      </c>
    </row>
    <row r="14" spans="1:23" x14ac:dyDescent="0.25">
      <c r="A14" t="s">
        <v>32</v>
      </c>
      <c r="B14" t="s">
        <v>66</v>
      </c>
      <c r="C14">
        <v>77.430000000000007</v>
      </c>
      <c r="D14">
        <v>549</v>
      </c>
      <c r="E14" t="b">
        <v>0</v>
      </c>
      <c r="F14" t="b">
        <v>0</v>
      </c>
      <c r="G14" t="b">
        <v>1</v>
      </c>
      <c r="H14" t="s">
        <v>53</v>
      </c>
      <c r="I14" t="s">
        <v>67</v>
      </c>
      <c r="J14" t="s">
        <v>36</v>
      </c>
      <c r="K14" t="s">
        <v>39</v>
      </c>
      <c r="L14" t="s">
        <v>51</v>
      </c>
      <c r="M14" t="s">
        <v>28</v>
      </c>
      <c r="N14" t="s">
        <v>46</v>
      </c>
      <c r="O14" t="b">
        <v>1</v>
      </c>
      <c r="P14" t="b">
        <v>0</v>
      </c>
      <c r="Q14">
        <v>9.5</v>
      </c>
      <c r="R14" t="b">
        <v>1</v>
      </c>
      <c r="S14" t="s">
        <v>52</v>
      </c>
      <c r="T14">
        <v>33.799999999999997</v>
      </c>
      <c r="U14">
        <v>73.81</v>
      </c>
      <c r="V14" t="b">
        <v>0</v>
      </c>
      <c r="W14" t="s">
        <v>31</v>
      </c>
    </row>
    <row r="15" spans="1:23" x14ac:dyDescent="0.25">
      <c r="A15" t="s">
        <v>68</v>
      </c>
      <c r="B15" t="s">
        <v>33</v>
      </c>
      <c r="C15">
        <v>78.83</v>
      </c>
      <c r="D15">
        <v>419</v>
      </c>
      <c r="E15" t="b">
        <v>0</v>
      </c>
      <c r="F15" t="b">
        <v>1</v>
      </c>
      <c r="G15" t="b">
        <v>0</v>
      </c>
      <c r="H15" t="s">
        <v>34</v>
      </c>
      <c r="I15" t="s">
        <v>44</v>
      </c>
      <c r="J15" t="s">
        <v>45</v>
      </c>
      <c r="K15" t="s">
        <v>37</v>
      </c>
      <c r="L15" t="s">
        <v>51</v>
      </c>
      <c r="M15" t="s">
        <v>46</v>
      </c>
      <c r="N15" t="s">
        <v>46</v>
      </c>
      <c r="P15" t="b">
        <v>0</v>
      </c>
      <c r="Q15">
        <v>7.2</v>
      </c>
      <c r="R15" t="b">
        <v>1</v>
      </c>
      <c r="S15" t="s">
        <v>65</v>
      </c>
      <c r="T15">
        <v>41.9</v>
      </c>
      <c r="U15">
        <v>81.22</v>
      </c>
      <c r="V15" t="b">
        <v>1</v>
      </c>
      <c r="W15" t="s">
        <v>41</v>
      </c>
    </row>
    <row r="16" spans="1:23" x14ac:dyDescent="0.25">
      <c r="A16" t="s">
        <v>68</v>
      </c>
      <c r="B16" t="s">
        <v>49</v>
      </c>
      <c r="C16">
        <v>75</v>
      </c>
      <c r="D16">
        <v>386</v>
      </c>
      <c r="E16" t="b">
        <v>0</v>
      </c>
      <c r="F16" t="b">
        <v>1</v>
      </c>
      <c r="G16" t="b">
        <v>1</v>
      </c>
      <c r="H16" t="s">
        <v>25</v>
      </c>
      <c r="I16" t="s">
        <v>26</v>
      </c>
      <c r="J16" t="s">
        <v>50</v>
      </c>
      <c r="K16" t="s">
        <v>46</v>
      </c>
      <c r="L16" t="s">
        <v>29</v>
      </c>
      <c r="M16" t="s">
        <v>28</v>
      </c>
      <c r="N16" t="s">
        <v>46</v>
      </c>
      <c r="O16" t="b">
        <v>1</v>
      </c>
      <c r="P16" t="b">
        <v>0</v>
      </c>
      <c r="Q16">
        <v>9.9</v>
      </c>
      <c r="R16" t="b">
        <v>0</v>
      </c>
      <c r="T16">
        <v>0</v>
      </c>
      <c r="U16">
        <v>66.209999999999994</v>
      </c>
      <c r="V16" t="b">
        <v>0</v>
      </c>
      <c r="W16" t="s">
        <v>58</v>
      </c>
    </row>
    <row r="17" spans="1:23" x14ac:dyDescent="0.25">
      <c r="A17" t="s">
        <v>68</v>
      </c>
      <c r="B17" t="s">
        <v>66</v>
      </c>
      <c r="C17">
        <v>55.73</v>
      </c>
      <c r="D17">
        <v>698</v>
      </c>
      <c r="E17" t="b">
        <v>1</v>
      </c>
      <c r="F17" t="b">
        <v>1</v>
      </c>
      <c r="G17" t="b">
        <v>0</v>
      </c>
      <c r="H17" t="s">
        <v>25</v>
      </c>
      <c r="I17" t="s">
        <v>57</v>
      </c>
      <c r="J17" t="s">
        <v>27</v>
      </c>
      <c r="K17" t="s">
        <v>28</v>
      </c>
      <c r="L17" t="s">
        <v>69</v>
      </c>
      <c r="M17" t="s">
        <v>47</v>
      </c>
      <c r="N17" t="s">
        <v>39</v>
      </c>
      <c r="O17" t="b">
        <v>0</v>
      </c>
      <c r="P17" t="b">
        <v>1</v>
      </c>
      <c r="Q17">
        <v>5.2</v>
      </c>
      <c r="R17" t="b">
        <v>0</v>
      </c>
      <c r="T17">
        <v>0</v>
      </c>
      <c r="U17">
        <v>55.92</v>
      </c>
      <c r="V17" t="b">
        <v>1</v>
      </c>
      <c r="W17" t="s">
        <v>41</v>
      </c>
    </row>
    <row r="18" spans="1:23" x14ac:dyDescent="0.25">
      <c r="A18" t="s">
        <v>68</v>
      </c>
      <c r="B18" t="s">
        <v>70</v>
      </c>
      <c r="C18">
        <v>79.42</v>
      </c>
      <c r="D18">
        <v>382</v>
      </c>
      <c r="E18" t="b">
        <v>0</v>
      </c>
      <c r="F18" t="b">
        <v>0</v>
      </c>
      <c r="G18" t="b">
        <v>1</v>
      </c>
      <c r="H18" t="s">
        <v>53</v>
      </c>
      <c r="I18" t="s">
        <v>57</v>
      </c>
      <c r="J18" t="s">
        <v>50</v>
      </c>
      <c r="K18" t="s">
        <v>37</v>
      </c>
      <c r="L18" t="s">
        <v>51</v>
      </c>
      <c r="M18" t="s">
        <v>39</v>
      </c>
      <c r="N18" t="s">
        <v>39</v>
      </c>
      <c r="O18" t="b">
        <v>0</v>
      </c>
      <c r="P18" t="b">
        <v>0</v>
      </c>
      <c r="Q18">
        <v>6.7</v>
      </c>
      <c r="R18" t="b">
        <v>1</v>
      </c>
      <c r="S18" t="s">
        <v>40</v>
      </c>
      <c r="T18">
        <v>30</v>
      </c>
      <c r="U18">
        <v>88.58</v>
      </c>
      <c r="V18" t="b">
        <v>0</v>
      </c>
      <c r="W18" t="s">
        <v>41</v>
      </c>
    </row>
    <row r="19" spans="1:23" x14ac:dyDescent="0.25">
      <c r="A19" t="s">
        <v>23</v>
      </c>
      <c r="B19" t="s">
        <v>71</v>
      </c>
      <c r="C19">
        <v>47.7</v>
      </c>
      <c r="D19">
        <v>53</v>
      </c>
      <c r="E19" t="b">
        <v>0</v>
      </c>
      <c r="F19" t="b">
        <v>1</v>
      </c>
      <c r="G19" t="b">
        <v>0</v>
      </c>
      <c r="H19" t="s">
        <v>53</v>
      </c>
      <c r="I19" t="s">
        <v>63</v>
      </c>
      <c r="J19" t="s">
        <v>36</v>
      </c>
      <c r="K19" t="s">
        <v>39</v>
      </c>
      <c r="L19" t="s">
        <v>69</v>
      </c>
      <c r="M19" t="s">
        <v>47</v>
      </c>
      <c r="N19" t="s">
        <v>28</v>
      </c>
      <c r="O19" t="b">
        <v>0</v>
      </c>
      <c r="P19" t="b">
        <v>1</v>
      </c>
      <c r="Q19">
        <v>2.9</v>
      </c>
      <c r="R19" t="b">
        <v>1</v>
      </c>
      <c r="S19" t="s">
        <v>55</v>
      </c>
      <c r="T19">
        <v>29.9</v>
      </c>
      <c r="U19">
        <v>40.409999999999997</v>
      </c>
      <c r="V19" t="b">
        <v>1</v>
      </c>
      <c r="W19" t="s">
        <v>72</v>
      </c>
    </row>
    <row r="20" spans="1:23" x14ac:dyDescent="0.25">
      <c r="A20" t="s">
        <v>61</v>
      </c>
      <c r="B20" t="s">
        <v>73</v>
      </c>
      <c r="C20">
        <v>52.94</v>
      </c>
      <c r="D20">
        <v>725</v>
      </c>
      <c r="E20" t="b">
        <v>1</v>
      </c>
      <c r="F20" t="b">
        <v>0</v>
      </c>
      <c r="G20" t="b">
        <v>1</v>
      </c>
      <c r="H20" t="s">
        <v>53</v>
      </c>
      <c r="I20" t="s">
        <v>35</v>
      </c>
      <c r="J20" t="s">
        <v>36</v>
      </c>
      <c r="K20" t="s">
        <v>46</v>
      </c>
      <c r="L20" t="s">
        <v>29</v>
      </c>
      <c r="M20" t="s">
        <v>47</v>
      </c>
      <c r="N20" t="s">
        <v>46</v>
      </c>
      <c r="O20" t="b">
        <v>0</v>
      </c>
      <c r="P20" t="b">
        <v>1</v>
      </c>
      <c r="Q20">
        <v>4.7</v>
      </c>
      <c r="R20" t="b">
        <v>1</v>
      </c>
      <c r="S20" t="s">
        <v>64</v>
      </c>
      <c r="T20">
        <v>36.1</v>
      </c>
      <c r="U20">
        <v>38.72</v>
      </c>
      <c r="V20" t="b">
        <v>1</v>
      </c>
      <c r="W20" t="s">
        <v>72</v>
      </c>
    </row>
    <row r="21" spans="1:23" x14ac:dyDescent="0.25">
      <c r="A21" t="s">
        <v>68</v>
      </c>
      <c r="B21" t="s">
        <v>59</v>
      </c>
      <c r="C21">
        <v>91.49</v>
      </c>
      <c r="D21">
        <v>457</v>
      </c>
      <c r="E21" t="b">
        <v>1</v>
      </c>
      <c r="F21" t="b">
        <v>1</v>
      </c>
      <c r="G21" t="b">
        <v>0</v>
      </c>
      <c r="H21" t="s">
        <v>43</v>
      </c>
      <c r="I21" t="s">
        <v>44</v>
      </c>
      <c r="J21" t="s">
        <v>54</v>
      </c>
      <c r="K21" t="s">
        <v>37</v>
      </c>
      <c r="L21" t="s">
        <v>51</v>
      </c>
      <c r="M21" t="s">
        <v>46</v>
      </c>
      <c r="N21" t="s">
        <v>28</v>
      </c>
      <c r="P21" t="b">
        <v>1</v>
      </c>
      <c r="Q21">
        <v>9.4</v>
      </c>
      <c r="R21" t="b">
        <v>0</v>
      </c>
      <c r="T21">
        <v>0</v>
      </c>
      <c r="U21">
        <v>78.010000000000005</v>
      </c>
      <c r="V21" t="b">
        <v>1</v>
      </c>
      <c r="W21" t="s">
        <v>58</v>
      </c>
    </row>
    <row r="22" spans="1:23" x14ac:dyDescent="0.25">
      <c r="A22" t="s">
        <v>32</v>
      </c>
      <c r="B22" t="s">
        <v>33</v>
      </c>
      <c r="C22">
        <v>85.85</v>
      </c>
      <c r="D22">
        <v>617</v>
      </c>
      <c r="E22" t="b">
        <v>0</v>
      </c>
      <c r="F22" t="b">
        <v>1</v>
      </c>
      <c r="G22" t="b">
        <v>0</v>
      </c>
      <c r="H22" t="s">
        <v>34</v>
      </c>
      <c r="I22" t="s">
        <v>35</v>
      </c>
      <c r="J22" t="s">
        <v>27</v>
      </c>
      <c r="K22" t="s">
        <v>28</v>
      </c>
      <c r="L22" t="s">
        <v>69</v>
      </c>
      <c r="M22" t="s">
        <v>28</v>
      </c>
      <c r="N22" t="s">
        <v>28</v>
      </c>
      <c r="P22" t="b">
        <v>0</v>
      </c>
      <c r="Q22">
        <v>9.9</v>
      </c>
      <c r="R22" t="b">
        <v>1</v>
      </c>
      <c r="S22" t="s">
        <v>65</v>
      </c>
      <c r="T22">
        <v>42.1</v>
      </c>
      <c r="U22">
        <v>77.63</v>
      </c>
      <c r="V22" t="b">
        <v>0</v>
      </c>
      <c r="W22" t="s">
        <v>31</v>
      </c>
    </row>
    <row r="23" spans="1:23" x14ac:dyDescent="0.25">
      <c r="A23" t="s">
        <v>23</v>
      </c>
      <c r="B23" t="s">
        <v>60</v>
      </c>
      <c r="C23">
        <v>55.95</v>
      </c>
      <c r="D23">
        <v>166</v>
      </c>
      <c r="E23" t="b">
        <v>1</v>
      </c>
      <c r="F23" t="b">
        <v>0</v>
      </c>
      <c r="G23" t="b">
        <v>1</v>
      </c>
      <c r="H23" t="s">
        <v>43</v>
      </c>
      <c r="I23" t="s">
        <v>57</v>
      </c>
      <c r="J23" t="s">
        <v>54</v>
      </c>
      <c r="K23" t="s">
        <v>46</v>
      </c>
      <c r="L23" t="s">
        <v>38</v>
      </c>
      <c r="M23" t="s">
        <v>39</v>
      </c>
      <c r="N23" t="s">
        <v>39</v>
      </c>
      <c r="P23" t="b">
        <v>1</v>
      </c>
      <c r="Q23">
        <v>7.7</v>
      </c>
      <c r="R23" t="b">
        <v>1</v>
      </c>
      <c r="S23" t="s">
        <v>52</v>
      </c>
      <c r="T23">
        <v>34.299999999999997</v>
      </c>
      <c r="U23">
        <v>55.71</v>
      </c>
      <c r="V23" t="b">
        <v>0</v>
      </c>
      <c r="W23" t="s">
        <v>41</v>
      </c>
    </row>
    <row r="24" spans="1:23" x14ac:dyDescent="0.25">
      <c r="A24" t="s">
        <v>56</v>
      </c>
      <c r="B24" t="s">
        <v>66</v>
      </c>
      <c r="C24">
        <v>75.510000000000005</v>
      </c>
      <c r="D24">
        <v>289</v>
      </c>
      <c r="E24" t="b">
        <v>1</v>
      </c>
      <c r="F24" t="b">
        <v>0</v>
      </c>
      <c r="G24" t="b">
        <v>1</v>
      </c>
      <c r="H24" t="s">
        <v>34</v>
      </c>
      <c r="I24" t="s">
        <v>26</v>
      </c>
      <c r="J24" t="s">
        <v>54</v>
      </c>
      <c r="K24" t="s">
        <v>28</v>
      </c>
      <c r="L24" t="s">
        <v>38</v>
      </c>
      <c r="M24" t="s">
        <v>39</v>
      </c>
      <c r="N24" t="s">
        <v>28</v>
      </c>
      <c r="O24" t="b">
        <v>1</v>
      </c>
      <c r="P24" t="b">
        <v>1</v>
      </c>
      <c r="Q24">
        <v>10</v>
      </c>
      <c r="R24" t="b">
        <v>1</v>
      </c>
      <c r="S24" t="s">
        <v>30</v>
      </c>
      <c r="T24">
        <v>13</v>
      </c>
      <c r="U24">
        <v>53.58</v>
      </c>
      <c r="V24" t="b">
        <v>0</v>
      </c>
      <c r="W24" t="s">
        <v>31</v>
      </c>
    </row>
    <row r="25" spans="1:23" x14ac:dyDescent="0.25">
      <c r="A25" t="s">
        <v>32</v>
      </c>
      <c r="B25" t="s">
        <v>71</v>
      </c>
      <c r="C25">
        <v>42.81</v>
      </c>
      <c r="D25">
        <v>86</v>
      </c>
      <c r="E25" t="b">
        <v>1</v>
      </c>
      <c r="F25" t="b">
        <v>0</v>
      </c>
      <c r="G25" t="b">
        <v>1</v>
      </c>
      <c r="H25" t="s">
        <v>43</v>
      </c>
      <c r="I25" t="s">
        <v>26</v>
      </c>
      <c r="J25" t="s">
        <v>54</v>
      </c>
      <c r="K25" t="s">
        <v>28</v>
      </c>
      <c r="L25" t="s">
        <v>29</v>
      </c>
      <c r="M25" t="s">
        <v>47</v>
      </c>
      <c r="N25" t="s">
        <v>39</v>
      </c>
      <c r="O25" t="b">
        <v>0</v>
      </c>
      <c r="P25" t="b">
        <v>0</v>
      </c>
      <c r="Q25">
        <v>2.7</v>
      </c>
      <c r="R25" t="b">
        <v>1</v>
      </c>
      <c r="S25" t="s">
        <v>55</v>
      </c>
      <c r="T25">
        <v>2.5</v>
      </c>
      <c r="U25">
        <v>21.4</v>
      </c>
      <c r="V25" t="b">
        <v>1</v>
      </c>
      <c r="W25" t="s">
        <v>72</v>
      </c>
    </row>
    <row r="26" spans="1:23" x14ac:dyDescent="0.25">
      <c r="A26" t="s">
        <v>74</v>
      </c>
      <c r="B26" t="s">
        <v>66</v>
      </c>
      <c r="C26">
        <v>62.31</v>
      </c>
      <c r="D26">
        <v>51</v>
      </c>
      <c r="E26" t="b">
        <v>0</v>
      </c>
      <c r="F26" t="b">
        <v>1</v>
      </c>
      <c r="G26" t="b">
        <v>1</v>
      </c>
      <c r="H26" t="s">
        <v>43</v>
      </c>
      <c r="I26" t="s">
        <v>63</v>
      </c>
      <c r="J26" t="s">
        <v>36</v>
      </c>
      <c r="K26" t="s">
        <v>28</v>
      </c>
      <c r="L26" t="s">
        <v>69</v>
      </c>
      <c r="M26" t="s">
        <v>39</v>
      </c>
      <c r="N26" t="s">
        <v>28</v>
      </c>
      <c r="O26" t="b">
        <v>0</v>
      </c>
      <c r="P26" t="b">
        <v>0</v>
      </c>
      <c r="Q26">
        <v>4.8</v>
      </c>
      <c r="R26" t="b">
        <v>1</v>
      </c>
      <c r="S26" t="s">
        <v>65</v>
      </c>
      <c r="T26">
        <v>26.2</v>
      </c>
      <c r="U26">
        <v>40.83</v>
      </c>
      <c r="V26" t="b">
        <v>1</v>
      </c>
      <c r="W26" t="s">
        <v>72</v>
      </c>
    </row>
    <row r="27" spans="1:23" x14ac:dyDescent="0.25">
      <c r="A27" t="s">
        <v>74</v>
      </c>
      <c r="B27" t="s">
        <v>66</v>
      </c>
      <c r="C27">
        <v>65.12</v>
      </c>
      <c r="D27">
        <v>320</v>
      </c>
      <c r="E27" t="b">
        <v>0</v>
      </c>
      <c r="F27" t="b">
        <v>1</v>
      </c>
      <c r="G27" t="b">
        <v>1</v>
      </c>
      <c r="H27" t="s">
        <v>43</v>
      </c>
      <c r="I27" t="s">
        <v>57</v>
      </c>
      <c r="J27" t="s">
        <v>36</v>
      </c>
      <c r="K27" t="s">
        <v>37</v>
      </c>
      <c r="L27" t="s">
        <v>69</v>
      </c>
      <c r="M27" t="s">
        <v>39</v>
      </c>
      <c r="O27" t="b">
        <v>1</v>
      </c>
      <c r="P27" t="b">
        <v>0</v>
      </c>
      <c r="Q27">
        <v>7.5</v>
      </c>
      <c r="R27" t="b">
        <v>1</v>
      </c>
      <c r="S27" t="s">
        <v>64</v>
      </c>
      <c r="T27">
        <v>11.5</v>
      </c>
      <c r="U27">
        <v>61.68</v>
      </c>
      <c r="V27" t="b">
        <v>1</v>
      </c>
      <c r="W27" t="s">
        <v>41</v>
      </c>
    </row>
    <row r="28" spans="1:23" x14ac:dyDescent="0.25">
      <c r="A28" t="s">
        <v>23</v>
      </c>
      <c r="B28" t="s">
        <v>73</v>
      </c>
      <c r="C28">
        <v>64.2</v>
      </c>
      <c r="D28">
        <v>293</v>
      </c>
      <c r="E28" t="b">
        <v>1</v>
      </c>
      <c r="F28" t="b">
        <v>0</v>
      </c>
      <c r="G28" t="b">
        <v>0</v>
      </c>
      <c r="H28" t="s">
        <v>34</v>
      </c>
      <c r="I28" t="s">
        <v>63</v>
      </c>
      <c r="J28" t="s">
        <v>36</v>
      </c>
      <c r="K28" t="s">
        <v>39</v>
      </c>
      <c r="L28" t="s">
        <v>37</v>
      </c>
      <c r="M28" t="s">
        <v>28</v>
      </c>
      <c r="N28" t="s">
        <v>39</v>
      </c>
      <c r="O28" t="b">
        <v>0</v>
      </c>
      <c r="P28" t="b">
        <v>0</v>
      </c>
      <c r="Q28">
        <v>6.6</v>
      </c>
      <c r="R28" t="b">
        <v>1</v>
      </c>
      <c r="S28" t="s">
        <v>30</v>
      </c>
      <c r="T28">
        <v>27.5</v>
      </c>
      <c r="U28">
        <v>59.63</v>
      </c>
      <c r="V28" t="b">
        <v>1</v>
      </c>
      <c r="W28" t="s">
        <v>41</v>
      </c>
    </row>
    <row r="29" spans="1:23" x14ac:dyDescent="0.25">
      <c r="A29" t="s">
        <v>23</v>
      </c>
      <c r="B29" t="s">
        <v>49</v>
      </c>
      <c r="C29">
        <v>64.930000000000007</v>
      </c>
      <c r="D29">
        <v>177</v>
      </c>
      <c r="E29" t="b">
        <v>1</v>
      </c>
      <c r="F29" t="b">
        <v>0</v>
      </c>
      <c r="G29" t="b">
        <v>0</v>
      </c>
      <c r="H29" t="s">
        <v>43</v>
      </c>
      <c r="I29" t="s">
        <v>63</v>
      </c>
      <c r="J29" t="s">
        <v>54</v>
      </c>
      <c r="K29" t="s">
        <v>28</v>
      </c>
      <c r="L29" t="s">
        <v>51</v>
      </c>
      <c r="M29" t="s">
        <v>28</v>
      </c>
      <c r="N29" t="s">
        <v>28</v>
      </c>
      <c r="O29" t="b">
        <v>1</v>
      </c>
      <c r="P29" t="b">
        <v>0</v>
      </c>
      <c r="Q29">
        <v>9.4</v>
      </c>
      <c r="R29" t="b">
        <v>1</v>
      </c>
      <c r="S29" t="s">
        <v>52</v>
      </c>
      <c r="T29">
        <v>30.4</v>
      </c>
      <c r="U29">
        <v>67.760000000000005</v>
      </c>
      <c r="V29" t="b">
        <v>0</v>
      </c>
      <c r="W29" t="s">
        <v>31</v>
      </c>
    </row>
    <row r="30" spans="1:23" x14ac:dyDescent="0.25">
      <c r="A30" t="s">
        <v>68</v>
      </c>
      <c r="B30" t="s">
        <v>59</v>
      </c>
      <c r="C30">
        <v>75.099999999999994</v>
      </c>
      <c r="D30">
        <v>107</v>
      </c>
      <c r="E30" t="b">
        <v>0</v>
      </c>
      <c r="F30" t="b">
        <v>0</v>
      </c>
      <c r="G30" t="b">
        <v>1</v>
      </c>
      <c r="H30" t="s">
        <v>25</v>
      </c>
      <c r="I30" t="s">
        <v>63</v>
      </c>
      <c r="J30" t="s">
        <v>36</v>
      </c>
      <c r="K30" t="s">
        <v>37</v>
      </c>
      <c r="L30" t="s">
        <v>69</v>
      </c>
      <c r="M30" t="s">
        <v>39</v>
      </c>
      <c r="O30" t="b">
        <v>1</v>
      </c>
      <c r="P30" t="b">
        <v>1</v>
      </c>
      <c r="Q30">
        <v>9.5</v>
      </c>
      <c r="R30" t="b">
        <v>1</v>
      </c>
      <c r="S30" t="s">
        <v>48</v>
      </c>
      <c r="T30">
        <v>37.6</v>
      </c>
      <c r="U30">
        <v>69.680000000000007</v>
      </c>
      <c r="V30" t="b">
        <v>0</v>
      </c>
      <c r="W30" t="s">
        <v>31</v>
      </c>
    </row>
    <row r="31" spans="1:23" x14ac:dyDescent="0.25">
      <c r="A31" t="s">
        <v>61</v>
      </c>
      <c r="B31" t="s">
        <v>71</v>
      </c>
      <c r="C31">
        <v>43.22</v>
      </c>
      <c r="D31">
        <v>345</v>
      </c>
      <c r="E31" t="b">
        <v>1</v>
      </c>
      <c r="F31" t="b">
        <v>1</v>
      </c>
      <c r="G31" t="b">
        <v>1</v>
      </c>
      <c r="H31" t="s">
        <v>25</v>
      </c>
      <c r="I31" t="s">
        <v>44</v>
      </c>
      <c r="J31" t="s">
        <v>45</v>
      </c>
      <c r="K31" t="s">
        <v>28</v>
      </c>
      <c r="L31" t="s">
        <v>29</v>
      </c>
      <c r="M31" t="s">
        <v>39</v>
      </c>
      <c r="N31" t="s">
        <v>46</v>
      </c>
      <c r="O31" t="b">
        <v>0</v>
      </c>
      <c r="P31" t="b">
        <v>0</v>
      </c>
      <c r="Q31">
        <v>4.3</v>
      </c>
      <c r="R31" t="b">
        <v>0</v>
      </c>
      <c r="T31">
        <v>0</v>
      </c>
      <c r="U31">
        <v>26.69</v>
      </c>
      <c r="V31" t="b">
        <v>1</v>
      </c>
      <c r="W31" t="s">
        <v>41</v>
      </c>
    </row>
    <row r="32" spans="1:23" x14ac:dyDescent="0.25">
      <c r="A32" t="s">
        <v>68</v>
      </c>
      <c r="B32" t="s">
        <v>73</v>
      </c>
      <c r="C32">
        <v>58.29</v>
      </c>
      <c r="D32">
        <v>776</v>
      </c>
      <c r="E32" t="b">
        <v>1</v>
      </c>
      <c r="F32" t="b">
        <v>0</v>
      </c>
      <c r="G32" t="b">
        <v>1</v>
      </c>
      <c r="H32" t="s">
        <v>53</v>
      </c>
      <c r="I32" t="s">
        <v>63</v>
      </c>
      <c r="J32" t="s">
        <v>36</v>
      </c>
      <c r="K32" t="s">
        <v>28</v>
      </c>
      <c r="L32" t="s">
        <v>38</v>
      </c>
      <c r="M32" t="s">
        <v>28</v>
      </c>
      <c r="N32" t="s">
        <v>39</v>
      </c>
      <c r="O32" t="b">
        <v>1</v>
      </c>
      <c r="P32" t="b">
        <v>1</v>
      </c>
      <c r="Q32">
        <v>10</v>
      </c>
      <c r="R32" t="b">
        <v>0</v>
      </c>
      <c r="T32">
        <v>0</v>
      </c>
      <c r="U32">
        <v>63.76</v>
      </c>
      <c r="V32" t="b">
        <v>0</v>
      </c>
      <c r="W32" t="s">
        <v>58</v>
      </c>
    </row>
    <row r="33" spans="1:23" x14ac:dyDescent="0.25">
      <c r="A33" t="s">
        <v>32</v>
      </c>
      <c r="B33" t="s">
        <v>66</v>
      </c>
      <c r="C33">
        <v>76.42</v>
      </c>
      <c r="D33">
        <v>466</v>
      </c>
      <c r="E33" t="b">
        <v>1</v>
      </c>
      <c r="F33" t="b">
        <v>0</v>
      </c>
      <c r="G33" t="b">
        <v>0</v>
      </c>
      <c r="H33" t="s">
        <v>25</v>
      </c>
      <c r="I33" t="s">
        <v>44</v>
      </c>
      <c r="J33" t="s">
        <v>54</v>
      </c>
      <c r="K33" t="s">
        <v>37</v>
      </c>
      <c r="L33" t="s">
        <v>37</v>
      </c>
      <c r="M33" t="s">
        <v>47</v>
      </c>
      <c r="O33" t="b">
        <v>1</v>
      </c>
      <c r="P33" t="b">
        <v>1</v>
      </c>
      <c r="Q33">
        <v>9.4</v>
      </c>
      <c r="R33" t="b">
        <v>1</v>
      </c>
      <c r="S33" t="s">
        <v>30</v>
      </c>
      <c r="T33">
        <v>30.9</v>
      </c>
      <c r="U33">
        <v>66.39</v>
      </c>
      <c r="V33" t="b">
        <v>0</v>
      </c>
      <c r="W33" t="s">
        <v>31</v>
      </c>
    </row>
    <row r="34" spans="1:23" x14ac:dyDescent="0.25">
      <c r="A34" t="s">
        <v>68</v>
      </c>
      <c r="B34" t="s">
        <v>60</v>
      </c>
      <c r="C34">
        <v>48.76</v>
      </c>
      <c r="D34">
        <v>60</v>
      </c>
      <c r="E34" t="b">
        <v>0</v>
      </c>
      <c r="F34" t="b">
        <v>1</v>
      </c>
      <c r="G34" t="b">
        <v>1</v>
      </c>
      <c r="H34" t="s">
        <v>25</v>
      </c>
      <c r="I34" t="s">
        <v>63</v>
      </c>
      <c r="J34" t="s">
        <v>27</v>
      </c>
      <c r="K34" t="s">
        <v>46</v>
      </c>
      <c r="L34" t="s">
        <v>69</v>
      </c>
      <c r="M34" t="s">
        <v>46</v>
      </c>
      <c r="N34" t="s">
        <v>28</v>
      </c>
      <c r="O34" t="b">
        <v>1</v>
      </c>
      <c r="P34" t="b">
        <v>0</v>
      </c>
      <c r="Q34">
        <v>7.3</v>
      </c>
      <c r="R34" t="b">
        <v>1</v>
      </c>
      <c r="S34" t="s">
        <v>52</v>
      </c>
      <c r="T34">
        <v>26.3</v>
      </c>
      <c r="U34">
        <v>47.61</v>
      </c>
      <c r="V34" t="b">
        <v>0</v>
      </c>
      <c r="W34" t="s">
        <v>41</v>
      </c>
    </row>
    <row r="35" spans="1:23" x14ac:dyDescent="0.25">
      <c r="A35" t="s">
        <v>74</v>
      </c>
      <c r="B35" t="s">
        <v>24</v>
      </c>
      <c r="C35">
        <v>92.82</v>
      </c>
      <c r="D35">
        <v>541</v>
      </c>
      <c r="E35" t="b">
        <v>1</v>
      </c>
      <c r="F35" t="b">
        <v>0</v>
      </c>
      <c r="G35" t="b">
        <v>0</v>
      </c>
      <c r="H35" t="s">
        <v>25</v>
      </c>
      <c r="I35" t="s">
        <v>63</v>
      </c>
      <c r="J35" t="s">
        <v>45</v>
      </c>
      <c r="K35" t="s">
        <v>46</v>
      </c>
      <c r="L35" t="s">
        <v>69</v>
      </c>
      <c r="M35" t="s">
        <v>46</v>
      </c>
      <c r="P35" t="b">
        <v>0</v>
      </c>
      <c r="Q35">
        <v>10</v>
      </c>
      <c r="R35" t="b">
        <v>0</v>
      </c>
      <c r="T35">
        <v>0</v>
      </c>
      <c r="U35">
        <v>90.77</v>
      </c>
      <c r="V35" t="b">
        <v>1</v>
      </c>
      <c r="W35" t="s">
        <v>58</v>
      </c>
    </row>
    <row r="36" spans="1:23" x14ac:dyDescent="0.25">
      <c r="A36" t="s">
        <v>56</v>
      </c>
      <c r="B36" t="s">
        <v>60</v>
      </c>
      <c r="C36">
        <v>46.95</v>
      </c>
      <c r="D36">
        <v>521</v>
      </c>
      <c r="E36" t="b">
        <v>0</v>
      </c>
      <c r="F36" t="b">
        <v>0</v>
      </c>
      <c r="G36" t="b">
        <v>0</v>
      </c>
      <c r="H36" t="s">
        <v>53</v>
      </c>
      <c r="I36" t="s">
        <v>35</v>
      </c>
      <c r="J36" t="s">
        <v>45</v>
      </c>
      <c r="K36" t="s">
        <v>37</v>
      </c>
      <c r="L36" t="s">
        <v>29</v>
      </c>
      <c r="M36" t="s">
        <v>28</v>
      </c>
      <c r="P36" t="b">
        <v>0</v>
      </c>
      <c r="Q36">
        <v>5.2</v>
      </c>
      <c r="R36" t="b">
        <v>1</v>
      </c>
      <c r="S36" t="s">
        <v>55</v>
      </c>
      <c r="T36">
        <v>25.5</v>
      </c>
      <c r="U36">
        <v>58.55</v>
      </c>
      <c r="V36" t="b">
        <v>1</v>
      </c>
      <c r="W36" t="s">
        <v>41</v>
      </c>
    </row>
    <row r="37" spans="1:23" x14ac:dyDescent="0.25">
      <c r="A37" t="s">
        <v>23</v>
      </c>
      <c r="B37" t="s">
        <v>49</v>
      </c>
      <c r="C37">
        <v>60.77</v>
      </c>
      <c r="D37">
        <v>442</v>
      </c>
      <c r="E37" t="b">
        <v>1</v>
      </c>
      <c r="F37" t="b">
        <v>1</v>
      </c>
      <c r="G37" t="b">
        <v>1</v>
      </c>
      <c r="H37" t="s">
        <v>25</v>
      </c>
      <c r="I37" t="s">
        <v>44</v>
      </c>
      <c r="J37" t="s">
        <v>45</v>
      </c>
      <c r="K37" t="s">
        <v>37</v>
      </c>
      <c r="L37" t="s">
        <v>69</v>
      </c>
      <c r="M37" t="s">
        <v>28</v>
      </c>
      <c r="N37" t="s">
        <v>28</v>
      </c>
      <c r="P37" t="b">
        <v>0</v>
      </c>
      <c r="Q37">
        <v>8</v>
      </c>
      <c r="R37" t="b">
        <v>1</v>
      </c>
      <c r="S37" t="s">
        <v>64</v>
      </c>
      <c r="T37">
        <v>35</v>
      </c>
      <c r="U37">
        <v>71.84</v>
      </c>
      <c r="V37" t="b">
        <v>1</v>
      </c>
      <c r="W37" t="s">
        <v>31</v>
      </c>
    </row>
    <row r="38" spans="1:23" x14ac:dyDescent="0.25">
      <c r="A38" t="s">
        <v>23</v>
      </c>
      <c r="B38" t="s">
        <v>60</v>
      </c>
      <c r="C38">
        <v>56.58</v>
      </c>
      <c r="D38">
        <v>688</v>
      </c>
      <c r="E38" t="b">
        <v>0</v>
      </c>
      <c r="F38" t="b">
        <v>1</v>
      </c>
      <c r="G38" t="b">
        <v>0</v>
      </c>
      <c r="H38" t="s">
        <v>25</v>
      </c>
      <c r="I38" t="s">
        <v>44</v>
      </c>
      <c r="J38" t="s">
        <v>45</v>
      </c>
      <c r="K38" t="s">
        <v>37</v>
      </c>
      <c r="L38" t="s">
        <v>38</v>
      </c>
      <c r="M38" t="s">
        <v>46</v>
      </c>
      <c r="P38" t="b">
        <v>1</v>
      </c>
      <c r="Q38">
        <v>5.7</v>
      </c>
      <c r="R38" t="b">
        <v>1</v>
      </c>
      <c r="S38" t="s">
        <v>30</v>
      </c>
      <c r="T38">
        <v>14.8</v>
      </c>
      <c r="U38">
        <v>48.42</v>
      </c>
      <c r="V38" t="b">
        <v>1</v>
      </c>
      <c r="W38" t="s">
        <v>41</v>
      </c>
    </row>
    <row r="39" spans="1:23" x14ac:dyDescent="0.25">
      <c r="A39" t="s">
        <v>23</v>
      </c>
      <c r="B39" t="s">
        <v>24</v>
      </c>
      <c r="C39">
        <v>98.66</v>
      </c>
      <c r="D39">
        <v>109</v>
      </c>
      <c r="E39" t="b">
        <v>0</v>
      </c>
      <c r="F39" t="b">
        <v>1</v>
      </c>
      <c r="G39" t="b">
        <v>1</v>
      </c>
      <c r="H39" t="s">
        <v>34</v>
      </c>
      <c r="I39" t="s">
        <v>26</v>
      </c>
      <c r="J39" t="s">
        <v>50</v>
      </c>
      <c r="K39" t="s">
        <v>39</v>
      </c>
      <c r="L39" t="s">
        <v>69</v>
      </c>
      <c r="M39" t="s">
        <v>46</v>
      </c>
      <c r="O39" t="b">
        <v>0</v>
      </c>
      <c r="P39" t="b">
        <v>1</v>
      </c>
      <c r="Q39">
        <v>9.1</v>
      </c>
      <c r="R39" t="b">
        <v>1</v>
      </c>
      <c r="S39" t="s">
        <v>65</v>
      </c>
      <c r="T39">
        <v>16.600000000000001</v>
      </c>
      <c r="U39">
        <v>89.95</v>
      </c>
      <c r="V39" t="b">
        <v>1</v>
      </c>
      <c r="W39" t="s">
        <v>31</v>
      </c>
    </row>
    <row r="40" spans="1:23" x14ac:dyDescent="0.25">
      <c r="A40" t="s">
        <v>23</v>
      </c>
      <c r="B40" t="s">
        <v>24</v>
      </c>
      <c r="C40">
        <v>89.07</v>
      </c>
      <c r="D40">
        <v>258</v>
      </c>
      <c r="E40" t="b">
        <v>0</v>
      </c>
      <c r="F40" t="b">
        <v>0</v>
      </c>
      <c r="G40" t="b">
        <v>1</v>
      </c>
      <c r="H40" t="s">
        <v>43</v>
      </c>
      <c r="I40" t="s">
        <v>35</v>
      </c>
      <c r="J40" t="s">
        <v>54</v>
      </c>
      <c r="K40" t="s">
        <v>37</v>
      </c>
      <c r="L40" t="s">
        <v>37</v>
      </c>
      <c r="M40" t="s">
        <v>39</v>
      </c>
      <c r="N40" t="s">
        <v>46</v>
      </c>
      <c r="O40" t="b">
        <v>1</v>
      </c>
      <c r="P40" t="b">
        <v>0</v>
      </c>
      <c r="Q40">
        <v>10</v>
      </c>
      <c r="R40" t="b">
        <v>1</v>
      </c>
      <c r="S40" t="s">
        <v>75</v>
      </c>
      <c r="T40">
        <v>37.6</v>
      </c>
      <c r="U40">
        <v>89.53</v>
      </c>
      <c r="V40" t="b">
        <v>1</v>
      </c>
      <c r="W40" t="s">
        <v>31</v>
      </c>
    </row>
    <row r="41" spans="1:23" x14ac:dyDescent="0.25">
      <c r="A41" t="s">
        <v>74</v>
      </c>
      <c r="B41" t="s">
        <v>70</v>
      </c>
      <c r="C41">
        <v>83.32</v>
      </c>
      <c r="D41">
        <v>152</v>
      </c>
      <c r="E41" t="b">
        <v>1</v>
      </c>
      <c r="F41" t="b">
        <v>1</v>
      </c>
      <c r="G41" t="b">
        <v>1</v>
      </c>
      <c r="H41" t="s">
        <v>25</v>
      </c>
      <c r="I41" t="s">
        <v>63</v>
      </c>
      <c r="J41" t="s">
        <v>36</v>
      </c>
      <c r="K41" t="s">
        <v>28</v>
      </c>
      <c r="L41" t="s">
        <v>69</v>
      </c>
      <c r="M41" t="s">
        <v>47</v>
      </c>
      <c r="N41" t="s">
        <v>46</v>
      </c>
      <c r="O41" t="b">
        <v>1</v>
      </c>
      <c r="P41" t="b">
        <v>1</v>
      </c>
      <c r="Q41">
        <v>10</v>
      </c>
      <c r="R41" t="b">
        <v>1</v>
      </c>
      <c r="S41" t="s">
        <v>30</v>
      </c>
      <c r="T41">
        <v>44.5</v>
      </c>
      <c r="U41">
        <v>81</v>
      </c>
      <c r="V41" t="b">
        <v>1</v>
      </c>
      <c r="W41" t="s">
        <v>31</v>
      </c>
    </row>
    <row r="42" spans="1:23" x14ac:dyDescent="0.25">
      <c r="A42" t="s">
        <v>61</v>
      </c>
      <c r="B42" t="s">
        <v>76</v>
      </c>
      <c r="C42">
        <v>77.77</v>
      </c>
      <c r="D42">
        <v>97</v>
      </c>
      <c r="E42" t="b">
        <v>0</v>
      </c>
      <c r="F42" t="b">
        <v>1</v>
      </c>
      <c r="G42" t="b">
        <v>0</v>
      </c>
      <c r="H42" t="s">
        <v>25</v>
      </c>
      <c r="I42" t="s">
        <v>57</v>
      </c>
      <c r="J42" t="s">
        <v>36</v>
      </c>
      <c r="K42" t="s">
        <v>37</v>
      </c>
      <c r="L42" t="s">
        <v>69</v>
      </c>
      <c r="M42" t="s">
        <v>47</v>
      </c>
      <c r="N42" t="s">
        <v>46</v>
      </c>
      <c r="P42" t="b">
        <v>1</v>
      </c>
      <c r="Q42">
        <v>7.2</v>
      </c>
      <c r="R42" t="b">
        <v>1</v>
      </c>
      <c r="S42" t="s">
        <v>65</v>
      </c>
      <c r="T42">
        <v>2.2000000000000002</v>
      </c>
      <c r="U42">
        <v>76.98</v>
      </c>
      <c r="V42" t="b">
        <v>1</v>
      </c>
      <c r="W42" t="s">
        <v>41</v>
      </c>
    </row>
    <row r="43" spans="1:23" x14ac:dyDescent="0.25">
      <c r="A43" t="s">
        <v>23</v>
      </c>
      <c r="B43" t="s">
        <v>66</v>
      </c>
      <c r="C43">
        <v>65.010000000000005</v>
      </c>
      <c r="D43">
        <v>74</v>
      </c>
      <c r="E43" t="b">
        <v>1</v>
      </c>
      <c r="F43" t="b">
        <v>1</v>
      </c>
      <c r="G43" t="b">
        <v>0</v>
      </c>
      <c r="H43" t="s">
        <v>34</v>
      </c>
      <c r="I43" t="s">
        <v>67</v>
      </c>
      <c r="J43" t="s">
        <v>54</v>
      </c>
      <c r="K43" t="s">
        <v>28</v>
      </c>
      <c r="L43" t="s">
        <v>37</v>
      </c>
      <c r="M43" t="s">
        <v>28</v>
      </c>
      <c r="N43" t="s">
        <v>46</v>
      </c>
      <c r="O43" t="b">
        <v>0</v>
      </c>
      <c r="P43" t="b">
        <v>0</v>
      </c>
      <c r="Q43">
        <v>8</v>
      </c>
      <c r="R43" t="b">
        <v>0</v>
      </c>
      <c r="T43">
        <v>0</v>
      </c>
      <c r="U43">
        <v>46.75</v>
      </c>
      <c r="V43" t="b">
        <v>0</v>
      </c>
      <c r="W43" t="s">
        <v>58</v>
      </c>
    </row>
    <row r="44" spans="1:23" x14ac:dyDescent="0.25">
      <c r="A44" t="s">
        <v>74</v>
      </c>
      <c r="B44" t="s">
        <v>33</v>
      </c>
      <c r="C44">
        <v>84.03</v>
      </c>
      <c r="D44">
        <v>180</v>
      </c>
      <c r="E44" t="b">
        <v>0</v>
      </c>
      <c r="F44" t="b">
        <v>0</v>
      </c>
      <c r="G44" t="b">
        <v>1</v>
      </c>
      <c r="H44" t="s">
        <v>25</v>
      </c>
      <c r="I44" t="s">
        <v>63</v>
      </c>
      <c r="J44" t="s">
        <v>36</v>
      </c>
      <c r="K44" t="s">
        <v>39</v>
      </c>
      <c r="L44" t="s">
        <v>38</v>
      </c>
      <c r="M44" t="s">
        <v>39</v>
      </c>
      <c r="N44" t="s">
        <v>46</v>
      </c>
      <c r="O44" t="b">
        <v>1</v>
      </c>
      <c r="P44" t="b">
        <v>1</v>
      </c>
      <c r="Q44">
        <v>10</v>
      </c>
      <c r="R44" t="b">
        <v>1</v>
      </c>
      <c r="S44" t="s">
        <v>30</v>
      </c>
      <c r="T44">
        <v>34.6</v>
      </c>
      <c r="U44">
        <v>85.07</v>
      </c>
      <c r="V44" t="b">
        <v>1</v>
      </c>
      <c r="W44" t="s">
        <v>31</v>
      </c>
    </row>
    <row r="45" spans="1:23" x14ac:dyDescent="0.25">
      <c r="A45" t="s">
        <v>68</v>
      </c>
      <c r="B45" t="s">
        <v>73</v>
      </c>
      <c r="C45">
        <v>66.989999999999995</v>
      </c>
      <c r="D45">
        <v>263</v>
      </c>
      <c r="E45" t="b">
        <v>0</v>
      </c>
      <c r="F45" t="b">
        <v>0</v>
      </c>
      <c r="G45" t="b">
        <v>1</v>
      </c>
      <c r="H45" t="s">
        <v>43</v>
      </c>
      <c r="I45" t="s">
        <v>57</v>
      </c>
      <c r="J45" t="s">
        <v>27</v>
      </c>
      <c r="K45" t="s">
        <v>39</v>
      </c>
      <c r="L45" t="s">
        <v>29</v>
      </c>
      <c r="M45" t="s">
        <v>46</v>
      </c>
      <c r="N45" t="s">
        <v>46</v>
      </c>
      <c r="P45" t="b">
        <v>0</v>
      </c>
      <c r="Q45">
        <v>6.7</v>
      </c>
      <c r="R45" t="b">
        <v>1</v>
      </c>
      <c r="S45" t="s">
        <v>30</v>
      </c>
      <c r="T45">
        <v>6.1</v>
      </c>
      <c r="U45">
        <v>60.83</v>
      </c>
      <c r="V45" t="b">
        <v>1</v>
      </c>
      <c r="W45" t="s">
        <v>41</v>
      </c>
    </row>
    <row r="46" spans="1:23" x14ac:dyDescent="0.25">
      <c r="A46" t="s">
        <v>61</v>
      </c>
      <c r="B46" t="s">
        <v>59</v>
      </c>
      <c r="C46">
        <v>78.569999999999993</v>
      </c>
      <c r="D46">
        <v>772</v>
      </c>
      <c r="E46" t="b">
        <v>1</v>
      </c>
      <c r="F46" t="b">
        <v>0</v>
      </c>
      <c r="G46" t="b">
        <v>0</v>
      </c>
      <c r="H46" t="s">
        <v>25</v>
      </c>
      <c r="I46" t="s">
        <v>57</v>
      </c>
      <c r="J46" t="s">
        <v>27</v>
      </c>
      <c r="K46" t="s">
        <v>46</v>
      </c>
      <c r="L46" t="s">
        <v>51</v>
      </c>
      <c r="M46" t="s">
        <v>46</v>
      </c>
      <c r="O46" t="b">
        <v>0</v>
      </c>
      <c r="P46" t="b">
        <v>0</v>
      </c>
      <c r="Q46">
        <v>9</v>
      </c>
      <c r="R46" t="b">
        <v>0</v>
      </c>
      <c r="T46">
        <v>0</v>
      </c>
      <c r="U46">
        <v>92.84</v>
      </c>
      <c r="V46" t="b">
        <v>1</v>
      </c>
      <c r="W46" t="s">
        <v>58</v>
      </c>
    </row>
    <row r="47" spans="1:23" x14ac:dyDescent="0.25">
      <c r="A47" t="s">
        <v>74</v>
      </c>
      <c r="B47" t="s">
        <v>76</v>
      </c>
      <c r="C47">
        <v>80.430000000000007</v>
      </c>
      <c r="D47">
        <v>560</v>
      </c>
      <c r="E47" t="b">
        <v>1</v>
      </c>
      <c r="F47" t="b">
        <v>0</v>
      </c>
      <c r="G47" t="b">
        <v>1</v>
      </c>
      <c r="H47" t="s">
        <v>25</v>
      </c>
      <c r="I47" t="s">
        <v>57</v>
      </c>
      <c r="J47" t="s">
        <v>36</v>
      </c>
      <c r="K47" t="s">
        <v>39</v>
      </c>
      <c r="L47" t="s">
        <v>69</v>
      </c>
      <c r="M47" t="s">
        <v>46</v>
      </c>
      <c r="O47" t="b">
        <v>0</v>
      </c>
      <c r="P47" t="b">
        <v>1</v>
      </c>
      <c r="Q47">
        <v>8.5</v>
      </c>
      <c r="R47" t="b">
        <v>1</v>
      </c>
      <c r="S47" t="s">
        <v>40</v>
      </c>
      <c r="T47">
        <v>19.600000000000001</v>
      </c>
      <c r="U47">
        <v>84.6</v>
      </c>
      <c r="V47" t="b">
        <v>1</v>
      </c>
      <c r="W47" t="s">
        <v>31</v>
      </c>
    </row>
    <row r="48" spans="1:23" x14ac:dyDescent="0.25">
      <c r="A48" t="s">
        <v>56</v>
      </c>
      <c r="B48" t="s">
        <v>33</v>
      </c>
      <c r="C48">
        <v>76.069999999999993</v>
      </c>
      <c r="D48">
        <v>188</v>
      </c>
      <c r="E48" t="b">
        <v>0</v>
      </c>
      <c r="F48" t="b">
        <v>1</v>
      </c>
      <c r="G48" t="b">
        <v>1</v>
      </c>
      <c r="H48" t="s">
        <v>25</v>
      </c>
      <c r="I48" t="s">
        <v>35</v>
      </c>
      <c r="J48" t="s">
        <v>45</v>
      </c>
      <c r="K48" t="s">
        <v>37</v>
      </c>
      <c r="L48" t="s">
        <v>51</v>
      </c>
      <c r="M48" t="s">
        <v>28</v>
      </c>
      <c r="N48" t="s">
        <v>46</v>
      </c>
      <c r="O48" t="b">
        <v>0</v>
      </c>
      <c r="P48" t="b">
        <v>1</v>
      </c>
      <c r="Q48">
        <v>6.5</v>
      </c>
      <c r="R48" t="b">
        <v>1</v>
      </c>
      <c r="S48" t="s">
        <v>40</v>
      </c>
      <c r="T48">
        <v>35.6</v>
      </c>
      <c r="U48">
        <v>65.510000000000005</v>
      </c>
      <c r="V48" t="b">
        <v>1</v>
      </c>
      <c r="W48" t="s">
        <v>41</v>
      </c>
    </row>
    <row r="49" spans="1:23" x14ac:dyDescent="0.25">
      <c r="A49" t="s">
        <v>61</v>
      </c>
      <c r="B49" t="s">
        <v>73</v>
      </c>
      <c r="C49">
        <v>68.36</v>
      </c>
      <c r="D49">
        <v>416</v>
      </c>
      <c r="E49" t="b">
        <v>1</v>
      </c>
      <c r="F49" t="b">
        <v>1</v>
      </c>
      <c r="G49" t="b">
        <v>0</v>
      </c>
      <c r="H49" t="s">
        <v>25</v>
      </c>
      <c r="I49" t="s">
        <v>67</v>
      </c>
      <c r="J49" t="s">
        <v>36</v>
      </c>
      <c r="K49" t="s">
        <v>28</v>
      </c>
      <c r="L49" t="s">
        <v>29</v>
      </c>
      <c r="M49" t="s">
        <v>28</v>
      </c>
      <c r="N49" t="s">
        <v>46</v>
      </c>
      <c r="P49" t="b">
        <v>1</v>
      </c>
      <c r="Q49">
        <v>8.1999999999999993</v>
      </c>
      <c r="R49" t="b">
        <v>0</v>
      </c>
      <c r="T49">
        <v>0</v>
      </c>
      <c r="U49">
        <v>76.36</v>
      </c>
      <c r="V49" t="b">
        <v>1</v>
      </c>
      <c r="W49" t="s">
        <v>58</v>
      </c>
    </row>
    <row r="50" spans="1:23" x14ac:dyDescent="0.25">
      <c r="A50" t="s">
        <v>74</v>
      </c>
      <c r="B50" t="s">
        <v>59</v>
      </c>
      <c r="C50">
        <v>86.27</v>
      </c>
      <c r="D50">
        <v>666</v>
      </c>
      <c r="E50" t="b">
        <v>0</v>
      </c>
      <c r="F50" t="b">
        <v>0</v>
      </c>
      <c r="G50" t="b">
        <v>1</v>
      </c>
      <c r="H50" t="s">
        <v>43</v>
      </c>
      <c r="I50" t="s">
        <v>57</v>
      </c>
      <c r="J50" t="s">
        <v>27</v>
      </c>
      <c r="K50" t="s">
        <v>37</v>
      </c>
      <c r="L50" t="s">
        <v>29</v>
      </c>
      <c r="M50" t="s">
        <v>39</v>
      </c>
      <c r="N50" t="s">
        <v>46</v>
      </c>
      <c r="P50" t="b">
        <v>0</v>
      </c>
      <c r="Q50">
        <v>8.1</v>
      </c>
      <c r="R50" t="b">
        <v>1</v>
      </c>
      <c r="S50" t="s">
        <v>40</v>
      </c>
      <c r="T50">
        <v>25.3</v>
      </c>
      <c r="U50">
        <v>79.5</v>
      </c>
      <c r="V50" t="b">
        <v>1</v>
      </c>
      <c r="W50" t="s">
        <v>31</v>
      </c>
    </row>
    <row r="51" spans="1:23" x14ac:dyDescent="0.25">
      <c r="A51" t="s">
        <v>23</v>
      </c>
      <c r="B51" t="s">
        <v>33</v>
      </c>
      <c r="C51">
        <v>78</v>
      </c>
      <c r="D51">
        <v>563</v>
      </c>
      <c r="E51" t="b">
        <v>0</v>
      </c>
      <c r="F51" t="b">
        <v>1</v>
      </c>
      <c r="G51" t="b">
        <v>0</v>
      </c>
      <c r="H51" t="s">
        <v>43</v>
      </c>
      <c r="I51" t="s">
        <v>26</v>
      </c>
      <c r="J51" t="s">
        <v>36</v>
      </c>
      <c r="K51" t="s">
        <v>46</v>
      </c>
      <c r="L51" t="s">
        <v>29</v>
      </c>
      <c r="M51" t="s">
        <v>46</v>
      </c>
      <c r="N51" t="s">
        <v>28</v>
      </c>
      <c r="P51" t="b">
        <v>0</v>
      </c>
      <c r="Q51">
        <v>8.1</v>
      </c>
      <c r="R51" t="b">
        <v>0</v>
      </c>
      <c r="T51">
        <v>0</v>
      </c>
      <c r="U51">
        <v>74.430000000000007</v>
      </c>
      <c r="V51" t="b">
        <v>1</v>
      </c>
      <c r="W51" t="s">
        <v>58</v>
      </c>
    </row>
    <row r="52" spans="1:23" x14ac:dyDescent="0.25">
      <c r="A52" t="s">
        <v>68</v>
      </c>
      <c r="B52" t="s">
        <v>49</v>
      </c>
      <c r="C52">
        <v>64.34</v>
      </c>
      <c r="D52">
        <v>477</v>
      </c>
      <c r="E52" t="b">
        <v>1</v>
      </c>
      <c r="F52" t="b">
        <v>1</v>
      </c>
      <c r="G52" t="b">
        <v>0</v>
      </c>
      <c r="H52" t="s">
        <v>25</v>
      </c>
      <c r="I52" t="s">
        <v>26</v>
      </c>
      <c r="J52" t="s">
        <v>45</v>
      </c>
      <c r="K52" t="s">
        <v>39</v>
      </c>
      <c r="L52" t="s">
        <v>69</v>
      </c>
      <c r="M52" t="s">
        <v>28</v>
      </c>
      <c r="N52" t="s">
        <v>46</v>
      </c>
      <c r="P52" t="b">
        <v>1</v>
      </c>
      <c r="Q52">
        <v>8.6999999999999993</v>
      </c>
      <c r="R52" t="b">
        <v>0</v>
      </c>
      <c r="T52">
        <v>0</v>
      </c>
      <c r="U52">
        <v>75.099999999999994</v>
      </c>
      <c r="V52" t="b">
        <v>1</v>
      </c>
      <c r="W52" t="s">
        <v>58</v>
      </c>
    </row>
    <row r="53" spans="1:23" x14ac:dyDescent="0.25">
      <c r="A53" t="s">
        <v>61</v>
      </c>
      <c r="B53" t="s">
        <v>60</v>
      </c>
      <c r="C53">
        <v>48.63</v>
      </c>
      <c r="D53">
        <v>758</v>
      </c>
      <c r="E53" t="b">
        <v>1</v>
      </c>
      <c r="F53" t="b">
        <v>1</v>
      </c>
      <c r="G53" t="b">
        <v>1</v>
      </c>
      <c r="H53" t="s">
        <v>34</v>
      </c>
      <c r="I53" t="s">
        <v>44</v>
      </c>
      <c r="J53" t="s">
        <v>45</v>
      </c>
      <c r="K53" t="s">
        <v>46</v>
      </c>
      <c r="L53" t="s">
        <v>29</v>
      </c>
      <c r="M53" t="s">
        <v>46</v>
      </c>
      <c r="P53" t="b">
        <v>0</v>
      </c>
      <c r="Q53">
        <v>5.7</v>
      </c>
      <c r="R53" t="b">
        <v>0</v>
      </c>
      <c r="T53">
        <v>0</v>
      </c>
      <c r="U53">
        <v>60.58</v>
      </c>
      <c r="V53" t="b">
        <v>1</v>
      </c>
      <c r="W53" t="s">
        <v>41</v>
      </c>
    </row>
    <row r="54" spans="1:23" x14ac:dyDescent="0.25">
      <c r="A54" t="s">
        <v>74</v>
      </c>
      <c r="B54" t="s">
        <v>59</v>
      </c>
      <c r="C54">
        <v>78.510000000000005</v>
      </c>
      <c r="D54">
        <v>751</v>
      </c>
      <c r="E54" t="b">
        <v>1</v>
      </c>
      <c r="F54" t="b">
        <v>0</v>
      </c>
      <c r="G54" t="b">
        <v>1</v>
      </c>
      <c r="H54" t="s">
        <v>53</v>
      </c>
      <c r="I54" t="s">
        <v>26</v>
      </c>
      <c r="J54" t="s">
        <v>54</v>
      </c>
      <c r="K54" t="s">
        <v>46</v>
      </c>
      <c r="L54" t="s">
        <v>29</v>
      </c>
      <c r="M54" t="s">
        <v>39</v>
      </c>
      <c r="N54" t="s">
        <v>39</v>
      </c>
      <c r="P54" t="b">
        <v>0</v>
      </c>
      <c r="Q54">
        <v>8.5</v>
      </c>
      <c r="R54" t="b">
        <v>1</v>
      </c>
      <c r="S54" t="s">
        <v>48</v>
      </c>
      <c r="T54">
        <v>22.1</v>
      </c>
      <c r="U54">
        <v>73.84</v>
      </c>
      <c r="V54" t="b">
        <v>1</v>
      </c>
      <c r="W54" t="s">
        <v>31</v>
      </c>
    </row>
    <row r="55" spans="1:23" x14ac:dyDescent="0.25">
      <c r="A55" t="s">
        <v>61</v>
      </c>
      <c r="B55" t="s">
        <v>42</v>
      </c>
      <c r="C55">
        <v>65.680000000000007</v>
      </c>
      <c r="D55">
        <v>228</v>
      </c>
      <c r="E55" t="b">
        <v>0</v>
      </c>
      <c r="F55" t="b">
        <v>1</v>
      </c>
      <c r="G55" t="b">
        <v>0</v>
      </c>
      <c r="H55" t="s">
        <v>53</v>
      </c>
      <c r="I55" t="s">
        <v>57</v>
      </c>
      <c r="J55" t="s">
        <v>50</v>
      </c>
      <c r="K55" t="s">
        <v>46</v>
      </c>
      <c r="L55" t="s">
        <v>69</v>
      </c>
      <c r="M55" t="s">
        <v>28</v>
      </c>
      <c r="N55" t="s">
        <v>39</v>
      </c>
      <c r="O55" t="b">
        <v>0</v>
      </c>
      <c r="P55" t="b">
        <v>1</v>
      </c>
      <c r="Q55">
        <v>6.6</v>
      </c>
      <c r="R55" t="b">
        <v>0</v>
      </c>
      <c r="T55">
        <v>0</v>
      </c>
      <c r="U55">
        <v>67.84</v>
      </c>
      <c r="V55" t="b">
        <v>1</v>
      </c>
      <c r="W55" t="s">
        <v>31</v>
      </c>
    </row>
    <row r="56" spans="1:23" x14ac:dyDescent="0.25">
      <c r="A56" t="s">
        <v>68</v>
      </c>
      <c r="B56" t="s">
        <v>33</v>
      </c>
      <c r="C56">
        <v>83.56</v>
      </c>
      <c r="D56">
        <v>782</v>
      </c>
      <c r="E56" t="b">
        <v>0</v>
      </c>
      <c r="F56" t="b">
        <v>0</v>
      </c>
      <c r="G56" t="b">
        <v>0</v>
      </c>
      <c r="H56" t="s">
        <v>25</v>
      </c>
      <c r="I56" t="s">
        <v>44</v>
      </c>
      <c r="J56" t="s">
        <v>50</v>
      </c>
      <c r="K56" t="s">
        <v>46</v>
      </c>
      <c r="L56" t="s">
        <v>29</v>
      </c>
      <c r="M56" t="s">
        <v>46</v>
      </c>
      <c r="P56" t="b">
        <v>1</v>
      </c>
      <c r="Q56">
        <v>8.9</v>
      </c>
      <c r="R56" t="b">
        <v>1</v>
      </c>
      <c r="S56" t="s">
        <v>48</v>
      </c>
      <c r="T56">
        <v>17.2</v>
      </c>
      <c r="U56">
        <v>77.87</v>
      </c>
      <c r="V56" t="b">
        <v>1</v>
      </c>
      <c r="W56" t="s">
        <v>31</v>
      </c>
    </row>
    <row r="57" spans="1:23" x14ac:dyDescent="0.25">
      <c r="A57" t="s">
        <v>56</v>
      </c>
      <c r="B57" t="s">
        <v>76</v>
      </c>
      <c r="C57">
        <v>78.98</v>
      </c>
      <c r="D57">
        <v>721</v>
      </c>
      <c r="E57" t="b">
        <v>1</v>
      </c>
      <c r="F57" t="b">
        <v>0</v>
      </c>
      <c r="G57" t="b">
        <v>1</v>
      </c>
      <c r="H57" t="s">
        <v>34</v>
      </c>
      <c r="I57" t="s">
        <v>26</v>
      </c>
      <c r="J57" t="s">
        <v>45</v>
      </c>
      <c r="K57" t="s">
        <v>28</v>
      </c>
      <c r="L57" t="s">
        <v>37</v>
      </c>
      <c r="M57" t="s">
        <v>39</v>
      </c>
      <c r="N57" t="s">
        <v>39</v>
      </c>
      <c r="O57" t="b">
        <v>1</v>
      </c>
      <c r="P57" t="b">
        <v>1</v>
      </c>
      <c r="Q57">
        <v>10</v>
      </c>
      <c r="R57" t="b">
        <v>0</v>
      </c>
      <c r="T57">
        <v>0</v>
      </c>
      <c r="U57">
        <v>81.3</v>
      </c>
      <c r="V57" t="b">
        <v>1</v>
      </c>
      <c r="W57" t="s">
        <v>58</v>
      </c>
    </row>
    <row r="58" spans="1:23" x14ac:dyDescent="0.25">
      <c r="A58" t="s">
        <v>61</v>
      </c>
      <c r="B58" t="s">
        <v>71</v>
      </c>
      <c r="C58">
        <v>44.6</v>
      </c>
      <c r="D58">
        <v>177</v>
      </c>
      <c r="E58" t="b">
        <v>1</v>
      </c>
      <c r="F58" t="b">
        <v>1</v>
      </c>
      <c r="G58" t="b">
        <v>1</v>
      </c>
      <c r="H58" t="s">
        <v>53</v>
      </c>
      <c r="I58" t="s">
        <v>44</v>
      </c>
      <c r="J58" t="s">
        <v>54</v>
      </c>
      <c r="K58" t="s">
        <v>28</v>
      </c>
      <c r="L58" t="s">
        <v>37</v>
      </c>
      <c r="M58" t="s">
        <v>39</v>
      </c>
      <c r="O58" t="b">
        <v>1</v>
      </c>
      <c r="P58" t="b">
        <v>0</v>
      </c>
      <c r="Q58">
        <v>5.8</v>
      </c>
      <c r="R58" t="b">
        <v>1</v>
      </c>
      <c r="S58" t="s">
        <v>75</v>
      </c>
      <c r="T58">
        <v>37</v>
      </c>
      <c r="U58">
        <v>22.32</v>
      </c>
      <c r="V58" t="b">
        <v>0</v>
      </c>
      <c r="W58" t="s">
        <v>41</v>
      </c>
    </row>
    <row r="59" spans="1:23" x14ac:dyDescent="0.25">
      <c r="A59" t="s">
        <v>61</v>
      </c>
      <c r="B59" t="s">
        <v>76</v>
      </c>
      <c r="C59">
        <v>89.73</v>
      </c>
      <c r="D59">
        <v>530</v>
      </c>
      <c r="E59" t="b">
        <v>0</v>
      </c>
      <c r="F59" t="b">
        <v>0</v>
      </c>
      <c r="G59" t="b">
        <v>1</v>
      </c>
      <c r="H59" t="s">
        <v>43</v>
      </c>
      <c r="I59" t="s">
        <v>35</v>
      </c>
      <c r="J59" t="s">
        <v>54</v>
      </c>
      <c r="K59" t="s">
        <v>39</v>
      </c>
      <c r="L59" t="s">
        <v>51</v>
      </c>
      <c r="M59" t="s">
        <v>47</v>
      </c>
      <c r="N59" t="s">
        <v>46</v>
      </c>
      <c r="P59" t="b">
        <v>0</v>
      </c>
      <c r="Q59">
        <v>8</v>
      </c>
      <c r="R59" t="b">
        <v>0</v>
      </c>
      <c r="T59">
        <v>0</v>
      </c>
      <c r="U59">
        <v>87.16</v>
      </c>
      <c r="V59" t="b">
        <v>1</v>
      </c>
      <c r="W59" t="s">
        <v>58</v>
      </c>
    </row>
    <row r="60" spans="1:23" x14ac:dyDescent="0.25">
      <c r="A60" t="s">
        <v>68</v>
      </c>
      <c r="B60" t="s">
        <v>24</v>
      </c>
      <c r="C60">
        <v>85.71</v>
      </c>
      <c r="D60">
        <v>745</v>
      </c>
      <c r="E60" t="b">
        <v>1</v>
      </c>
      <c r="F60" t="b">
        <v>1</v>
      </c>
      <c r="G60" t="b">
        <v>1</v>
      </c>
      <c r="H60" t="s">
        <v>25</v>
      </c>
      <c r="I60" t="s">
        <v>63</v>
      </c>
      <c r="J60" t="s">
        <v>27</v>
      </c>
      <c r="K60" t="s">
        <v>37</v>
      </c>
      <c r="L60" t="s">
        <v>69</v>
      </c>
      <c r="M60" t="s">
        <v>39</v>
      </c>
      <c r="N60" t="s">
        <v>28</v>
      </c>
      <c r="P60" t="b">
        <v>1</v>
      </c>
      <c r="Q60">
        <v>8.8000000000000007</v>
      </c>
      <c r="R60" t="b">
        <v>1</v>
      </c>
      <c r="S60" t="s">
        <v>75</v>
      </c>
      <c r="T60">
        <v>41.3</v>
      </c>
      <c r="U60">
        <v>79.75</v>
      </c>
      <c r="V60" t="b">
        <v>1</v>
      </c>
      <c r="W60" t="s">
        <v>31</v>
      </c>
    </row>
    <row r="61" spans="1:23" x14ac:dyDescent="0.25">
      <c r="A61" t="s">
        <v>56</v>
      </c>
      <c r="B61" t="s">
        <v>62</v>
      </c>
      <c r="C61">
        <v>66.94</v>
      </c>
      <c r="D61">
        <v>591</v>
      </c>
      <c r="E61" t="b">
        <v>0</v>
      </c>
      <c r="F61" t="b">
        <v>1</v>
      </c>
      <c r="G61" t="b">
        <v>0</v>
      </c>
      <c r="H61" t="s">
        <v>53</v>
      </c>
      <c r="I61" t="s">
        <v>57</v>
      </c>
      <c r="J61" t="s">
        <v>36</v>
      </c>
      <c r="K61" t="s">
        <v>46</v>
      </c>
      <c r="L61" t="s">
        <v>38</v>
      </c>
      <c r="M61" t="s">
        <v>47</v>
      </c>
      <c r="N61" t="s">
        <v>46</v>
      </c>
      <c r="P61" t="b">
        <v>0</v>
      </c>
      <c r="Q61">
        <v>6.2</v>
      </c>
      <c r="R61" t="b">
        <v>1</v>
      </c>
      <c r="S61" t="s">
        <v>64</v>
      </c>
      <c r="T61">
        <v>31</v>
      </c>
      <c r="U61">
        <v>58.21</v>
      </c>
      <c r="V61" t="b">
        <v>1</v>
      </c>
      <c r="W61" t="s">
        <v>41</v>
      </c>
    </row>
    <row r="62" spans="1:23" x14ac:dyDescent="0.25">
      <c r="A62" t="s">
        <v>68</v>
      </c>
      <c r="B62" t="s">
        <v>49</v>
      </c>
      <c r="C62">
        <v>69.400000000000006</v>
      </c>
      <c r="D62">
        <v>127</v>
      </c>
      <c r="E62" t="b">
        <v>1</v>
      </c>
      <c r="F62" t="b">
        <v>1</v>
      </c>
      <c r="G62" t="b">
        <v>0</v>
      </c>
      <c r="H62" t="s">
        <v>34</v>
      </c>
      <c r="I62" t="s">
        <v>57</v>
      </c>
      <c r="J62" t="s">
        <v>36</v>
      </c>
      <c r="K62" t="s">
        <v>39</v>
      </c>
      <c r="L62" t="s">
        <v>51</v>
      </c>
      <c r="M62" t="s">
        <v>47</v>
      </c>
      <c r="N62" t="s">
        <v>46</v>
      </c>
      <c r="P62" t="b">
        <v>1</v>
      </c>
      <c r="Q62">
        <v>7</v>
      </c>
      <c r="R62" t="b">
        <v>1</v>
      </c>
      <c r="S62" t="s">
        <v>75</v>
      </c>
      <c r="T62">
        <v>8.4</v>
      </c>
      <c r="U62">
        <v>83.3</v>
      </c>
      <c r="V62" t="b">
        <v>1</v>
      </c>
      <c r="W62" t="s">
        <v>41</v>
      </c>
    </row>
    <row r="63" spans="1:23" x14ac:dyDescent="0.25">
      <c r="A63" t="s">
        <v>32</v>
      </c>
      <c r="B63" t="s">
        <v>49</v>
      </c>
      <c r="C63">
        <v>78.42</v>
      </c>
      <c r="D63">
        <v>154</v>
      </c>
      <c r="E63" t="b">
        <v>0</v>
      </c>
      <c r="F63" t="b">
        <v>0</v>
      </c>
      <c r="G63" t="b">
        <v>0</v>
      </c>
      <c r="H63" t="s">
        <v>53</v>
      </c>
      <c r="I63" t="s">
        <v>44</v>
      </c>
      <c r="J63" t="s">
        <v>36</v>
      </c>
      <c r="K63" t="s">
        <v>28</v>
      </c>
      <c r="L63" t="s">
        <v>29</v>
      </c>
      <c r="M63" t="s">
        <v>28</v>
      </c>
      <c r="N63" t="s">
        <v>46</v>
      </c>
      <c r="P63" t="b">
        <v>0</v>
      </c>
      <c r="Q63">
        <v>8.8000000000000007</v>
      </c>
      <c r="R63" t="b">
        <v>0</v>
      </c>
      <c r="T63">
        <v>0</v>
      </c>
      <c r="U63">
        <v>66.900000000000006</v>
      </c>
      <c r="V63" t="b">
        <v>0</v>
      </c>
      <c r="W63" t="s">
        <v>58</v>
      </c>
    </row>
    <row r="64" spans="1:23" x14ac:dyDescent="0.25">
      <c r="A64" t="s">
        <v>56</v>
      </c>
      <c r="B64" t="s">
        <v>33</v>
      </c>
      <c r="C64">
        <v>80.39</v>
      </c>
      <c r="D64">
        <v>298</v>
      </c>
      <c r="E64" t="b">
        <v>0</v>
      </c>
      <c r="F64" t="b">
        <v>1</v>
      </c>
      <c r="G64" t="b">
        <v>0</v>
      </c>
      <c r="H64" t="s">
        <v>34</v>
      </c>
      <c r="I64" t="s">
        <v>67</v>
      </c>
      <c r="J64" t="s">
        <v>50</v>
      </c>
      <c r="K64" t="s">
        <v>46</v>
      </c>
      <c r="L64" t="s">
        <v>37</v>
      </c>
      <c r="M64" t="s">
        <v>39</v>
      </c>
      <c r="N64" t="s">
        <v>39</v>
      </c>
      <c r="O64" t="b">
        <v>0</v>
      </c>
      <c r="P64" t="b">
        <v>1</v>
      </c>
      <c r="Q64">
        <v>7.5</v>
      </c>
      <c r="R64" t="b">
        <v>1</v>
      </c>
      <c r="S64" t="s">
        <v>55</v>
      </c>
      <c r="T64">
        <v>2.4</v>
      </c>
      <c r="U64">
        <v>77.290000000000006</v>
      </c>
      <c r="V64" t="b">
        <v>1</v>
      </c>
      <c r="W64" t="s">
        <v>41</v>
      </c>
    </row>
    <row r="65" spans="1:23" x14ac:dyDescent="0.25">
      <c r="A65" t="s">
        <v>74</v>
      </c>
      <c r="B65" t="s">
        <v>59</v>
      </c>
      <c r="C65">
        <v>83.16</v>
      </c>
      <c r="D65">
        <v>257</v>
      </c>
      <c r="E65" t="b">
        <v>1</v>
      </c>
      <c r="F65" t="b">
        <v>1</v>
      </c>
      <c r="G65" t="b">
        <v>1</v>
      </c>
      <c r="H65" t="s">
        <v>34</v>
      </c>
      <c r="I65" t="s">
        <v>63</v>
      </c>
      <c r="J65" t="s">
        <v>50</v>
      </c>
      <c r="K65" t="s">
        <v>46</v>
      </c>
      <c r="L65" t="s">
        <v>37</v>
      </c>
      <c r="M65" t="s">
        <v>39</v>
      </c>
      <c r="P65" t="b">
        <v>1</v>
      </c>
      <c r="Q65">
        <v>9.3000000000000007</v>
      </c>
      <c r="R65" t="b">
        <v>1</v>
      </c>
      <c r="S65" t="s">
        <v>65</v>
      </c>
      <c r="T65">
        <v>16.5</v>
      </c>
      <c r="U65">
        <v>96.68</v>
      </c>
      <c r="V65" t="b">
        <v>1</v>
      </c>
      <c r="W65" t="s">
        <v>31</v>
      </c>
    </row>
    <row r="66" spans="1:23" x14ac:dyDescent="0.25">
      <c r="A66" t="s">
        <v>61</v>
      </c>
      <c r="B66" t="s">
        <v>42</v>
      </c>
      <c r="C66">
        <v>72.92</v>
      </c>
      <c r="D66">
        <v>490</v>
      </c>
      <c r="E66" t="b">
        <v>0</v>
      </c>
      <c r="F66" t="b">
        <v>1</v>
      </c>
      <c r="G66" t="b">
        <v>1</v>
      </c>
      <c r="H66" t="s">
        <v>43</v>
      </c>
      <c r="I66" t="s">
        <v>67</v>
      </c>
      <c r="J66" t="s">
        <v>36</v>
      </c>
      <c r="K66" t="s">
        <v>46</v>
      </c>
      <c r="L66" t="s">
        <v>51</v>
      </c>
      <c r="M66" t="s">
        <v>28</v>
      </c>
      <c r="N66" t="s">
        <v>28</v>
      </c>
      <c r="O66" t="b">
        <v>0</v>
      </c>
      <c r="P66" t="b">
        <v>1</v>
      </c>
      <c r="Q66">
        <v>7.3</v>
      </c>
      <c r="R66" t="b">
        <v>1</v>
      </c>
      <c r="S66" t="s">
        <v>55</v>
      </c>
      <c r="T66">
        <v>37.6</v>
      </c>
      <c r="U66">
        <v>87.51</v>
      </c>
      <c r="V66" t="b">
        <v>1</v>
      </c>
      <c r="W66" t="s">
        <v>41</v>
      </c>
    </row>
    <row r="67" spans="1:23" x14ac:dyDescent="0.25">
      <c r="A67" t="s">
        <v>61</v>
      </c>
      <c r="B67" t="s">
        <v>33</v>
      </c>
      <c r="C67">
        <v>75.38</v>
      </c>
      <c r="D67">
        <v>317</v>
      </c>
      <c r="E67" t="b">
        <v>0</v>
      </c>
      <c r="F67" t="b">
        <v>1</v>
      </c>
      <c r="G67" t="b">
        <v>0</v>
      </c>
      <c r="H67" t="s">
        <v>34</v>
      </c>
      <c r="I67" t="s">
        <v>44</v>
      </c>
      <c r="J67" t="s">
        <v>54</v>
      </c>
      <c r="K67" t="s">
        <v>46</v>
      </c>
      <c r="L67" t="s">
        <v>51</v>
      </c>
      <c r="M67" t="s">
        <v>47</v>
      </c>
      <c r="O67" t="b">
        <v>0</v>
      </c>
      <c r="P67" t="b">
        <v>0</v>
      </c>
      <c r="Q67">
        <v>5.0999999999999996</v>
      </c>
      <c r="R67" t="b">
        <v>1</v>
      </c>
      <c r="S67" t="s">
        <v>75</v>
      </c>
      <c r="T67">
        <v>25.4</v>
      </c>
      <c r="U67">
        <v>60.63</v>
      </c>
      <c r="V67" t="b">
        <v>1</v>
      </c>
      <c r="W67" t="s">
        <v>41</v>
      </c>
    </row>
    <row r="68" spans="1:23" x14ac:dyDescent="0.25">
      <c r="A68" t="s">
        <v>32</v>
      </c>
      <c r="B68" t="s">
        <v>66</v>
      </c>
      <c r="C68">
        <v>65.959999999999994</v>
      </c>
      <c r="D68">
        <v>794</v>
      </c>
      <c r="E68" t="b">
        <v>1</v>
      </c>
      <c r="F68" t="b">
        <v>1</v>
      </c>
      <c r="G68" t="b">
        <v>1</v>
      </c>
      <c r="H68" t="s">
        <v>43</v>
      </c>
      <c r="I68" t="s">
        <v>35</v>
      </c>
      <c r="J68" t="s">
        <v>27</v>
      </c>
      <c r="K68" t="s">
        <v>28</v>
      </c>
      <c r="L68" t="s">
        <v>38</v>
      </c>
      <c r="M68" t="s">
        <v>47</v>
      </c>
      <c r="N68" t="s">
        <v>39</v>
      </c>
      <c r="P68" t="b">
        <v>1</v>
      </c>
      <c r="Q68">
        <v>7.4</v>
      </c>
      <c r="R68" t="b">
        <v>1</v>
      </c>
      <c r="S68" t="s">
        <v>48</v>
      </c>
      <c r="T68">
        <v>21.3</v>
      </c>
      <c r="U68">
        <v>66.599999999999994</v>
      </c>
      <c r="V68" t="b">
        <v>1</v>
      </c>
      <c r="W68" t="s">
        <v>41</v>
      </c>
    </row>
    <row r="69" spans="1:23" x14ac:dyDescent="0.25">
      <c r="A69" t="s">
        <v>32</v>
      </c>
      <c r="B69" t="s">
        <v>73</v>
      </c>
      <c r="C69">
        <v>58.08</v>
      </c>
      <c r="D69">
        <v>587</v>
      </c>
      <c r="E69" t="b">
        <v>1</v>
      </c>
      <c r="F69" t="b">
        <v>1</v>
      </c>
      <c r="G69" t="b">
        <v>0</v>
      </c>
      <c r="H69" t="s">
        <v>43</v>
      </c>
      <c r="I69" t="s">
        <v>63</v>
      </c>
      <c r="J69" t="s">
        <v>36</v>
      </c>
      <c r="K69" t="s">
        <v>46</v>
      </c>
      <c r="L69" t="s">
        <v>29</v>
      </c>
      <c r="M69" t="s">
        <v>28</v>
      </c>
      <c r="N69" t="s">
        <v>39</v>
      </c>
      <c r="P69" t="b">
        <v>0</v>
      </c>
      <c r="Q69">
        <v>7.9</v>
      </c>
      <c r="R69" t="b">
        <v>1</v>
      </c>
      <c r="S69" t="s">
        <v>30</v>
      </c>
      <c r="T69">
        <v>41.5</v>
      </c>
      <c r="U69">
        <v>61.59</v>
      </c>
      <c r="V69" t="b">
        <v>1</v>
      </c>
      <c r="W69" t="s">
        <v>41</v>
      </c>
    </row>
    <row r="70" spans="1:23" x14ac:dyDescent="0.25">
      <c r="A70" t="s">
        <v>74</v>
      </c>
      <c r="B70" t="s">
        <v>66</v>
      </c>
      <c r="C70">
        <v>59.28</v>
      </c>
      <c r="D70">
        <v>138</v>
      </c>
      <c r="E70" t="b">
        <v>1</v>
      </c>
      <c r="F70" t="b">
        <v>1</v>
      </c>
      <c r="G70" t="b">
        <v>0</v>
      </c>
      <c r="H70" t="s">
        <v>34</v>
      </c>
      <c r="I70" t="s">
        <v>44</v>
      </c>
      <c r="J70" t="s">
        <v>50</v>
      </c>
      <c r="K70" t="s">
        <v>46</v>
      </c>
      <c r="L70" t="s">
        <v>51</v>
      </c>
      <c r="M70" t="s">
        <v>46</v>
      </c>
      <c r="N70" t="s">
        <v>39</v>
      </c>
      <c r="P70" t="b">
        <v>1</v>
      </c>
      <c r="Q70">
        <v>7.6</v>
      </c>
      <c r="R70" t="b">
        <v>0</v>
      </c>
      <c r="T70">
        <v>0</v>
      </c>
      <c r="U70">
        <v>35.69</v>
      </c>
      <c r="V70" t="b">
        <v>0</v>
      </c>
      <c r="W70" t="s">
        <v>31</v>
      </c>
    </row>
    <row r="71" spans="1:23" x14ac:dyDescent="0.25">
      <c r="A71" t="s">
        <v>61</v>
      </c>
      <c r="B71" t="s">
        <v>24</v>
      </c>
      <c r="C71">
        <v>98.51</v>
      </c>
      <c r="D71">
        <v>697</v>
      </c>
      <c r="E71" t="b">
        <v>0</v>
      </c>
      <c r="F71" t="b">
        <v>0</v>
      </c>
      <c r="G71" t="b">
        <v>1</v>
      </c>
      <c r="H71" t="s">
        <v>25</v>
      </c>
      <c r="I71" t="s">
        <v>63</v>
      </c>
      <c r="J71" t="s">
        <v>27</v>
      </c>
      <c r="K71" t="s">
        <v>28</v>
      </c>
      <c r="L71" t="s">
        <v>51</v>
      </c>
      <c r="M71" t="s">
        <v>47</v>
      </c>
      <c r="N71" t="s">
        <v>39</v>
      </c>
      <c r="P71" t="b">
        <v>0</v>
      </c>
      <c r="Q71">
        <v>9.5</v>
      </c>
      <c r="R71" t="b">
        <v>1</v>
      </c>
      <c r="S71" t="s">
        <v>55</v>
      </c>
      <c r="T71">
        <v>39</v>
      </c>
      <c r="U71">
        <v>100</v>
      </c>
      <c r="V71" t="b">
        <v>1</v>
      </c>
      <c r="W71" t="s">
        <v>31</v>
      </c>
    </row>
    <row r="72" spans="1:23" x14ac:dyDescent="0.25">
      <c r="A72" t="s">
        <v>68</v>
      </c>
      <c r="B72" t="s">
        <v>70</v>
      </c>
      <c r="C72">
        <v>88.03</v>
      </c>
      <c r="D72">
        <v>129</v>
      </c>
      <c r="E72" t="b">
        <v>1</v>
      </c>
      <c r="F72" t="b">
        <v>0</v>
      </c>
      <c r="G72" t="b">
        <v>0</v>
      </c>
      <c r="H72" t="s">
        <v>34</v>
      </c>
      <c r="I72" t="s">
        <v>26</v>
      </c>
      <c r="J72" t="s">
        <v>54</v>
      </c>
      <c r="K72" t="s">
        <v>37</v>
      </c>
      <c r="L72" t="s">
        <v>69</v>
      </c>
      <c r="M72" t="s">
        <v>28</v>
      </c>
      <c r="N72" t="s">
        <v>39</v>
      </c>
      <c r="P72" t="b">
        <v>0</v>
      </c>
      <c r="Q72">
        <v>10</v>
      </c>
      <c r="R72" t="b">
        <v>0</v>
      </c>
      <c r="T72">
        <v>0</v>
      </c>
      <c r="U72">
        <v>96.82</v>
      </c>
      <c r="V72" t="b">
        <v>1</v>
      </c>
      <c r="W72" t="s">
        <v>58</v>
      </c>
    </row>
    <row r="73" spans="1:23" x14ac:dyDescent="0.25">
      <c r="A73" t="s">
        <v>56</v>
      </c>
      <c r="B73" t="s">
        <v>59</v>
      </c>
      <c r="C73">
        <v>75.58</v>
      </c>
      <c r="D73">
        <v>253</v>
      </c>
      <c r="E73" t="b">
        <v>0</v>
      </c>
      <c r="F73" t="b">
        <v>0</v>
      </c>
      <c r="G73" t="b">
        <v>0</v>
      </c>
      <c r="H73" t="s">
        <v>53</v>
      </c>
      <c r="I73" t="s">
        <v>35</v>
      </c>
      <c r="J73" t="s">
        <v>36</v>
      </c>
      <c r="K73" t="s">
        <v>39</v>
      </c>
      <c r="L73" t="s">
        <v>29</v>
      </c>
      <c r="M73" t="s">
        <v>28</v>
      </c>
      <c r="P73" t="b">
        <v>0</v>
      </c>
      <c r="Q73">
        <v>8.1</v>
      </c>
      <c r="R73" t="b">
        <v>1</v>
      </c>
      <c r="S73" t="s">
        <v>48</v>
      </c>
      <c r="T73">
        <v>32.6</v>
      </c>
      <c r="U73">
        <v>61.68</v>
      </c>
      <c r="V73" t="b">
        <v>1</v>
      </c>
      <c r="W73" t="s">
        <v>31</v>
      </c>
    </row>
    <row r="74" spans="1:23" x14ac:dyDescent="0.25">
      <c r="A74" t="s">
        <v>68</v>
      </c>
      <c r="B74" t="s">
        <v>71</v>
      </c>
      <c r="C74">
        <v>47.38</v>
      </c>
      <c r="D74">
        <v>144</v>
      </c>
      <c r="E74" t="b">
        <v>0</v>
      </c>
      <c r="F74" t="b">
        <v>1</v>
      </c>
      <c r="G74" t="b">
        <v>1</v>
      </c>
      <c r="H74" t="s">
        <v>34</v>
      </c>
      <c r="I74" t="s">
        <v>63</v>
      </c>
      <c r="J74" t="s">
        <v>27</v>
      </c>
      <c r="K74" t="s">
        <v>46</v>
      </c>
      <c r="L74" t="s">
        <v>29</v>
      </c>
      <c r="M74" t="s">
        <v>47</v>
      </c>
      <c r="P74" t="b">
        <v>0</v>
      </c>
      <c r="Q74">
        <v>4.2</v>
      </c>
      <c r="R74" t="b">
        <v>1</v>
      </c>
      <c r="S74" t="s">
        <v>75</v>
      </c>
      <c r="T74">
        <v>31.8</v>
      </c>
      <c r="U74">
        <v>35.21</v>
      </c>
      <c r="V74" t="b">
        <v>1</v>
      </c>
      <c r="W74" t="s">
        <v>72</v>
      </c>
    </row>
    <row r="75" spans="1:23" x14ac:dyDescent="0.25">
      <c r="A75" t="s">
        <v>68</v>
      </c>
      <c r="B75" t="s">
        <v>70</v>
      </c>
      <c r="C75">
        <v>76.86</v>
      </c>
      <c r="D75">
        <v>439</v>
      </c>
      <c r="E75" t="b">
        <v>1</v>
      </c>
      <c r="F75" t="b">
        <v>0</v>
      </c>
      <c r="G75" t="b">
        <v>0</v>
      </c>
      <c r="H75" t="s">
        <v>43</v>
      </c>
      <c r="I75" t="s">
        <v>35</v>
      </c>
      <c r="J75" t="s">
        <v>36</v>
      </c>
      <c r="K75" t="s">
        <v>28</v>
      </c>
      <c r="L75" t="s">
        <v>38</v>
      </c>
      <c r="M75" t="s">
        <v>46</v>
      </c>
      <c r="N75" t="s">
        <v>46</v>
      </c>
      <c r="O75" t="b">
        <v>1</v>
      </c>
      <c r="P75" t="b">
        <v>0</v>
      </c>
      <c r="Q75">
        <v>10</v>
      </c>
      <c r="R75" t="b">
        <v>1</v>
      </c>
      <c r="S75" t="s">
        <v>55</v>
      </c>
      <c r="T75">
        <v>32.799999999999997</v>
      </c>
      <c r="U75">
        <v>68.52</v>
      </c>
      <c r="V75" t="b">
        <v>0</v>
      </c>
      <c r="W75" t="s">
        <v>31</v>
      </c>
    </row>
    <row r="76" spans="1:23" x14ac:dyDescent="0.25">
      <c r="A76" t="s">
        <v>23</v>
      </c>
      <c r="B76" t="s">
        <v>24</v>
      </c>
      <c r="C76">
        <v>88.16</v>
      </c>
      <c r="D76">
        <v>689</v>
      </c>
      <c r="E76" t="b">
        <v>1</v>
      </c>
      <c r="F76" t="b">
        <v>1</v>
      </c>
      <c r="G76" t="b">
        <v>0</v>
      </c>
      <c r="H76" t="s">
        <v>53</v>
      </c>
      <c r="I76" t="s">
        <v>63</v>
      </c>
      <c r="J76" t="s">
        <v>45</v>
      </c>
      <c r="K76" t="s">
        <v>46</v>
      </c>
      <c r="L76" t="s">
        <v>37</v>
      </c>
      <c r="M76" t="s">
        <v>46</v>
      </c>
      <c r="N76" t="s">
        <v>28</v>
      </c>
      <c r="O76" t="b">
        <v>1</v>
      </c>
      <c r="P76" t="b">
        <v>0</v>
      </c>
      <c r="Q76">
        <v>10</v>
      </c>
      <c r="R76" t="b">
        <v>0</v>
      </c>
      <c r="T76">
        <v>0</v>
      </c>
      <c r="U76">
        <v>75.67</v>
      </c>
      <c r="V76" t="b">
        <v>0</v>
      </c>
      <c r="W76" t="s">
        <v>58</v>
      </c>
    </row>
    <row r="77" spans="1:23" x14ac:dyDescent="0.25">
      <c r="A77" t="s">
        <v>61</v>
      </c>
      <c r="B77" t="s">
        <v>76</v>
      </c>
      <c r="C77">
        <v>89.46</v>
      </c>
      <c r="D77">
        <v>751</v>
      </c>
      <c r="E77" t="b">
        <v>1</v>
      </c>
      <c r="F77" t="b">
        <v>1</v>
      </c>
      <c r="G77" t="b">
        <v>1</v>
      </c>
      <c r="H77" t="s">
        <v>43</v>
      </c>
      <c r="I77" t="s">
        <v>67</v>
      </c>
      <c r="J77" t="s">
        <v>45</v>
      </c>
      <c r="K77" t="s">
        <v>28</v>
      </c>
      <c r="L77" t="s">
        <v>37</v>
      </c>
      <c r="M77" t="s">
        <v>39</v>
      </c>
      <c r="N77" t="s">
        <v>46</v>
      </c>
      <c r="O77" t="b">
        <v>0</v>
      </c>
      <c r="P77" t="b">
        <v>0</v>
      </c>
      <c r="Q77">
        <v>8.4</v>
      </c>
      <c r="R77" t="b">
        <v>1</v>
      </c>
      <c r="S77" t="s">
        <v>30</v>
      </c>
      <c r="T77">
        <v>35.799999999999997</v>
      </c>
      <c r="U77">
        <v>79.42</v>
      </c>
      <c r="V77" t="b">
        <v>1</v>
      </c>
      <c r="W77" t="s">
        <v>31</v>
      </c>
    </row>
    <row r="78" spans="1:23" x14ac:dyDescent="0.25">
      <c r="A78" t="s">
        <v>23</v>
      </c>
      <c r="B78" t="s">
        <v>66</v>
      </c>
      <c r="C78">
        <v>59.47</v>
      </c>
      <c r="D78">
        <v>771</v>
      </c>
      <c r="E78" t="b">
        <v>0</v>
      </c>
      <c r="F78" t="b">
        <v>1</v>
      </c>
      <c r="G78" t="b">
        <v>1</v>
      </c>
      <c r="H78" t="s">
        <v>25</v>
      </c>
      <c r="I78" t="s">
        <v>35</v>
      </c>
      <c r="J78" t="s">
        <v>27</v>
      </c>
      <c r="K78" t="s">
        <v>37</v>
      </c>
      <c r="L78" t="s">
        <v>37</v>
      </c>
      <c r="M78" t="s">
        <v>28</v>
      </c>
      <c r="N78" t="s">
        <v>39</v>
      </c>
      <c r="O78" t="b">
        <v>0</v>
      </c>
      <c r="P78" t="b">
        <v>0</v>
      </c>
      <c r="Q78">
        <v>5.2</v>
      </c>
      <c r="R78" t="b">
        <v>0</v>
      </c>
      <c r="T78">
        <v>0</v>
      </c>
      <c r="U78">
        <v>42.38</v>
      </c>
      <c r="V78" t="b">
        <v>1</v>
      </c>
      <c r="W78" t="s">
        <v>41</v>
      </c>
    </row>
    <row r="79" spans="1:23" x14ac:dyDescent="0.25">
      <c r="A79" t="s">
        <v>61</v>
      </c>
      <c r="B79" t="s">
        <v>76</v>
      </c>
      <c r="C79">
        <v>88.65</v>
      </c>
      <c r="D79">
        <v>725</v>
      </c>
      <c r="E79" t="b">
        <v>0</v>
      </c>
      <c r="F79" t="b">
        <v>0</v>
      </c>
      <c r="G79" t="b">
        <v>0</v>
      </c>
      <c r="H79" t="s">
        <v>25</v>
      </c>
      <c r="I79" t="s">
        <v>67</v>
      </c>
      <c r="J79" t="s">
        <v>50</v>
      </c>
      <c r="K79" t="s">
        <v>28</v>
      </c>
      <c r="L79" t="s">
        <v>51</v>
      </c>
      <c r="M79" t="s">
        <v>28</v>
      </c>
      <c r="O79" t="b">
        <v>0</v>
      </c>
      <c r="P79" t="b">
        <v>1</v>
      </c>
      <c r="Q79">
        <v>8.9</v>
      </c>
      <c r="R79" t="b">
        <v>1</v>
      </c>
      <c r="S79" t="s">
        <v>75</v>
      </c>
      <c r="T79">
        <v>9.6</v>
      </c>
      <c r="U79">
        <v>79.42</v>
      </c>
      <c r="V79" t="b">
        <v>1</v>
      </c>
      <c r="W79" t="s">
        <v>31</v>
      </c>
    </row>
    <row r="80" spans="1:23" x14ac:dyDescent="0.25">
      <c r="A80" t="s">
        <v>61</v>
      </c>
      <c r="B80" t="s">
        <v>42</v>
      </c>
      <c r="C80">
        <v>80.62</v>
      </c>
      <c r="D80">
        <v>517</v>
      </c>
      <c r="E80" t="b">
        <v>0</v>
      </c>
      <c r="F80" t="b">
        <v>0</v>
      </c>
      <c r="G80" t="b">
        <v>0</v>
      </c>
      <c r="H80" t="s">
        <v>53</v>
      </c>
      <c r="I80" t="s">
        <v>26</v>
      </c>
      <c r="J80" t="s">
        <v>36</v>
      </c>
      <c r="K80" t="s">
        <v>28</v>
      </c>
      <c r="L80" t="s">
        <v>29</v>
      </c>
      <c r="M80" t="s">
        <v>39</v>
      </c>
      <c r="O80" t="b">
        <v>1</v>
      </c>
      <c r="P80" t="b">
        <v>1</v>
      </c>
      <c r="Q80">
        <v>9</v>
      </c>
      <c r="R80" t="b">
        <v>1</v>
      </c>
      <c r="S80" t="s">
        <v>75</v>
      </c>
      <c r="T80">
        <v>12.6</v>
      </c>
      <c r="U80">
        <v>68.010000000000005</v>
      </c>
      <c r="V80" t="b">
        <v>0</v>
      </c>
      <c r="W80" t="s">
        <v>31</v>
      </c>
    </row>
    <row r="81" spans="1:23" x14ac:dyDescent="0.25">
      <c r="A81" t="s">
        <v>74</v>
      </c>
      <c r="B81" t="s">
        <v>59</v>
      </c>
      <c r="C81">
        <v>80.77</v>
      </c>
      <c r="D81">
        <v>597</v>
      </c>
      <c r="E81" t="b">
        <v>1</v>
      </c>
      <c r="F81" t="b">
        <v>0</v>
      </c>
      <c r="G81" t="b">
        <v>1</v>
      </c>
      <c r="H81" t="s">
        <v>43</v>
      </c>
      <c r="I81" t="s">
        <v>63</v>
      </c>
      <c r="J81" t="s">
        <v>50</v>
      </c>
      <c r="K81" t="s">
        <v>37</v>
      </c>
      <c r="L81" t="s">
        <v>29</v>
      </c>
      <c r="M81" t="s">
        <v>39</v>
      </c>
      <c r="N81" t="s">
        <v>28</v>
      </c>
      <c r="P81" t="b">
        <v>0</v>
      </c>
      <c r="Q81">
        <v>8.1999999999999993</v>
      </c>
      <c r="R81" t="b">
        <v>1</v>
      </c>
      <c r="S81" t="s">
        <v>40</v>
      </c>
      <c r="T81">
        <v>16.2</v>
      </c>
      <c r="U81">
        <v>73.31</v>
      </c>
      <c r="V81" t="b">
        <v>1</v>
      </c>
      <c r="W81" t="s">
        <v>31</v>
      </c>
    </row>
    <row r="82" spans="1:23" x14ac:dyDescent="0.25">
      <c r="A82" t="s">
        <v>56</v>
      </c>
      <c r="B82" t="s">
        <v>76</v>
      </c>
      <c r="C82">
        <v>89.4</v>
      </c>
      <c r="D82">
        <v>388</v>
      </c>
      <c r="E82" t="b">
        <v>1</v>
      </c>
      <c r="F82" t="b">
        <v>1</v>
      </c>
      <c r="G82" t="b">
        <v>0</v>
      </c>
      <c r="H82" t="s">
        <v>53</v>
      </c>
      <c r="I82" t="s">
        <v>63</v>
      </c>
      <c r="J82" t="s">
        <v>50</v>
      </c>
      <c r="K82" t="s">
        <v>46</v>
      </c>
      <c r="L82" t="s">
        <v>51</v>
      </c>
      <c r="M82" t="s">
        <v>28</v>
      </c>
      <c r="N82" t="s">
        <v>28</v>
      </c>
      <c r="O82" t="b">
        <v>0</v>
      </c>
      <c r="P82" t="b">
        <v>1</v>
      </c>
      <c r="Q82">
        <v>8.9</v>
      </c>
      <c r="R82" t="b">
        <v>1</v>
      </c>
      <c r="S82" t="s">
        <v>48</v>
      </c>
      <c r="T82">
        <v>16.3</v>
      </c>
      <c r="U82">
        <v>100</v>
      </c>
      <c r="V82" t="b">
        <v>1</v>
      </c>
      <c r="W82" t="s">
        <v>31</v>
      </c>
    </row>
    <row r="83" spans="1:23" x14ac:dyDescent="0.25">
      <c r="A83" t="s">
        <v>56</v>
      </c>
      <c r="B83" t="s">
        <v>49</v>
      </c>
      <c r="C83">
        <v>77.13</v>
      </c>
      <c r="D83">
        <v>639</v>
      </c>
      <c r="E83" t="b">
        <v>0</v>
      </c>
      <c r="F83" t="b">
        <v>1</v>
      </c>
      <c r="G83" t="b">
        <v>0</v>
      </c>
      <c r="H83" t="s">
        <v>53</v>
      </c>
      <c r="I83" t="s">
        <v>35</v>
      </c>
      <c r="J83" t="s">
        <v>54</v>
      </c>
      <c r="K83" t="s">
        <v>37</v>
      </c>
      <c r="L83" t="s">
        <v>37</v>
      </c>
      <c r="M83" t="s">
        <v>39</v>
      </c>
      <c r="N83" t="s">
        <v>46</v>
      </c>
      <c r="P83" t="b">
        <v>0</v>
      </c>
      <c r="Q83">
        <v>6.9</v>
      </c>
      <c r="R83" t="b">
        <v>1</v>
      </c>
      <c r="S83" t="s">
        <v>55</v>
      </c>
      <c r="T83">
        <v>34.299999999999997</v>
      </c>
      <c r="U83">
        <v>66.69</v>
      </c>
      <c r="V83" t="b">
        <v>1</v>
      </c>
      <c r="W83" t="s">
        <v>41</v>
      </c>
    </row>
    <row r="84" spans="1:23" x14ac:dyDescent="0.25">
      <c r="A84" t="s">
        <v>68</v>
      </c>
      <c r="B84" t="s">
        <v>33</v>
      </c>
      <c r="C84">
        <v>83.64</v>
      </c>
      <c r="D84">
        <v>756</v>
      </c>
      <c r="E84" t="b">
        <v>0</v>
      </c>
      <c r="F84" t="b">
        <v>0</v>
      </c>
      <c r="G84" t="b">
        <v>0</v>
      </c>
      <c r="H84" t="s">
        <v>53</v>
      </c>
      <c r="I84" t="s">
        <v>26</v>
      </c>
      <c r="J84" t="s">
        <v>54</v>
      </c>
      <c r="K84" t="s">
        <v>39</v>
      </c>
      <c r="L84" t="s">
        <v>69</v>
      </c>
      <c r="M84" t="s">
        <v>39</v>
      </c>
      <c r="N84" t="s">
        <v>46</v>
      </c>
      <c r="O84" t="b">
        <v>1</v>
      </c>
      <c r="P84" t="b">
        <v>0</v>
      </c>
      <c r="Q84">
        <v>10</v>
      </c>
      <c r="R84" t="b">
        <v>1</v>
      </c>
      <c r="S84" t="s">
        <v>55</v>
      </c>
      <c r="T84">
        <v>25.8</v>
      </c>
      <c r="U84">
        <v>80.540000000000006</v>
      </c>
      <c r="V84" t="b">
        <v>1</v>
      </c>
      <c r="W84" t="s">
        <v>31</v>
      </c>
    </row>
    <row r="85" spans="1:23" x14ac:dyDescent="0.25">
      <c r="A85" t="s">
        <v>23</v>
      </c>
      <c r="B85" t="s">
        <v>33</v>
      </c>
      <c r="C85">
        <v>88.54</v>
      </c>
      <c r="D85">
        <v>196</v>
      </c>
      <c r="E85" t="b">
        <v>1</v>
      </c>
      <c r="F85" t="b">
        <v>0</v>
      </c>
      <c r="G85" t="b">
        <v>0</v>
      </c>
      <c r="H85" t="s">
        <v>34</v>
      </c>
      <c r="I85" t="s">
        <v>63</v>
      </c>
      <c r="J85" t="s">
        <v>45</v>
      </c>
      <c r="K85" t="s">
        <v>37</v>
      </c>
      <c r="L85" t="s">
        <v>38</v>
      </c>
      <c r="M85" t="s">
        <v>46</v>
      </c>
      <c r="N85" t="s">
        <v>39</v>
      </c>
      <c r="O85" t="b">
        <v>1</v>
      </c>
      <c r="P85" t="b">
        <v>1</v>
      </c>
      <c r="Q85">
        <v>10</v>
      </c>
      <c r="R85" t="b">
        <v>0</v>
      </c>
      <c r="T85">
        <v>0</v>
      </c>
      <c r="U85">
        <v>96.36</v>
      </c>
      <c r="V85" t="b">
        <v>1</v>
      </c>
      <c r="W85" t="s">
        <v>58</v>
      </c>
    </row>
    <row r="86" spans="1:23" x14ac:dyDescent="0.25">
      <c r="A86" t="s">
        <v>23</v>
      </c>
      <c r="B86" t="s">
        <v>71</v>
      </c>
      <c r="C86">
        <v>54.8</v>
      </c>
      <c r="D86">
        <v>770</v>
      </c>
      <c r="E86" t="b">
        <v>1</v>
      </c>
      <c r="F86" t="b">
        <v>1</v>
      </c>
      <c r="G86" t="b">
        <v>1</v>
      </c>
      <c r="H86" t="s">
        <v>53</v>
      </c>
      <c r="I86" t="s">
        <v>26</v>
      </c>
      <c r="J86" t="s">
        <v>36</v>
      </c>
      <c r="K86" t="s">
        <v>28</v>
      </c>
      <c r="L86" t="s">
        <v>51</v>
      </c>
      <c r="M86" t="s">
        <v>28</v>
      </c>
      <c r="N86" t="s">
        <v>46</v>
      </c>
      <c r="O86" t="b">
        <v>1</v>
      </c>
      <c r="P86" t="b">
        <v>0</v>
      </c>
      <c r="Q86">
        <v>8.9</v>
      </c>
      <c r="R86" t="b">
        <v>1</v>
      </c>
      <c r="S86" t="s">
        <v>48</v>
      </c>
      <c r="T86">
        <v>23.3</v>
      </c>
      <c r="U86">
        <v>59.7</v>
      </c>
      <c r="V86" t="b">
        <v>0</v>
      </c>
      <c r="W86" t="s">
        <v>31</v>
      </c>
    </row>
    <row r="87" spans="1:23" x14ac:dyDescent="0.25">
      <c r="A87" t="s">
        <v>68</v>
      </c>
      <c r="B87" t="s">
        <v>73</v>
      </c>
      <c r="C87">
        <v>48.06</v>
      </c>
      <c r="D87">
        <v>566</v>
      </c>
      <c r="E87" t="b">
        <v>1</v>
      </c>
      <c r="F87" t="b">
        <v>0</v>
      </c>
      <c r="G87" t="b">
        <v>1</v>
      </c>
      <c r="H87" t="s">
        <v>53</v>
      </c>
      <c r="I87" t="s">
        <v>44</v>
      </c>
      <c r="J87" t="s">
        <v>54</v>
      </c>
      <c r="K87" t="s">
        <v>37</v>
      </c>
      <c r="L87" t="s">
        <v>51</v>
      </c>
      <c r="M87" t="s">
        <v>39</v>
      </c>
      <c r="N87" t="s">
        <v>46</v>
      </c>
      <c r="O87" t="b">
        <v>0</v>
      </c>
      <c r="P87" t="b">
        <v>0</v>
      </c>
      <c r="Q87">
        <v>3.9</v>
      </c>
      <c r="R87" t="b">
        <v>1</v>
      </c>
      <c r="S87" t="s">
        <v>64</v>
      </c>
      <c r="T87">
        <v>14.8</v>
      </c>
      <c r="U87">
        <v>61.44</v>
      </c>
      <c r="V87" t="b">
        <v>0</v>
      </c>
      <c r="W87" t="s">
        <v>72</v>
      </c>
    </row>
    <row r="88" spans="1:23" x14ac:dyDescent="0.25">
      <c r="A88" t="s">
        <v>32</v>
      </c>
      <c r="B88" t="s">
        <v>76</v>
      </c>
      <c r="C88">
        <v>87.56</v>
      </c>
      <c r="D88">
        <v>115</v>
      </c>
      <c r="E88" t="b">
        <v>0</v>
      </c>
      <c r="F88" t="b">
        <v>1</v>
      </c>
      <c r="G88" t="b">
        <v>1</v>
      </c>
      <c r="H88" t="s">
        <v>53</v>
      </c>
      <c r="I88" t="s">
        <v>35</v>
      </c>
      <c r="J88" t="s">
        <v>50</v>
      </c>
      <c r="K88" t="s">
        <v>46</v>
      </c>
      <c r="L88" t="s">
        <v>29</v>
      </c>
      <c r="M88" t="s">
        <v>46</v>
      </c>
      <c r="N88" t="s">
        <v>28</v>
      </c>
      <c r="O88" t="b">
        <v>0</v>
      </c>
      <c r="P88" t="b">
        <v>0</v>
      </c>
      <c r="Q88">
        <v>7.6</v>
      </c>
      <c r="R88" t="b">
        <v>1</v>
      </c>
      <c r="S88" t="s">
        <v>64</v>
      </c>
      <c r="T88">
        <v>32.5</v>
      </c>
      <c r="U88">
        <v>97.2</v>
      </c>
      <c r="V88" t="b">
        <v>0</v>
      </c>
      <c r="W88" t="s">
        <v>41</v>
      </c>
    </row>
    <row r="89" spans="1:23" x14ac:dyDescent="0.25">
      <c r="A89" t="s">
        <v>32</v>
      </c>
      <c r="B89" t="s">
        <v>66</v>
      </c>
      <c r="C89">
        <v>59.58</v>
      </c>
      <c r="D89">
        <v>295</v>
      </c>
      <c r="E89" t="b">
        <v>0</v>
      </c>
      <c r="F89" t="b">
        <v>1</v>
      </c>
      <c r="G89" t="b">
        <v>1</v>
      </c>
      <c r="H89" t="s">
        <v>53</v>
      </c>
      <c r="I89" t="s">
        <v>67</v>
      </c>
      <c r="J89" t="s">
        <v>45</v>
      </c>
      <c r="K89" t="s">
        <v>39</v>
      </c>
      <c r="L89" t="s">
        <v>51</v>
      </c>
      <c r="M89" t="s">
        <v>28</v>
      </c>
      <c r="O89" t="b">
        <v>0</v>
      </c>
      <c r="P89" t="b">
        <v>0</v>
      </c>
      <c r="Q89">
        <v>4.9000000000000004</v>
      </c>
      <c r="R89" t="b">
        <v>1</v>
      </c>
      <c r="S89" t="s">
        <v>55</v>
      </c>
      <c r="T89">
        <v>19</v>
      </c>
      <c r="U89">
        <v>43.43</v>
      </c>
      <c r="V89" t="b">
        <v>1</v>
      </c>
      <c r="W89" t="s">
        <v>72</v>
      </c>
    </row>
    <row r="90" spans="1:23" x14ac:dyDescent="0.25">
      <c r="A90" t="s">
        <v>23</v>
      </c>
      <c r="B90" t="s">
        <v>76</v>
      </c>
      <c r="C90">
        <v>89.02</v>
      </c>
      <c r="D90">
        <v>339</v>
      </c>
      <c r="E90" t="b">
        <v>0</v>
      </c>
      <c r="F90" t="b">
        <v>0</v>
      </c>
      <c r="G90" t="b">
        <v>0</v>
      </c>
      <c r="H90" t="s">
        <v>43</v>
      </c>
      <c r="I90" t="s">
        <v>44</v>
      </c>
      <c r="J90" t="s">
        <v>36</v>
      </c>
      <c r="K90" t="s">
        <v>37</v>
      </c>
      <c r="L90" t="s">
        <v>38</v>
      </c>
      <c r="M90" t="s">
        <v>39</v>
      </c>
      <c r="N90" t="s">
        <v>46</v>
      </c>
      <c r="O90" t="b">
        <v>0</v>
      </c>
      <c r="P90" t="b">
        <v>0</v>
      </c>
      <c r="Q90">
        <v>8.6999999999999993</v>
      </c>
      <c r="R90" t="b">
        <v>0</v>
      </c>
      <c r="T90">
        <v>0</v>
      </c>
      <c r="U90">
        <v>80.900000000000006</v>
      </c>
      <c r="V90" t="b">
        <v>1</v>
      </c>
      <c r="W90" t="s">
        <v>58</v>
      </c>
    </row>
    <row r="91" spans="1:23" x14ac:dyDescent="0.25">
      <c r="A91" t="s">
        <v>74</v>
      </c>
      <c r="B91" t="s">
        <v>62</v>
      </c>
      <c r="C91">
        <v>67.63</v>
      </c>
      <c r="D91">
        <v>357</v>
      </c>
      <c r="E91" t="b">
        <v>0</v>
      </c>
      <c r="F91" t="b">
        <v>1</v>
      </c>
      <c r="G91" t="b">
        <v>1</v>
      </c>
      <c r="H91" t="s">
        <v>25</v>
      </c>
      <c r="I91" t="s">
        <v>35</v>
      </c>
      <c r="J91" t="s">
        <v>36</v>
      </c>
      <c r="K91" t="s">
        <v>46</v>
      </c>
      <c r="L91" t="s">
        <v>51</v>
      </c>
      <c r="M91" t="s">
        <v>47</v>
      </c>
      <c r="O91" t="b">
        <v>0</v>
      </c>
      <c r="P91" t="b">
        <v>1</v>
      </c>
      <c r="Q91">
        <v>4.0999999999999996</v>
      </c>
      <c r="R91" t="b">
        <v>1</v>
      </c>
      <c r="S91" t="s">
        <v>75</v>
      </c>
      <c r="T91">
        <v>42.8</v>
      </c>
      <c r="U91">
        <v>81.96</v>
      </c>
      <c r="V91" t="b">
        <v>0</v>
      </c>
      <c r="W91" t="s">
        <v>72</v>
      </c>
    </row>
    <row r="92" spans="1:23" x14ac:dyDescent="0.25">
      <c r="A92" t="s">
        <v>61</v>
      </c>
      <c r="B92" t="s">
        <v>71</v>
      </c>
      <c r="C92">
        <v>42.75</v>
      </c>
      <c r="D92">
        <v>792</v>
      </c>
      <c r="E92" t="b">
        <v>1</v>
      </c>
      <c r="F92" t="b">
        <v>1</v>
      </c>
      <c r="G92" t="b">
        <v>1</v>
      </c>
      <c r="H92" t="s">
        <v>43</v>
      </c>
      <c r="I92" t="s">
        <v>67</v>
      </c>
      <c r="J92" t="s">
        <v>36</v>
      </c>
      <c r="K92" t="s">
        <v>37</v>
      </c>
      <c r="L92" t="s">
        <v>29</v>
      </c>
      <c r="M92" t="s">
        <v>39</v>
      </c>
      <c r="N92" t="s">
        <v>28</v>
      </c>
      <c r="O92" t="b">
        <v>1</v>
      </c>
      <c r="P92" t="b">
        <v>0</v>
      </c>
      <c r="Q92">
        <v>5.6</v>
      </c>
      <c r="R92" t="b">
        <v>1</v>
      </c>
      <c r="S92" t="s">
        <v>65</v>
      </c>
      <c r="T92">
        <v>14.7</v>
      </c>
      <c r="U92">
        <v>24.32</v>
      </c>
      <c r="V92" t="b">
        <v>0</v>
      </c>
      <c r="W92" t="s">
        <v>41</v>
      </c>
    </row>
    <row r="93" spans="1:23" x14ac:dyDescent="0.25">
      <c r="A93" t="s">
        <v>32</v>
      </c>
      <c r="B93" t="s">
        <v>33</v>
      </c>
      <c r="C93">
        <v>89.01</v>
      </c>
      <c r="D93">
        <v>193</v>
      </c>
      <c r="E93" t="b">
        <v>0</v>
      </c>
      <c r="F93" t="b">
        <v>0</v>
      </c>
      <c r="G93" t="b">
        <v>1</v>
      </c>
      <c r="H93" t="s">
        <v>34</v>
      </c>
      <c r="I93" t="s">
        <v>57</v>
      </c>
      <c r="J93" t="s">
        <v>45</v>
      </c>
      <c r="K93" t="s">
        <v>39</v>
      </c>
      <c r="L93" t="s">
        <v>37</v>
      </c>
      <c r="M93" t="s">
        <v>46</v>
      </c>
      <c r="N93" t="s">
        <v>28</v>
      </c>
      <c r="O93" t="b">
        <v>1</v>
      </c>
      <c r="P93" t="b">
        <v>1</v>
      </c>
      <c r="Q93">
        <v>10</v>
      </c>
      <c r="R93" t="b">
        <v>1</v>
      </c>
      <c r="S93" t="s">
        <v>75</v>
      </c>
      <c r="T93">
        <v>11.6</v>
      </c>
      <c r="U93">
        <v>74.75</v>
      </c>
      <c r="V93" t="b">
        <v>0</v>
      </c>
      <c r="W93" t="s">
        <v>31</v>
      </c>
    </row>
    <row r="94" spans="1:23" x14ac:dyDescent="0.25">
      <c r="A94" t="s">
        <v>74</v>
      </c>
      <c r="B94" t="s">
        <v>60</v>
      </c>
      <c r="C94">
        <v>61.16</v>
      </c>
      <c r="D94">
        <v>108</v>
      </c>
      <c r="E94" t="b">
        <v>0</v>
      </c>
      <c r="F94" t="b">
        <v>1</v>
      </c>
      <c r="G94" t="b">
        <v>1</v>
      </c>
      <c r="H94" t="s">
        <v>25</v>
      </c>
      <c r="I94" t="s">
        <v>67</v>
      </c>
      <c r="J94" t="s">
        <v>45</v>
      </c>
      <c r="K94" t="s">
        <v>46</v>
      </c>
      <c r="L94" t="s">
        <v>51</v>
      </c>
      <c r="M94" t="s">
        <v>46</v>
      </c>
      <c r="O94" t="b">
        <v>0</v>
      </c>
      <c r="P94" t="b">
        <v>0</v>
      </c>
      <c r="Q94">
        <v>5.5</v>
      </c>
      <c r="R94" t="b">
        <v>0</v>
      </c>
      <c r="T94">
        <v>0</v>
      </c>
      <c r="U94">
        <v>68.37</v>
      </c>
      <c r="V94" t="b">
        <v>1</v>
      </c>
      <c r="W94" t="s">
        <v>41</v>
      </c>
    </row>
    <row r="95" spans="1:23" x14ac:dyDescent="0.25">
      <c r="A95" t="s">
        <v>61</v>
      </c>
      <c r="B95" t="s">
        <v>24</v>
      </c>
      <c r="C95">
        <v>98</v>
      </c>
      <c r="D95">
        <v>275</v>
      </c>
      <c r="E95" t="b">
        <v>0</v>
      </c>
      <c r="F95" t="b">
        <v>0</v>
      </c>
      <c r="G95" t="b">
        <v>1</v>
      </c>
      <c r="H95" t="s">
        <v>43</v>
      </c>
      <c r="I95" t="s">
        <v>57</v>
      </c>
      <c r="J95" t="s">
        <v>36</v>
      </c>
      <c r="K95" t="s">
        <v>28</v>
      </c>
      <c r="L95" t="s">
        <v>38</v>
      </c>
      <c r="M95" t="s">
        <v>28</v>
      </c>
      <c r="N95" t="s">
        <v>39</v>
      </c>
      <c r="O95" t="b">
        <v>1</v>
      </c>
      <c r="P95" t="b">
        <v>0</v>
      </c>
      <c r="Q95">
        <v>10</v>
      </c>
      <c r="R95" t="b">
        <v>0</v>
      </c>
      <c r="T95">
        <v>0</v>
      </c>
      <c r="U95">
        <v>96.56</v>
      </c>
      <c r="V95" t="b">
        <v>1</v>
      </c>
      <c r="W95" t="s">
        <v>58</v>
      </c>
    </row>
    <row r="96" spans="1:23" x14ac:dyDescent="0.25">
      <c r="A96" t="s">
        <v>56</v>
      </c>
      <c r="B96" t="s">
        <v>60</v>
      </c>
      <c r="C96">
        <v>46.99</v>
      </c>
      <c r="D96">
        <v>108</v>
      </c>
      <c r="E96" t="b">
        <v>1</v>
      </c>
      <c r="F96" t="b">
        <v>0</v>
      </c>
      <c r="G96" t="b">
        <v>0</v>
      </c>
      <c r="H96" t="s">
        <v>53</v>
      </c>
      <c r="I96" t="s">
        <v>35</v>
      </c>
      <c r="J96" t="s">
        <v>50</v>
      </c>
      <c r="K96" t="s">
        <v>46</v>
      </c>
      <c r="L96" t="s">
        <v>38</v>
      </c>
      <c r="M96" t="s">
        <v>46</v>
      </c>
      <c r="N96" t="s">
        <v>46</v>
      </c>
      <c r="P96" t="b">
        <v>0</v>
      </c>
      <c r="Q96">
        <v>7.5</v>
      </c>
      <c r="R96" t="b">
        <v>1</v>
      </c>
      <c r="S96" t="s">
        <v>52</v>
      </c>
      <c r="T96">
        <v>36.9</v>
      </c>
      <c r="U96">
        <v>33.92</v>
      </c>
      <c r="V96" t="b">
        <v>0</v>
      </c>
      <c r="W96" t="s">
        <v>41</v>
      </c>
    </row>
    <row r="97" spans="1:23" x14ac:dyDescent="0.25">
      <c r="A97" t="s">
        <v>61</v>
      </c>
      <c r="B97" t="s">
        <v>42</v>
      </c>
      <c r="C97">
        <v>77.239999999999995</v>
      </c>
      <c r="D97">
        <v>642</v>
      </c>
      <c r="E97" t="b">
        <v>1</v>
      </c>
      <c r="F97" t="b">
        <v>1</v>
      </c>
      <c r="G97" t="b">
        <v>1</v>
      </c>
      <c r="H97" t="s">
        <v>25</v>
      </c>
      <c r="I97" t="s">
        <v>67</v>
      </c>
      <c r="J97" t="s">
        <v>27</v>
      </c>
      <c r="K97" t="s">
        <v>37</v>
      </c>
      <c r="L97" t="s">
        <v>69</v>
      </c>
      <c r="M97" t="s">
        <v>47</v>
      </c>
      <c r="N97" t="s">
        <v>39</v>
      </c>
      <c r="O97" t="b">
        <v>1</v>
      </c>
      <c r="P97" t="b">
        <v>1</v>
      </c>
      <c r="Q97">
        <v>9.8000000000000007</v>
      </c>
      <c r="R97" t="b">
        <v>0</v>
      </c>
      <c r="T97">
        <v>0</v>
      </c>
      <c r="U97">
        <v>66.48</v>
      </c>
      <c r="V97" t="b">
        <v>0</v>
      </c>
      <c r="W97" t="s">
        <v>58</v>
      </c>
    </row>
    <row r="98" spans="1:23" x14ac:dyDescent="0.25">
      <c r="A98" t="s">
        <v>56</v>
      </c>
      <c r="B98" t="s">
        <v>73</v>
      </c>
      <c r="C98">
        <v>61.57</v>
      </c>
      <c r="D98">
        <v>780</v>
      </c>
      <c r="E98" t="b">
        <v>1</v>
      </c>
      <c r="F98" t="b">
        <v>1</v>
      </c>
      <c r="G98" t="b">
        <v>0</v>
      </c>
      <c r="H98" t="s">
        <v>34</v>
      </c>
      <c r="I98" t="s">
        <v>67</v>
      </c>
      <c r="J98" t="s">
        <v>54</v>
      </c>
      <c r="K98" t="s">
        <v>46</v>
      </c>
      <c r="L98" t="s">
        <v>29</v>
      </c>
      <c r="M98" t="s">
        <v>47</v>
      </c>
      <c r="N98" t="s">
        <v>46</v>
      </c>
      <c r="O98" t="b">
        <v>0</v>
      </c>
      <c r="P98" t="b">
        <v>0</v>
      </c>
      <c r="Q98">
        <v>4.9000000000000004</v>
      </c>
      <c r="R98" t="b">
        <v>1</v>
      </c>
      <c r="S98" t="s">
        <v>52</v>
      </c>
      <c r="T98">
        <v>18.2</v>
      </c>
      <c r="U98">
        <v>75.930000000000007</v>
      </c>
      <c r="V98" t="b">
        <v>0</v>
      </c>
      <c r="W98" t="s">
        <v>72</v>
      </c>
    </row>
    <row r="99" spans="1:23" x14ac:dyDescent="0.25">
      <c r="A99" t="s">
        <v>74</v>
      </c>
      <c r="B99" t="s">
        <v>24</v>
      </c>
      <c r="C99">
        <v>96.55</v>
      </c>
      <c r="D99">
        <v>723</v>
      </c>
      <c r="E99" t="b">
        <v>0</v>
      </c>
      <c r="F99" t="b">
        <v>0</v>
      </c>
      <c r="G99" t="b">
        <v>0</v>
      </c>
      <c r="H99" t="s">
        <v>53</v>
      </c>
      <c r="I99" t="s">
        <v>35</v>
      </c>
      <c r="J99" t="s">
        <v>27</v>
      </c>
      <c r="K99" t="s">
        <v>37</v>
      </c>
      <c r="L99" t="s">
        <v>51</v>
      </c>
      <c r="M99" t="s">
        <v>28</v>
      </c>
      <c r="N99" t="s">
        <v>28</v>
      </c>
      <c r="O99" t="b">
        <v>1</v>
      </c>
      <c r="P99" t="b">
        <v>0</v>
      </c>
      <c r="Q99">
        <v>10</v>
      </c>
      <c r="R99" t="b">
        <v>1</v>
      </c>
      <c r="S99" t="s">
        <v>40</v>
      </c>
      <c r="T99">
        <v>19.600000000000001</v>
      </c>
      <c r="U99">
        <v>94.05</v>
      </c>
      <c r="V99" t="b">
        <v>1</v>
      </c>
      <c r="W99" t="s">
        <v>31</v>
      </c>
    </row>
    <row r="100" spans="1:23" x14ac:dyDescent="0.25">
      <c r="A100" t="s">
        <v>68</v>
      </c>
      <c r="B100" t="s">
        <v>73</v>
      </c>
      <c r="C100">
        <v>47.62</v>
      </c>
      <c r="D100">
        <v>224</v>
      </c>
      <c r="E100" t="b">
        <v>1</v>
      </c>
      <c r="F100" t="b">
        <v>1</v>
      </c>
      <c r="G100" t="b">
        <v>1</v>
      </c>
      <c r="H100" t="s">
        <v>53</v>
      </c>
      <c r="I100" t="s">
        <v>63</v>
      </c>
      <c r="J100" t="s">
        <v>54</v>
      </c>
      <c r="K100" t="s">
        <v>28</v>
      </c>
      <c r="L100" t="s">
        <v>29</v>
      </c>
      <c r="M100" t="s">
        <v>28</v>
      </c>
      <c r="N100" t="s">
        <v>39</v>
      </c>
      <c r="P100" t="b">
        <v>1</v>
      </c>
      <c r="Q100">
        <v>6.8</v>
      </c>
      <c r="R100" t="b">
        <v>1</v>
      </c>
      <c r="S100" t="s">
        <v>48</v>
      </c>
      <c r="T100">
        <v>2.8</v>
      </c>
      <c r="U100">
        <v>33.5</v>
      </c>
      <c r="V100" t="b">
        <v>0</v>
      </c>
      <c r="W100" t="s">
        <v>41</v>
      </c>
    </row>
    <row r="101" spans="1:23" x14ac:dyDescent="0.25">
      <c r="A101" t="s">
        <v>23</v>
      </c>
      <c r="B101" t="s">
        <v>59</v>
      </c>
      <c r="C101">
        <v>78.05</v>
      </c>
      <c r="D101">
        <v>118</v>
      </c>
      <c r="E101" t="b">
        <v>1</v>
      </c>
      <c r="F101" t="b">
        <v>0</v>
      </c>
      <c r="G101" t="b">
        <v>1</v>
      </c>
      <c r="H101" t="s">
        <v>25</v>
      </c>
      <c r="I101" t="s">
        <v>44</v>
      </c>
      <c r="J101" t="s">
        <v>54</v>
      </c>
      <c r="K101" t="s">
        <v>46</v>
      </c>
      <c r="L101" t="s">
        <v>69</v>
      </c>
      <c r="M101" t="s">
        <v>46</v>
      </c>
      <c r="N101" t="s">
        <v>39</v>
      </c>
      <c r="P101" t="b">
        <v>0</v>
      </c>
      <c r="Q101">
        <v>10</v>
      </c>
      <c r="R101" t="b">
        <v>0</v>
      </c>
      <c r="T101">
        <v>0</v>
      </c>
      <c r="U101">
        <v>85.32</v>
      </c>
      <c r="V101" t="b">
        <v>1</v>
      </c>
      <c r="W101" t="s">
        <v>58</v>
      </c>
    </row>
    <row r="102" spans="1:23" x14ac:dyDescent="0.25">
      <c r="A102" t="s">
        <v>32</v>
      </c>
      <c r="B102" t="s">
        <v>33</v>
      </c>
      <c r="C102">
        <v>80.099999999999994</v>
      </c>
      <c r="D102">
        <v>492</v>
      </c>
      <c r="E102" t="b">
        <v>1</v>
      </c>
      <c r="F102" t="b">
        <v>1</v>
      </c>
      <c r="G102" t="b">
        <v>0</v>
      </c>
      <c r="H102" t="s">
        <v>25</v>
      </c>
      <c r="I102" t="s">
        <v>44</v>
      </c>
      <c r="J102" t="s">
        <v>45</v>
      </c>
      <c r="K102" t="s">
        <v>37</v>
      </c>
      <c r="L102" t="s">
        <v>29</v>
      </c>
      <c r="M102" t="s">
        <v>46</v>
      </c>
      <c r="O102" t="b">
        <v>0</v>
      </c>
      <c r="P102" t="b">
        <v>0</v>
      </c>
      <c r="Q102">
        <v>7.9</v>
      </c>
      <c r="R102" t="b">
        <v>0</v>
      </c>
      <c r="T102">
        <v>0</v>
      </c>
      <c r="U102">
        <v>69.2</v>
      </c>
      <c r="V102" t="b">
        <v>1</v>
      </c>
      <c r="W102" t="s">
        <v>31</v>
      </c>
    </row>
    <row r="103" spans="1:23" x14ac:dyDescent="0.25">
      <c r="A103" t="s">
        <v>61</v>
      </c>
      <c r="B103" t="s">
        <v>73</v>
      </c>
      <c r="C103">
        <v>47.8</v>
      </c>
      <c r="D103">
        <v>320</v>
      </c>
      <c r="E103" t="b">
        <v>1</v>
      </c>
      <c r="F103" t="b">
        <v>0</v>
      </c>
      <c r="G103" t="b">
        <v>0</v>
      </c>
      <c r="H103" t="s">
        <v>53</v>
      </c>
      <c r="I103" t="s">
        <v>26</v>
      </c>
      <c r="J103" t="s">
        <v>54</v>
      </c>
      <c r="K103" t="s">
        <v>37</v>
      </c>
      <c r="L103" t="s">
        <v>37</v>
      </c>
      <c r="M103" t="s">
        <v>46</v>
      </c>
      <c r="P103" t="b">
        <v>0</v>
      </c>
      <c r="Q103">
        <v>6.2</v>
      </c>
      <c r="R103" t="b">
        <v>1</v>
      </c>
      <c r="S103" t="s">
        <v>75</v>
      </c>
      <c r="T103">
        <v>7.2</v>
      </c>
      <c r="U103">
        <v>37.549999999999997</v>
      </c>
      <c r="V103" t="b">
        <v>0</v>
      </c>
      <c r="W103" t="s">
        <v>41</v>
      </c>
    </row>
    <row r="104" spans="1:23" x14ac:dyDescent="0.25">
      <c r="A104" t="s">
        <v>23</v>
      </c>
      <c r="B104" t="s">
        <v>76</v>
      </c>
      <c r="C104">
        <v>70.42</v>
      </c>
      <c r="D104">
        <v>539</v>
      </c>
      <c r="E104" t="b">
        <v>0</v>
      </c>
      <c r="F104" t="b">
        <v>1</v>
      </c>
      <c r="G104" t="b">
        <v>0</v>
      </c>
      <c r="H104" t="s">
        <v>53</v>
      </c>
      <c r="I104" t="s">
        <v>57</v>
      </c>
      <c r="J104" t="s">
        <v>36</v>
      </c>
      <c r="K104" t="s">
        <v>28</v>
      </c>
      <c r="L104" t="s">
        <v>29</v>
      </c>
      <c r="M104" t="s">
        <v>28</v>
      </c>
      <c r="N104" t="s">
        <v>46</v>
      </c>
      <c r="O104" t="b">
        <v>1</v>
      </c>
      <c r="P104" t="b">
        <v>0</v>
      </c>
      <c r="Q104">
        <v>9.6</v>
      </c>
      <c r="R104" t="b">
        <v>1</v>
      </c>
      <c r="S104" t="s">
        <v>52</v>
      </c>
      <c r="T104">
        <v>33.799999999999997</v>
      </c>
      <c r="U104">
        <v>63.12</v>
      </c>
      <c r="V104" t="b">
        <v>0</v>
      </c>
      <c r="W104" t="s">
        <v>31</v>
      </c>
    </row>
    <row r="105" spans="1:23" x14ac:dyDescent="0.25">
      <c r="A105" t="s">
        <v>74</v>
      </c>
      <c r="B105" t="s">
        <v>24</v>
      </c>
      <c r="C105">
        <v>87.81</v>
      </c>
      <c r="D105">
        <v>50</v>
      </c>
      <c r="E105" t="b">
        <v>1</v>
      </c>
      <c r="F105" t="b">
        <v>1</v>
      </c>
      <c r="G105" t="b">
        <v>0</v>
      </c>
      <c r="H105" t="s">
        <v>34</v>
      </c>
      <c r="I105" t="s">
        <v>26</v>
      </c>
      <c r="J105" t="s">
        <v>54</v>
      </c>
      <c r="K105" t="s">
        <v>28</v>
      </c>
      <c r="L105" t="s">
        <v>29</v>
      </c>
      <c r="M105" t="s">
        <v>46</v>
      </c>
      <c r="N105" t="s">
        <v>28</v>
      </c>
      <c r="O105" t="b">
        <v>0</v>
      </c>
      <c r="P105" t="b">
        <v>0</v>
      </c>
      <c r="Q105">
        <v>8.5</v>
      </c>
      <c r="R105" t="b">
        <v>0</v>
      </c>
      <c r="T105">
        <v>0</v>
      </c>
      <c r="U105">
        <v>98.22</v>
      </c>
      <c r="V105" t="b">
        <v>1</v>
      </c>
      <c r="W105" t="s">
        <v>58</v>
      </c>
    </row>
    <row r="106" spans="1:23" x14ac:dyDescent="0.25">
      <c r="A106" t="s">
        <v>23</v>
      </c>
      <c r="B106" t="s">
        <v>76</v>
      </c>
      <c r="C106">
        <v>73.05</v>
      </c>
      <c r="D106">
        <v>721</v>
      </c>
      <c r="E106" t="b">
        <v>0</v>
      </c>
      <c r="F106" t="b">
        <v>0</v>
      </c>
      <c r="G106" t="b">
        <v>1</v>
      </c>
      <c r="H106" t="s">
        <v>43</v>
      </c>
      <c r="I106" t="s">
        <v>26</v>
      </c>
      <c r="J106" t="s">
        <v>54</v>
      </c>
      <c r="K106" t="s">
        <v>37</v>
      </c>
      <c r="L106" t="s">
        <v>29</v>
      </c>
      <c r="M106" t="s">
        <v>28</v>
      </c>
      <c r="N106" t="s">
        <v>39</v>
      </c>
      <c r="O106" t="b">
        <v>0</v>
      </c>
      <c r="P106" t="b">
        <v>1</v>
      </c>
      <c r="Q106">
        <v>7.2</v>
      </c>
      <c r="R106" t="b">
        <v>1</v>
      </c>
      <c r="S106" t="s">
        <v>64</v>
      </c>
      <c r="T106">
        <v>12.2</v>
      </c>
      <c r="U106">
        <v>82.04</v>
      </c>
      <c r="V106" t="b">
        <v>1</v>
      </c>
      <c r="W106" t="s">
        <v>41</v>
      </c>
    </row>
    <row r="107" spans="1:23" x14ac:dyDescent="0.25">
      <c r="A107" t="s">
        <v>74</v>
      </c>
      <c r="B107" t="s">
        <v>42</v>
      </c>
      <c r="C107">
        <v>70.61</v>
      </c>
      <c r="D107">
        <v>220</v>
      </c>
      <c r="E107" t="b">
        <v>1</v>
      </c>
      <c r="F107" t="b">
        <v>1</v>
      </c>
      <c r="G107" t="b">
        <v>0</v>
      </c>
      <c r="H107" t="s">
        <v>43</v>
      </c>
      <c r="I107" t="s">
        <v>26</v>
      </c>
      <c r="J107" t="s">
        <v>54</v>
      </c>
      <c r="K107" t="s">
        <v>37</v>
      </c>
      <c r="L107" t="s">
        <v>29</v>
      </c>
      <c r="M107" t="s">
        <v>28</v>
      </c>
      <c r="N107" t="s">
        <v>39</v>
      </c>
      <c r="O107" t="b">
        <v>0</v>
      </c>
      <c r="P107" t="b">
        <v>0</v>
      </c>
      <c r="Q107">
        <v>6.3</v>
      </c>
      <c r="R107" t="b">
        <v>0</v>
      </c>
      <c r="T107">
        <v>0</v>
      </c>
      <c r="U107">
        <v>69.78</v>
      </c>
      <c r="V107" t="b">
        <v>1</v>
      </c>
      <c r="W107" t="s">
        <v>31</v>
      </c>
    </row>
    <row r="108" spans="1:23" x14ac:dyDescent="0.25">
      <c r="A108" t="s">
        <v>68</v>
      </c>
      <c r="B108" t="s">
        <v>60</v>
      </c>
      <c r="C108">
        <v>45.34</v>
      </c>
      <c r="D108">
        <v>231</v>
      </c>
      <c r="E108" t="b">
        <v>1</v>
      </c>
      <c r="F108" t="b">
        <v>0</v>
      </c>
      <c r="G108" t="b">
        <v>1</v>
      </c>
      <c r="H108" t="s">
        <v>25</v>
      </c>
      <c r="I108" t="s">
        <v>57</v>
      </c>
      <c r="J108" t="s">
        <v>50</v>
      </c>
      <c r="K108" t="s">
        <v>46</v>
      </c>
      <c r="L108" t="s">
        <v>37</v>
      </c>
      <c r="M108" t="s">
        <v>39</v>
      </c>
      <c r="N108" t="s">
        <v>46</v>
      </c>
      <c r="O108" t="b">
        <v>1</v>
      </c>
      <c r="P108" t="b">
        <v>1</v>
      </c>
      <c r="Q108">
        <v>7.1</v>
      </c>
      <c r="R108" t="b">
        <v>1</v>
      </c>
      <c r="S108" t="s">
        <v>52</v>
      </c>
      <c r="T108">
        <v>11.1</v>
      </c>
      <c r="U108">
        <v>44.75</v>
      </c>
      <c r="V108" t="b">
        <v>0</v>
      </c>
      <c r="W108" t="s">
        <v>41</v>
      </c>
    </row>
    <row r="109" spans="1:23" x14ac:dyDescent="0.25">
      <c r="A109" t="s">
        <v>23</v>
      </c>
      <c r="B109" t="s">
        <v>62</v>
      </c>
      <c r="C109">
        <v>50.15</v>
      </c>
      <c r="D109">
        <v>755</v>
      </c>
      <c r="E109" t="b">
        <v>1</v>
      </c>
      <c r="F109" t="b">
        <v>1</v>
      </c>
      <c r="G109" t="b">
        <v>0</v>
      </c>
      <c r="H109" t="s">
        <v>43</v>
      </c>
      <c r="I109" t="s">
        <v>63</v>
      </c>
      <c r="J109" t="s">
        <v>54</v>
      </c>
      <c r="K109" t="s">
        <v>37</v>
      </c>
      <c r="L109" t="s">
        <v>37</v>
      </c>
      <c r="M109" t="s">
        <v>46</v>
      </c>
      <c r="N109" t="s">
        <v>46</v>
      </c>
      <c r="P109" t="b">
        <v>0</v>
      </c>
      <c r="Q109">
        <v>5.5</v>
      </c>
      <c r="R109" t="b">
        <v>1</v>
      </c>
      <c r="S109" t="s">
        <v>52</v>
      </c>
      <c r="T109">
        <v>9</v>
      </c>
      <c r="U109">
        <v>48.53</v>
      </c>
      <c r="V109" t="b">
        <v>1</v>
      </c>
      <c r="W109" t="s">
        <v>41</v>
      </c>
    </row>
    <row r="110" spans="1:23" x14ac:dyDescent="0.25">
      <c r="A110" t="s">
        <v>74</v>
      </c>
      <c r="B110" t="s">
        <v>70</v>
      </c>
      <c r="C110">
        <v>84.98</v>
      </c>
      <c r="D110">
        <v>132</v>
      </c>
      <c r="E110" t="b">
        <v>0</v>
      </c>
      <c r="F110" t="b">
        <v>1</v>
      </c>
      <c r="G110" t="b">
        <v>0</v>
      </c>
      <c r="H110" t="s">
        <v>43</v>
      </c>
      <c r="I110" t="s">
        <v>26</v>
      </c>
      <c r="J110" t="s">
        <v>36</v>
      </c>
      <c r="K110" t="s">
        <v>46</v>
      </c>
      <c r="L110" t="s">
        <v>38</v>
      </c>
      <c r="M110" t="s">
        <v>28</v>
      </c>
      <c r="O110" t="b">
        <v>1</v>
      </c>
      <c r="P110" t="b">
        <v>1</v>
      </c>
      <c r="Q110">
        <v>10</v>
      </c>
      <c r="R110" t="b">
        <v>1</v>
      </c>
      <c r="S110" t="s">
        <v>48</v>
      </c>
      <c r="T110">
        <v>43.1</v>
      </c>
      <c r="U110">
        <v>87.49</v>
      </c>
      <c r="V110" t="b">
        <v>1</v>
      </c>
      <c r="W110" t="s">
        <v>31</v>
      </c>
    </row>
    <row r="111" spans="1:23" x14ac:dyDescent="0.25">
      <c r="A111" t="s">
        <v>74</v>
      </c>
      <c r="B111" t="s">
        <v>62</v>
      </c>
      <c r="C111">
        <v>66.040000000000006</v>
      </c>
      <c r="D111">
        <v>238</v>
      </c>
      <c r="E111" t="b">
        <v>0</v>
      </c>
      <c r="F111" t="b">
        <v>1</v>
      </c>
      <c r="G111" t="b">
        <v>1</v>
      </c>
      <c r="H111" t="s">
        <v>53</v>
      </c>
      <c r="I111" t="s">
        <v>63</v>
      </c>
      <c r="J111" t="s">
        <v>27</v>
      </c>
      <c r="K111" t="s">
        <v>46</v>
      </c>
      <c r="L111" t="s">
        <v>38</v>
      </c>
      <c r="M111" t="s">
        <v>28</v>
      </c>
      <c r="N111" t="s">
        <v>39</v>
      </c>
      <c r="O111" t="b">
        <v>1</v>
      </c>
      <c r="P111" t="b">
        <v>1</v>
      </c>
      <c r="Q111">
        <v>9.4</v>
      </c>
      <c r="R111" t="b">
        <v>0</v>
      </c>
      <c r="T111">
        <v>0</v>
      </c>
      <c r="U111">
        <v>65.23</v>
      </c>
      <c r="V111" t="b">
        <v>0</v>
      </c>
      <c r="W111" t="s">
        <v>58</v>
      </c>
    </row>
    <row r="112" spans="1:23" x14ac:dyDescent="0.25">
      <c r="A112" t="s">
        <v>74</v>
      </c>
      <c r="B112" t="s">
        <v>76</v>
      </c>
      <c r="C112">
        <v>81.349999999999994</v>
      </c>
      <c r="D112">
        <v>674</v>
      </c>
      <c r="E112" t="b">
        <v>1</v>
      </c>
      <c r="F112" t="b">
        <v>0</v>
      </c>
      <c r="G112" t="b">
        <v>1</v>
      </c>
      <c r="H112" t="s">
        <v>43</v>
      </c>
      <c r="I112" t="s">
        <v>26</v>
      </c>
      <c r="J112" t="s">
        <v>36</v>
      </c>
      <c r="K112" t="s">
        <v>46</v>
      </c>
      <c r="L112" t="s">
        <v>38</v>
      </c>
      <c r="M112" t="s">
        <v>46</v>
      </c>
      <c r="N112" t="s">
        <v>39</v>
      </c>
      <c r="O112" t="b">
        <v>1</v>
      </c>
      <c r="P112" t="b">
        <v>0</v>
      </c>
      <c r="Q112">
        <v>10</v>
      </c>
      <c r="R112" t="b">
        <v>0</v>
      </c>
      <c r="T112">
        <v>0</v>
      </c>
      <c r="U112">
        <v>67.709999999999994</v>
      </c>
      <c r="V112" t="b">
        <v>0</v>
      </c>
      <c r="W112" t="s">
        <v>58</v>
      </c>
    </row>
    <row r="113" spans="1:23" x14ac:dyDescent="0.25">
      <c r="A113" t="s">
        <v>56</v>
      </c>
      <c r="B113" t="s">
        <v>59</v>
      </c>
      <c r="C113">
        <v>76.91</v>
      </c>
      <c r="D113">
        <v>730</v>
      </c>
      <c r="E113" t="b">
        <v>0</v>
      </c>
      <c r="F113" t="b">
        <v>1</v>
      </c>
      <c r="G113" t="b">
        <v>0</v>
      </c>
      <c r="H113" t="s">
        <v>43</v>
      </c>
      <c r="I113" t="s">
        <v>57</v>
      </c>
      <c r="J113" t="s">
        <v>45</v>
      </c>
      <c r="K113" t="s">
        <v>37</v>
      </c>
      <c r="L113" t="s">
        <v>38</v>
      </c>
      <c r="M113" t="s">
        <v>46</v>
      </c>
      <c r="N113" t="s">
        <v>39</v>
      </c>
      <c r="O113" t="b">
        <v>1</v>
      </c>
      <c r="P113" t="b">
        <v>1</v>
      </c>
      <c r="Q113">
        <v>8.8000000000000007</v>
      </c>
      <c r="R113" t="b">
        <v>0</v>
      </c>
      <c r="T113">
        <v>0</v>
      </c>
      <c r="U113">
        <v>90.58</v>
      </c>
      <c r="V113" t="b">
        <v>1</v>
      </c>
      <c r="W113" t="s">
        <v>58</v>
      </c>
    </row>
    <row r="114" spans="1:23" x14ac:dyDescent="0.25">
      <c r="A114" t="s">
        <v>23</v>
      </c>
      <c r="B114" t="s">
        <v>49</v>
      </c>
      <c r="C114">
        <v>78.03</v>
      </c>
      <c r="D114">
        <v>589</v>
      </c>
      <c r="E114" t="b">
        <v>1</v>
      </c>
      <c r="F114" t="b">
        <v>0</v>
      </c>
      <c r="G114" t="b">
        <v>1</v>
      </c>
      <c r="H114" t="s">
        <v>34</v>
      </c>
      <c r="I114" t="s">
        <v>44</v>
      </c>
      <c r="J114" t="s">
        <v>50</v>
      </c>
      <c r="K114" t="s">
        <v>37</v>
      </c>
      <c r="L114" t="s">
        <v>51</v>
      </c>
      <c r="M114" t="s">
        <v>39</v>
      </c>
      <c r="N114" t="s">
        <v>28</v>
      </c>
      <c r="O114" t="b">
        <v>1</v>
      </c>
      <c r="P114" t="b">
        <v>1</v>
      </c>
      <c r="Q114">
        <v>10</v>
      </c>
      <c r="R114" t="b">
        <v>1</v>
      </c>
      <c r="S114" t="s">
        <v>64</v>
      </c>
      <c r="T114">
        <v>14.5</v>
      </c>
      <c r="U114">
        <v>89.62</v>
      </c>
      <c r="V114" t="b">
        <v>1</v>
      </c>
      <c r="W114" t="s">
        <v>31</v>
      </c>
    </row>
    <row r="115" spans="1:23" x14ac:dyDescent="0.25">
      <c r="A115" t="s">
        <v>74</v>
      </c>
      <c r="B115" t="s">
        <v>42</v>
      </c>
      <c r="C115">
        <v>71.790000000000006</v>
      </c>
      <c r="D115">
        <v>708</v>
      </c>
      <c r="E115" t="b">
        <v>0</v>
      </c>
      <c r="F115" t="b">
        <v>1</v>
      </c>
      <c r="G115" t="b">
        <v>0</v>
      </c>
      <c r="H115" t="s">
        <v>25</v>
      </c>
      <c r="I115" t="s">
        <v>26</v>
      </c>
      <c r="J115" t="s">
        <v>36</v>
      </c>
      <c r="K115" t="s">
        <v>28</v>
      </c>
      <c r="L115" t="s">
        <v>38</v>
      </c>
      <c r="M115" t="s">
        <v>46</v>
      </c>
      <c r="O115" t="b">
        <v>1</v>
      </c>
      <c r="P115" t="b">
        <v>0</v>
      </c>
      <c r="Q115">
        <v>8.5</v>
      </c>
      <c r="R115" t="b">
        <v>1</v>
      </c>
      <c r="S115" t="s">
        <v>75</v>
      </c>
      <c r="T115">
        <v>36.700000000000003</v>
      </c>
      <c r="U115">
        <v>63.14</v>
      </c>
      <c r="V115" t="b">
        <v>0</v>
      </c>
      <c r="W115" t="s">
        <v>31</v>
      </c>
    </row>
    <row r="116" spans="1:23" x14ac:dyDescent="0.25">
      <c r="A116" t="s">
        <v>74</v>
      </c>
      <c r="B116" t="s">
        <v>42</v>
      </c>
      <c r="C116">
        <v>80.48</v>
      </c>
      <c r="D116">
        <v>317</v>
      </c>
      <c r="E116" t="b">
        <v>0</v>
      </c>
      <c r="F116" t="b">
        <v>1</v>
      </c>
      <c r="G116" t="b">
        <v>1</v>
      </c>
      <c r="H116" t="s">
        <v>53</v>
      </c>
      <c r="I116" t="s">
        <v>57</v>
      </c>
      <c r="J116" t="s">
        <v>36</v>
      </c>
      <c r="K116" t="s">
        <v>39</v>
      </c>
      <c r="L116" t="s">
        <v>29</v>
      </c>
      <c r="M116" t="s">
        <v>39</v>
      </c>
      <c r="N116" t="s">
        <v>39</v>
      </c>
      <c r="P116" t="b">
        <v>0</v>
      </c>
      <c r="Q116">
        <v>6.9</v>
      </c>
      <c r="R116" t="b">
        <v>0</v>
      </c>
      <c r="T116">
        <v>0</v>
      </c>
      <c r="U116">
        <v>73.52</v>
      </c>
      <c r="V116" t="b">
        <v>1</v>
      </c>
      <c r="W116" t="s">
        <v>31</v>
      </c>
    </row>
    <row r="117" spans="1:23" x14ac:dyDescent="0.25">
      <c r="A117" t="s">
        <v>61</v>
      </c>
      <c r="B117" t="s">
        <v>73</v>
      </c>
      <c r="C117">
        <v>55.68</v>
      </c>
      <c r="D117">
        <v>756</v>
      </c>
      <c r="E117" t="b">
        <v>1</v>
      </c>
      <c r="F117" t="b">
        <v>1</v>
      </c>
      <c r="G117" t="b">
        <v>0</v>
      </c>
      <c r="H117" t="s">
        <v>53</v>
      </c>
      <c r="I117" t="s">
        <v>35</v>
      </c>
      <c r="J117" t="s">
        <v>50</v>
      </c>
      <c r="K117" t="s">
        <v>28</v>
      </c>
      <c r="L117" t="s">
        <v>38</v>
      </c>
      <c r="M117" t="s">
        <v>39</v>
      </c>
      <c r="N117" t="s">
        <v>28</v>
      </c>
      <c r="O117" t="b">
        <v>1</v>
      </c>
      <c r="P117" t="b">
        <v>1</v>
      </c>
      <c r="Q117">
        <v>8.1</v>
      </c>
      <c r="R117" t="b">
        <v>1</v>
      </c>
      <c r="S117" t="s">
        <v>48</v>
      </c>
      <c r="T117">
        <v>33</v>
      </c>
      <c r="U117">
        <v>69.88</v>
      </c>
      <c r="V117" t="b">
        <v>1</v>
      </c>
      <c r="W117" t="s">
        <v>31</v>
      </c>
    </row>
    <row r="118" spans="1:23" x14ac:dyDescent="0.25">
      <c r="A118" t="s">
        <v>74</v>
      </c>
      <c r="B118" t="s">
        <v>24</v>
      </c>
      <c r="C118">
        <v>96.49</v>
      </c>
      <c r="D118">
        <v>602</v>
      </c>
      <c r="E118" t="b">
        <v>1</v>
      </c>
      <c r="F118" t="b">
        <v>0</v>
      </c>
      <c r="G118" t="b">
        <v>1</v>
      </c>
      <c r="H118" t="s">
        <v>25</v>
      </c>
      <c r="I118" t="s">
        <v>57</v>
      </c>
      <c r="J118" t="s">
        <v>36</v>
      </c>
      <c r="K118" t="s">
        <v>37</v>
      </c>
      <c r="L118" t="s">
        <v>38</v>
      </c>
      <c r="M118" t="s">
        <v>39</v>
      </c>
      <c r="N118" t="s">
        <v>28</v>
      </c>
      <c r="O118" t="b">
        <v>1</v>
      </c>
      <c r="P118" t="b">
        <v>1</v>
      </c>
      <c r="Q118">
        <v>10</v>
      </c>
      <c r="R118" t="b">
        <v>1</v>
      </c>
      <c r="S118" t="s">
        <v>75</v>
      </c>
      <c r="T118">
        <v>17</v>
      </c>
      <c r="U118">
        <v>100</v>
      </c>
      <c r="V118" t="b">
        <v>1</v>
      </c>
      <c r="W118" t="s">
        <v>31</v>
      </c>
    </row>
    <row r="119" spans="1:23" x14ac:dyDescent="0.25">
      <c r="A119" t="s">
        <v>32</v>
      </c>
      <c r="B119" t="s">
        <v>71</v>
      </c>
      <c r="C119">
        <v>43.96</v>
      </c>
      <c r="D119">
        <v>591</v>
      </c>
      <c r="E119" t="b">
        <v>1</v>
      </c>
      <c r="F119" t="b">
        <v>1</v>
      </c>
      <c r="G119" t="b">
        <v>0</v>
      </c>
      <c r="H119" t="s">
        <v>43</v>
      </c>
      <c r="I119" t="s">
        <v>26</v>
      </c>
      <c r="J119" t="s">
        <v>36</v>
      </c>
      <c r="K119" t="s">
        <v>46</v>
      </c>
      <c r="L119" t="s">
        <v>51</v>
      </c>
      <c r="M119" t="s">
        <v>39</v>
      </c>
      <c r="N119" t="s">
        <v>39</v>
      </c>
      <c r="O119" t="b">
        <v>1</v>
      </c>
      <c r="P119" t="b">
        <v>0</v>
      </c>
      <c r="Q119">
        <v>6.1</v>
      </c>
      <c r="R119" t="b">
        <v>1</v>
      </c>
      <c r="S119" t="s">
        <v>55</v>
      </c>
      <c r="T119">
        <v>35</v>
      </c>
      <c r="U119">
        <v>27.98</v>
      </c>
      <c r="V119" t="b">
        <v>0</v>
      </c>
      <c r="W119" t="s">
        <v>41</v>
      </c>
    </row>
    <row r="120" spans="1:23" x14ac:dyDescent="0.25">
      <c r="A120" t="s">
        <v>68</v>
      </c>
      <c r="B120" t="s">
        <v>60</v>
      </c>
      <c r="C120">
        <v>49.18</v>
      </c>
      <c r="D120">
        <v>689</v>
      </c>
      <c r="E120" t="b">
        <v>0</v>
      </c>
      <c r="F120" t="b">
        <v>1</v>
      </c>
      <c r="G120" t="b">
        <v>0</v>
      </c>
      <c r="H120" t="s">
        <v>34</v>
      </c>
      <c r="I120" t="s">
        <v>26</v>
      </c>
      <c r="J120" t="s">
        <v>36</v>
      </c>
      <c r="K120" t="s">
        <v>39</v>
      </c>
      <c r="L120" t="s">
        <v>69</v>
      </c>
      <c r="M120" t="s">
        <v>39</v>
      </c>
      <c r="N120" t="s">
        <v>28</v>
      </c>
      <c r="O120" t="b">
        <v>1</v>
      </c>
      <c r="P120" t="b">
        <v>1</v>
      </c>
      <c r="Q120">
        <v>6.1</v>
      </c>
      <c r="R120" t="b">
        <v>1</v>
      </c>
      <c r="S120" t="s">
        <v>55</v>
      </c>
      <c r="T120">
        <v>10.4</v>
      </c>
      <c r="U120">
        <v>47.24</v>
      </c>
      <c r="V120" t="b">
        <v>1</v>
      </c>
      <c r="W120" t="s">
        <v>41</v>
      </c>
    </row>
    <row r="121" spans="1:23" x14ac:dyDescent="0.25">
      <c r="A121" t="s">
        <v>74</v>
      </c>
      <c r="B121" t="s">
        <v>70</v>
      </c>
      <c r="C121">
        <v>93.81</v>
      </c>
      <c r="D121">
        <v>760</v>
      </c>
      <c r="E121" t="b">
        <v>0</v>
      </c>
      <c r="F121" t="b">
        <v>1</v>
      </c>
      <c r="G121" t="b">
        <v>0</v>
      </c>
      <c r="H121" t="s">
        <v>43</v>
      </c>
      <c r="I121" t="s">
        <v>35</v>
      </c>
      <c r="J121" t="s">
        <v>36</v>
      </c>
      <c r="K121" t="s">
        <v>28</v>
      </c>
      <c r="L121" t="s">
        <v>29</v>
      </c>
      <c r="M121" t="s">
        <v>28</v>
      </c>
      <c r="N121" t="s">
        <v>28</v>
      </c>
      <c r="O121" t="b">
        <v>1</v>
      </c>
      <c r="P121" t="b">
        <v>1</v>
      </c>
      <c r="Q121">
        <v>10</v>
      </c>
      <c r="R121" t="b">
        <v>0</v>
      </c>
      <c r="T121">
        <v>0</v>
      </c>
      <c r="U121">
        <v>100</v>
      </c>
      <c r="V121" t="b">
        <v>1</v>
      </c>
      <c r="W121" t="s">
        <v>58</v>
      </c>
    </row>
    <row r="122" spans="1:23" x14ac:dyDescent="0.25">
      <c r="A122" t="s">
        <v>32</v>
      </c>
      <c r="B122" t="s">
        <v>62</v>
      </c>
      <c r="C122">
        <v>70.67</v>
      </c>
      <c r="D122">
        <v>566</v>
      </c>
      <c r="E122" t="b">
        <v>1</v>
      </c>
      <c r="F122" t="b">
        <v>1</v>
      </c>
      <c r="G122" t="b">
        <v>1</v>
      </c>
      <c r="H122" t="s">
        <v>53</v>
      </c>
      <c r="I122" t="s">
        <v>44</v>
      </c>
      <c r="J122" t="s">
        <v>36</v>
      </c>
      <c r="K122" t="s">
        <v>28</v>
      </c>
      <c r="L122" t="s">
        <v>51</v>
      </c>
      <c r="M122" t="s">
        <v>39</v>
      </c>
      <c r="N122" t="s">
        <v>46</v>
      </c>
      <c r="O122" t="b">
        <v>1</v>
      </c>
      <c r="P122" t="b">
        <v>0</v>
      </c>
      <c r="Q122">
        <v>8.4</v>
      </c>
      <c r="R122" t="b">
        <v>1</v>
      </c>
      <c r="S122" t="s">
        <v>48</v>
      </c>
      <c r="T122">
        <v>23.1</v>
      </c>
      <c r="U122">
        <v>83.72</v>
      </c>
      <c r="V122" t="b">
        <v>1</v>
      </c>
      <c r="W122" t="s">
        <v>31</v>
      </c>
    </row>
    <row r="123" spans="1:23" x14ac:dyDescent="0.25">
      <c r="A123" t="s">
        <v>56</v>
      </c>
      <c r="B123" t="s">
        <v>33</v>
      </c>
      <c r="C123">
        <v>82.39</v>
      </c>
      <c r="D123">
        <v>62</v>
      </c>
      <c r="E123" t="b">
        <v>1</v>
      </c>
      <c r="F123" t="b">
        <v>0</v>
      </c>
      <c r="G123" t="b">
        <v>0</v>
      </c>
      <c r="H123" t="s">
        <v>34</v>
      </c>
      <c r="I123" t="s">
        <v>63</v>
      </c>
      <c r="J123" t="s">
        <v>45</v>
      </c>
      <c r="K123" t="s">
        <v>28</v>
      </c>
      <c r="L123" t="s">
        <v>29</v>
      </c>
      <c r="M123" t="s">
        <v>47</v>
      </c>
      <c r="O123" t="b">
        <v>0</v>
      </c>
      <c r="P123" t="b">
        <v>0</v>
      </c>
      <c r="Q123">
        <v>7.7</v>
      </c>
      <c r="R123" t="b">
        <v>1</v>
      </c>
      <c r="S123" t="s">
        <v>48</v>
      </c>
      <c r="T123">
        <v>34.1</v>
      </c>
      <c r="U123">
        <v>95.29</v>
      </c>
      <c r="V123" t="b">
        <v>1</v>
      </c>
      <c r="W123" t="s">
        <v>41</v>
      </c>
    </row>
    <row r="124" spans="1:23" x14ac:dyDescent="0.25">
      <c r="A124" t="s">
        <v>32</v>
      </c>
      <c r="B124" t="s">
        <v>33</v>
      </c>
      <c r="C124">
        <v>75.22</v>
      </c>
      <c r="D124">
        <v>132</v>
      </c>
      <c r="E124" t="b">
        <v>1</v>
      </c>
      <c r="F124" t="b">
        <v>1</v>
      </c>
      <c r="G124" t="b">
        <v>1</v>
      </c>
      <c r="H124" t="s">
        <v>53</v>
      </c>
      <c r="I124" t="s">
        <v>35</v>
      </c>
      <c r="J124" t="s">
        <v>36</v>
      </c>
      <c r="K124" t="s">
        <v>46</v>
      </c>
      <c r="L124" t="s">
        <v>37</v>
      </c>
      <c r="M124" t="s">
        <v>47</v>
      </c>
      <c r="O124" t="b">
        <v>0</v>
      </c>
      <c r="P124" t="b">
        <v>1</v>
      </c>
      <c r="Q124">
        <v>6.1</v>
      </c>
      <c r="R124" t="b">
        <v>1</v>
      </c>
      <c r="S124" t="s">
        <v>55</v>
      </c>
      <c r="T124">
        <v>34.299999999999997</v>
      </c>
      <c r="U124">
        <v>87.09</v>
      </c>
      <c r="V124" t="b">
        <v>0</v>
      </c>
      <c r="W124" t="s">
        <v>41</v>
      </c>
    </row>
    <row r="125" spans="1:23" x14ac:dyDescent="0.25">
      <c r="A125" t="s">
        <v>68</v>
      </c>
      <c r="B125" t="s">
        <v>42</v>
      </c>
      <c r="C125">
        <v>76.5</v>
      </c>
      <c r="D125">
        <v>755</v>
      </c>
      <c r="E125" t="b">
        <v>1</v>
      </c>
      <c r="F125" t="b">
        <v>0</v>
      </c>
      <c r="G125" t="b">
        <v>1</v>
      </c>
      <c r="H125" t="s">
        <v>34</v>
      </c>
      <c r="I125" t="s">
        <v>44</v>
      </c>
      <c r="J125" t="s">
        <v>50</v>
      </c>
      <c r="K125" t="s">
        <v>46</v>
      </c>
      <c r="L125" t="s">
        <v>51</v>
      </c>
      <c r="M125" t="s">
        <v>47</v>
      </c>
      <c r="N125" t="s">
        <v>39</v>
      </c>
      <c r="P125" t="b">
        <v>0</v>
      </c>
      <c r="Q125">
        <v>7.8</v>
      </c>
      <c r="R125" t="b">
        <v>0</v>
      </c>
      <c r="T125">
        <v>0</v>
      </c>
      <c r="U125">
        <v>69.89</v>
      </c>
      <c r="V125" t="b">
        <v>1</v>
      </c>
      <c r="W125" t="s">
        <v>31</v>
      </c>
    </row>
    <row r="126" spans="1:23" x14ac:dyDescent="0.25">
      <c r="A126" t="s">
        <v>56</v>
      </c>
      <c r="B126" t="s">
        <v>71</v>
      </c>
      <c r="C126">
        <v>58.06</v>
      </c>
      <c r="D126">
        <v>532</v>
      </c>
      <c r="E126" t="b">
        <v>1</v>
      </c>
      <c r="F126" t="b">
        <v>0</v>
      </c>
      <c r="G126" t="b">
        <v>0</v>
      </c>
      <c r="H126" t="s">
        <v>43</v>
      </c>
      <c r="I126" t="s">
        <v>63</v>
      </c>
      <c r="J126" t="s">
        <v>50</v>
      </c>
      <c r="K126" t="s">
        <v>37</v>
      </c>
      <c r="L126" t="s">
        <v>37</v>
      </c>
      <c r="M126" t="s">
        <v>46</v>
      </c>
      <c r="O126" t="b">
        <v>0</v>
      </c>
      <c r="P126" t="b">
        <v>1</v>
      </c>
      <c r="Q126">
        <v>5.4</v>
      </c>
      <c r="R126" t="b">
        <v>1</v>
      </c>
      <c r="S126" t="s">
        <v>65</v>
      </c>
      <c r="T126">
        <v>2.2999999999999998</v>
      </c>
      <c r="U126">
        <v>62.24</v>
      </c>
      <c r="V126" t="b">
        <v>1</v>
      </c>
      <c r="W126" t="s">
        <v>41</v>
      </c>
    </row>
    <row r="127" spans="1:23" x14ac:dyDescent="0.25">
      <c r="A127" t="s">
        <v>61</v>
      </c>
      <c r="B127" t="s">
        <v>76</v>
      </c>
      <c r="C127">
        <v>85.31</v>
      </c>
      <c r="D127">
        <v>481</v>
      </c>
      <c r="E127" t="b">
        <v>1</v>
      </c>
      <c r="F127" t="b">
        <v>0</v>
      </c>
      <c r="G127" t="b">
        <v>1</v>
      </c>
      <c r="H127" t="s">
        <v>34</v>
      </c>
      <c r="I127" t="s">
        <v>63</v>
      </c>
      <c r="J127" t="s">
        <v>45</v>
      </c>
      <c r="K127" t="s">
        <v>39</v>
      </c>
      <c r="L127" t="s">
        <v>37</v>
      </c>
      <c r="M127" t="s">
        <v>39</v>
      </c>
      <c r="N127" t="s">
        <v>28</v>
      </c>
      <c r="P127" t="b">
        <v>0</v>
      </c>
      <c r="Q127">
        <v>8.8000000000000007</v>
      </c>
      <c r="R127" t="b">
        <v>1</v>
      </c>
      <c r="S127" t="s">
        <v>75</v>
      </c>
      <c r="T127">
        <v>39.200000000000003</v>
      </c>
      <c r="U127">
        <v>92.09</v>
      </c>
      <c r="V127" t="b">
        <v>1</v>
      </c>
      <c r="W127" t="s">
        <v>31</v>
      </c>
    </row>
    <row r="128" spans="1:23" x14ac:dyDescent="0.25">
      <c r="A128" t="s">
        <v>74</v>
      </c>
      <c r="B128" t="s">
        <v>49</v>
      </c>
      <c r="C128">
        <v>72.650000000000006</v>
      </c>
      <c r="D128">
        <v>92</v>
      </c>
      <c r="E128" t="b">
        <v>0</v>
      </c>
      <c r="F128" t="b">
        <v>0</v>
      </c>
      <c r="G128" t="b">
        <v>0</v>
      </c>
      <c r="H128" t="s">
        <v>53</v>
      </c>
      <c r="I128" t="s">
        <v>26</v>
      </c>
      <c r="J128" t="s">
        <v>50</v>
      </c>
      <c r="K128" t="s">
        <v>28</v>
      </c>
      <c r="L128" t="s">
        <v>37</v>
      </c>
      <c r="M128" t="s">
        <v>39</v>
      </c>
      <c r="N128" t="s">
        <v>46</v>
      </c>
      <c r="O128" t="b">
        <v>1</v>
      </c>
      <c r="P128" t="b">
        <v>0</v>
      </c>
      <c r="Q128">
        <v>8.6</v>
      </c>
      <c r="R128" t="b">
        <v>1</v>
      </c>
      <c r="S128" t="s">
        <v>65</v>
      </c>
      <c r="T128">
        <v>44.4</v>
      </c>
      <c r="U128">
        <v>81.650000000000006</v>
      </c>
      <c r="V128" t="b">
        <v>1</v>
      </c>
      <c r="W128" t="s">
        <v>31</v>
      </c>
    </row>
    <row r="129" spans="1:23" x14ac:dyDescent="0.25">
      <c r="A129" t="s">
        <v>74</v>
      </c>
      <c r="B129" t="s">
        <v>66</v>
      </c>
      <c r="C129">
        <v>77.8</v>
      </c>
      <c r="D129">
        <v>762</v>
      </c>
      <c r="E129" t="b">
        <v>1</v>
      </c>
      <c r="F129" t="b">
        <v>1</v>
      </c>
      <c r="G129" t="b">
        <v>0</v>
      </c>
      <c r="H129" t="s">
        <v>43</v>
      </c>
      <c r="I129" t="s">
        <v>57</v>
      </c>
      <c r="J129" t="s">
        <v>27</v>
      </c>
      <c r="K129" t="s">
        <v>37</v>
      </c>
      <c r="L129" t="s">
        <v>37</v>
      </c>
      <c r="M129" t="s">
        <v>28</v>
      </c>
      <c r="N129" t="s">
        <v>39</v>
      </c>
      <c r="P129" t="b">
        <v>1</v>
      </c>
      <c r="Q129">
        <v>8.8000000000000007</v>
      </c>
      <c r="R129" t="b">
        <v>1</v>
      </c>
      <c r="S129" t="s">
        <v>52</v>
      </c>
      <c r="T129">
        <v>43.1</v>
      </c>
      <c r="U129">
        <v>80.59</v>
      </c>
      <c r="V129" t="b">
        <v>1</v>
      </c>
      <c r="W129" t="s">
        <v>31</v>
      </c>
    </row>
    <row r="130" spans="1:23" x14ac:dyDescent="0.25">
      <c r="A130" t="s">
        <v>32</v>
      </c>
      <c r="B130" t="s">
        <v>66</v>
      </c>
      <c r="C130">
        <v>61.88</v>
      </c>
      <c r="D130">
        <v>673</v>
      </c>
      <c r="E130" t="b">
        <v>0</v>
      </c>
      <c r="F130" t="b">
        <v>1</v>
      </c>
      <c r="G130" t="b">
        <v>1</v>
      </c>
      <c r="H130" t="s">
        <v>34</v>
      </c>
      <c r="I130" t="s">
        <v>44</v>
      </c>
      <c r="J130" t="s">
        <v>36</v>
      </c>
      <c r="K130" t="s">
        <v>46</v>
      </c>
      <c r="L130" t="s">
        <v>51</v>
      </c>
      <c r="M130" t="s">
        <v>46</v>
      </c>
      <c r="N130" t="s">
        <v>46</v>
      </c>
      <c r="O130" t="b">
        <v>1</v>
      </c>
      <c r="P130" t="b">
        <v>1</v>
      </c>
      <c r="Q130">
        <v>8.5</v>
      </c>
      <c r="R130" t="b">
        <v>1</v>
      </c>
      <c r="S130" t="s">
        <v>55</v>
      </c>
      <c r="T130">
        <v>35.200000000000003</v>
      </c>
      <c r="U130">
        <v>41.11</v>
      </c>
      <c r="V130" t="b">
        <v>0</v>
      </c>
      <c r="W130" t="s">
        <v>31</v>
      </c>
    </row>
    <row r="131" spans="1:23" x14ac:dyDescent="0.25">
      <c r="A131" t="s">
        <v>74</v>
      </c>
      <c r="B131" t="s">
        <v>70</v>
      </c>
      <c r="C131">
        <v>74.22</v>
      </c>
      <c r="D131">
        <v>259</v>
      </c>
      <c r="E131" t="b">
        <v>1</v>
      </c>
      <c r="F131" t="b">
        <v>0</v>
      </c>
      <c r="G131" t="b">
        <v>1</v>
      </c>
      <c r="H131" t="s">
        <v>43</v>
      </c>
      <c r="I131" t="s">
        <v>26</v>
      </c>
      <c r="J131" t="s">
        <v>54</v>
      </c>
      <c r="K131" t="s">
        <v>28</v>
      </c>
      <c r="L131" t="s">
        <v>38</v>
      </c>
      <c r="M131" t="s">
        <v>39</v>
      </c>
      <c r="N131" t="s">
        <v>28</v>
      </c>
      <c r="O131" t="b">
        <v>1</v>
      </c>
      <c r="P131" t="b">
        <v>1</v>
      </c>
      <c r="Q131">
        <v>9.9</v>
      </c>
      <c r="R131" t="b">
        <v>1</v>
      </c>
      <c r="S131" t="s">
        <v>65</v>
      </c>
      <c r="T131">
        <v>16.7</v>
      </c>
      <c r="U131">
        <v>77.62</v>
      </c>
      <c r="V131" t="b">
        <v>0</v>
      </c>
      <c r="W131" t="s">
        <v>31</v>
      </c>
    </row>
    <row r="132" spans="1:23" x14ac:dyDescent="0.25">
      <c r="A132" t="s">
        <v>68</v>
      </c>
      <c r="B132" t="s">
        <v>24</v>
      </c>
      <c r="C132">
        <v>87.35</v>
      </c>
      <c r="D132">
        <v>429</v>
      </c>
      <c r="E132" t="b">
        <v>1</v>
      </c>
      <c r="F132" t="b">
        <v>0</v>
      </c>
      <c r="G132" t="b">
        <v>0</v>
      </c>
      <c r="H132" t="s">
        <v>34</v>
      </c>
      <c r="I132" t="s">
        <v>67</v>
      </c>
      <c r="J132" t="s">
        <v>36</v>
      </c>
      <c r="K132" t="s">
        <v>37</v>
      </c>
      <c r="L132" t="s">
        <v>38</v>
      </c>
      <c r="M132" t="s">
        <v>28</v>
      </c>
      <c r="N132" t="s">
        <v>46</v>
      </c>
      <c r="P132" t="b">
        <v>0</v>
      </c>
      <c r="Q132">
        <v>10</v>
      </c>
      <c r="R132" t="b">
        <v>1</v>
      </c>
      <c r="S132" t="s">
        <v>64</v>
      </c>
      <c r="T132">
        <v>2.6</v>
      </c>
      <c r="U132">
        <v>79.13</v>
      </c>
      <c r="V132" t="b">
        <v>0</v>
      </c>
      <c r="W132" t="s">
        <v>31</v>
      </c>
    </row>
    <row r="133" spans="1:23" x14ac:dyDescent="0.25">
      <c r="A133" t="s">
        <v>32</v>
      </c>
      <c r="B133" t="s">
        <v>70</v>
      </c>
      <c r="C133">
        <v>76.959999999999994</v>
      </c>
      <c r="D133">
        <v>321</v>
      </c>
      <c r="E133" t="b">
        <v>1</v>
      </c>
      <c r="F133" t="b">
        <v>0</v>
      </c>
      <c r="G133" t="b">
        <v>0</v>
      </c>
      <c r="H133" t="s">
        <v>43</v>
      </c>
      <c r="I133" t="s">
        <v>57</v>
      </c>
      <c r="J133" t="s">
        <v>45</v>
      </c>
      <c r="K133" t="s">
        <v>39</v>
      </c>
      <c r="L133" t="s">
        <v>29</v>
      </c>
      <c r="M133" t="s">
        <v>39</v>
      </c>
      <c r="P133" t="b">
        <v>0</v>
      </c>
      <c r="Q133">
        <v>8.3000000000000007</v>
      </c>
      <c r="R133" t="b">
        <v>1</v>
      </c>
      <c r="S133" t="s">
        <v>40</v>
      </c>
      <c r="T133">
        <v>45</v>
      </c>
      <c r="U133">
        <v>91.3</v>
      </c>
      <c r="V133" t="b">
        <v>1</v>
      </c>
      <c r="W133" t="s">
        <v>31</v>
      </c>
    </row>
    <row r="134" spans="1:23" x14ac:dyDescent="0.25">
      <c r="A134" t="s">
        <v>32</v>
      </c>
      <c r="B134" t="s">
        <v>71</v>
      </c>
      <c r="C134">
        <v>54.88</v>
      </c>
      <c r="D134">
        <v>209</v>
      </c>
      <c r="E134" t="b">
        <v>0</v>
      </c>
      <c r="F134" t="b">
        <v>1</v>
      </c>
      <c r="G134" t="b">
        <v>1</v>
      </c>
      <c r="H134" t="s">
        <v>43</v>
      </c>
      <c r="I134" t="s">
        <v>57</v>
      </c>
      <c r="J134" t="s">
        <v>36</v>
      </c>
      <c r="K134" t="s">
        <v>39</v>
      </c>
      <c r="L134" t="s">
        <v>69</v>
      </c>
      <c r="M134" t="s">
        <v>46</v>
      </c>
      <c r="N134" t="s">
        <v>28</v>
      </c>
      <c r="P134" t="b">
        <v>0</v>
      </c>
      <c r="Q134">
        <v>5.7</v>
      </c>
      <c r="R134" t="b">
        <v>1</v>
      </c>
      <c r="S134" t="s">
        <v>65</v>
      </c>
      <c r="T134">
        <v>44.8</v>
      </c>
      <c r="U134">
        <v>59.57</v>
      </c>
      <c r="V134" t="b">
        <v>1</v>
      </c>
      <c r="W134" t="s">
        <v>41</v>
      </c>
    </row>
    <row r="135" spans="1:23" x14ac:dyDescent="0.25">
      <c r="A135" t="s">
        <v>61</v>
      </c>
      <c r="B135" t="s">
        <v>24</v>
      </c>
      <c r="C135">
        <v>91.13</v>
      </c>
      <c r="D135">
        <v>574</v>
      </c>
      <c r="E135" t="b">
        <v>0</v>
      </c>
      <c r="F135" t="b">
        <v>0</v>
      </c>
      <c r="G135" t="b">
        <v>1</v>
      </c>
      <c r="H135" t="s">
        <v>25</v>
      </c>
      <c r="I135" t="s">
        <v>57</v>
      </c>
      <c r="J135" t="s">
        <v>45</v>
      </c>
      <c r="K135" t="s">
        <v>28</v>
      </c>
      <c r="L135" t="s">
        <v>38</v>
      </c>
      <c r="M135" t="s">
        <v>39</v>
      </c>
      <c r="N135" t="s">
        <v>46</v>
      </c>
      <c r="P135" t="b">
        <v>0</v>
      </c>
      <c r="Q135">
        <v>10</v>
      </c>
      <c r="R135" t="b">
        <v>1</v>
      </c>
      <c r="S135" t="s">
        <v>52</v>
      </c>
      <c r="T135">
        <v>40.4</v>
      </c>
      <c r="U135">
        <v>88.94</v>
      </c>
      <c r="V135" t="b">
        <v>1</v>
      </c>
      <c r="W135" t="s">
        <v>31</v>
      </c>
    </row>
    <row r="136" spans="1:23" x14ac:dyDescent="0.25">
      <c r="A136" t="s">
        <v>56</v>
      </c>
      <c r="B136" t="s">
        <v>49</v>
      </c>
      <c r="C136">
        <v>70.260000000000005</v>
      </c>
      <c r="D136">
        <v>385</v>
      </c>
      <c r="E136" t="b">
        <v>1</v>
      </c>
      <c r="F136" t="b">
        <v>1</v>
      </c>
      <c r="G136" t="b">
        <v>1</v>
      </c>
      <c r="H136" t="s">
        <v>53</v>
      </c>
      <c r="I136" t="s">
        <v>44</v>
      </c>
      <c r="J136" t="s">
        <v>36</v>
      </c>
      <c r="K136" t="s">
        <v>39</v>
      </c>
      <c r="L136" t="s">
        <v>51</v>
      </c>
      <c r="M136" t="s">
        <v>39</v>
      </c>
      <c r="N136" t="s">
        <v>28</v>
      </c>
      <c r="O136" t="b">
        <v>0</v>
      </c>
      <c r="P136" t="b">
        <v>0</v>
      </c>
      <c r="Q136">
        <v>6.8</v>
      </c>
      <c r="R136" t="b">
        <v>1</v>
      </c>
      <c r="S136" t="s">
        <v>48</v>
      </c>
      <c r="T136">
        <v>7.9</v>
      </c>
      <c r="U136">
        <v>80.02</v>
      </c>
      <c r="V136" t="b">
        <v>1</v>
      </c>
      <c r="W136" t="s">
        <v>41</v>
      </c>
    </row>
    <row r="137" spans="1:23" x14ac:dyDescent="0.25">
      <c r="A137" t="s">
        <v>68</v>
      </c>
      <c r="B137" t="s">
        <v>73</v>
      </c>
      <c r="C137">
        <v>52.04</v>
      </c>
      <c r="D137">
        <v>337</v>
      </c>
      <c r="E137" t="b">
        <v>1</v>
      </c>
      <c r="F137" t="b">
        <v>0</v>
      </c>
      <c r="G137" t="b">
        <v>0</v>
      </c>
      <c r="H137" t="s">
        <v>25</v>
      </c>
      <c r="I137" t="s">
        <v>67</v>
      </c>
      <c r="J137" t="s">
        <v>54</v>
      </c>
      <c r="K137" t="s">
        <v>39</v>
      </c>
      <c r="L137" t="s">
        <v>69</v>
      </c>
      <c r="M137" t="s">
        <v>47</v>
      </c>
      <c r="N137" t="s">
        <v>39</v>
      </c>
      <c r="P137" t="b">
        <v>0</v>
      </c>
      <c r="Q137">
        <v>6</v>
      </c>
      <c r="R137" t="b">
        <v>1</v>
      </c>
      <c r="S137" t="s">
        <v>52</v>
      </c>
      <c r="T137">
        <v>13.6</v>
      </c>
      <c r="U137">
        <v>45.32</v>
      </c>
      <c r="V137" t="b">
        <v>1</v>
      </c>
      <c r="W137" t="s">
        <v>41</v>
      </c>
    </row>
    <row r="138" spans="1:23" x14ac:dyDescent="0.25">
      <c r="A138" t="s">
        <v>74</v>
      </c>
      <c r="B138" t="s">
        <v>62</v>
      </c>
      <c r="C138">
        <v>73.61</v>
      </c>
      <c r="D138">
        <v>580</v>
      </c>
      <c r="E138" t="b">
        <v>1</v>
      </c>
      <c r="F138" t="b">
        <v>1</v>
      </c>
      <c r="G138" t="b">
        <v>1</v>
      </c>
      <c r="H138" t="s">
        <v>53</v>
      </c>
      <c r="I138" t="s">
        <v>63</v>
      </c>
      <c r="J138" t="s">
        <v>45</v>
      </c>
      <c r="K138" t="s">
        <v>39</v>
      </c>
      <c r="L138" t="s">
        <v>29</v>
      </c>
      <c r="M138" t="s">
        <v>39</v>
      </c>
      <c r="N138" t="s">
        <v>28</v>
      </c>
      <c r="P138" t="b">
        <v>1</v>
      </c>
      <c r="Q138">
        <v>7</v>
      </c>
      <c r="R138" t="b">
        <v>1</v>
      </c>
      <c r="S138" t="s">
        <v>55</v>
      </c>
      <c r="T138">
        <v>38.1</v>
      </c>
      <c r="U138">
        <v>87.82</v>
      </c>
      <c r="V138" t="b">
        <v>1</v>
      </c>
      <c r="W138" t="s">
        <v>41</v>
      </c>
    </row>
    <row r="139" spans="1:23" x14ac:dyDescent="0.25">
      <c r="A139" t="s">
        <v>32</v>
      </c>
      <c r="B139" t="s">
        <v>76</v>
      </c>
      <c r="C139">
        <v>85.7</v>
      </c>
      <c r="D139">
        <v>383</v>
      </c>
      <c r="E139" t="b">
        <v>1</v>
      </c>
      <c r="F139" t="b">
        <v>1</v>
      </c>
      <c r="G139" t="b">
        <v>0</v>
      </c>
      <c r="H139" t="s">
        <v>43</v>
      </c>
      <c r="I139" t="s">
        <v>57</v>
      </c>
      <c r="J139" t="s">
        <v>54</v>
      </c>
      <c r="K139" t="s">
        <v>46</v>
      </c>
      <c r="L139" t="s">
        <v>37</v>
      </c>
      <c r="M139" t="s">
        <v>39</v>
      </c>
      <c r="N139" t="s">
        <v>46</v>
      </c>
      <c r="O139" t="b">
        <v>0</v>
      </c>
      <c r="P139" t="b">
        <v>0</v>
      </c>
      <c r="Q139">
        <v>8</v>
      </c>
      <c r="R139" t="b">
        <v>0</v>
      </c>
      <c r="T139">
        <v>0</v>
      </c>
      <c r="U139">
        <v>90.57</v>
      </c>
      <c r="V139" t="b">
        <v>1</v>
      </c>
      <c r="W139" t="s">
        <v>58</v>
      </c>
    </row>
    <row r="140" spans="1:23" x14ac:dyDescent="0.25">
      <c r="A140" t="s">
        <v>68</v>
      </c>
      <c r="B140" t="s">
        <v>60</v>
      </c>
      <c r="C140">
        <v>53.61</v>
      </c>
      <c r="D140">
        <v>761</v>
      </c>
      <c r="E140" t="b">
        <v>0</v>
      </c>
      <c r="F140" t="b">
        <v>0</v>
      </c>
      <c r="G140" t="b">
        <v>0</v>
      </c>
      <c r="H140" t="s">
        <v>43</v>
      </c>
      <c r="I140" t="s">
        <v>44</v>
      </c>
      <c r="J140" t="s">
        <v>54</v>
      </c>
      <c r="K140" t="s">
        <v>39</v>
      </c>
      <c r="L140" t="s">
        <v>29</v>
      </c>
      <c r="M140" t="s">
        <v>28</v>
      </c>
      <c r="N140" t="s">
        <v>39</v>
      </c>
      <c r="P140" t="b">
        <v>1</v>
      </c>
      <c r="Q140">
        <v>5.9</v>
      </c>
      <c r="R140" t="b">
        <v>0</v>
      </c>
      <c r="T140">
        <v>0</v>
      </c>
      <c r="U140">
        <v>64.58</v>
      </c>
      <c r="V140" t="b">
        <v>1</v>
      </c>
      <c r="W140" t="s">
        <v>41</v>
      </c>
    </row>
    <row r="141" spans="1:23" x14ac:dyDescent="0.25">
      <c r="A141" t="s">
        <v>68</v>
      </c>
      <c r="B141" t="s">
        <v>66</v>
      </c>
      <c r="C141">
        <v>74.739999999999995</v>
      </c>
      <c r="D141">
        <v>365</v>
      </c>
      <c r="E141" t="b">
        <v>0</v>
      </c>
      <c r="F141" t="b">
        <v>0</v>
      </c>
      <c r="G141" t="b">
        <v>1</v>
      </c>
      <c r="H141" t="s">
        <v>53</v>
      </c>
      <c r="I141" t="s">
        <v>63</v>
      </c>
      <c r="J141" t="s">
        <v>54</v>
      </c>
      <c r="K141" t="s">
        <v>37</v>
      </c>
      <c r="L141" t="s">
        <v>38</v>
      </c>
      <c r="M141" t="s">
        <v>47</v>
      </c>
      <c r="N141" t="s">
        <v>46</v>
      </c>
      <c r="O141" t="b">
        <v>1</v>
      </c>
      <c r="P141" t="b">
        <v>1</v>
      </c>
      <c r="Q141">
        <v>9.4</v>
      </c>
      <c r="R141" t="b">
        <v>1</v>
      </c>
      <c r="S141" t="s">
        <v>40</v>
      </c>
      <c r="T141">
        <v>28</v>
      </c>
      <c r="U141">
        <v>65.099999999999994</v>
      </c>
      <c r="V141" t="b">
        <v>0</v>
      </c>
      <c r="W141" t="s">
        <v>31</v>
      </c>
    </row>
    <row r="142" spans="1:23" x14ac:dyDescent="0.25">
      <c r="A142" t="s">
        <v>74</v>
      </c>
      <c r="B142" t="s">
        <v>33</v>
      </c>
      <c r="C142">
        <v>84.23</v>
      </c>
      <c r="D142">
        <v>512</v>
      </c>
      <c r="E142" t="b">
        <v>1</v>
      </c>
      <c r="F142" t="b">
        <v>1</v>
      </c>
      <c r="G142" t="b">
        <v>0</v>
      </c>
      <c r="H142" t="s">
        <v>43</v>
      </c>
      <c r="I142" t="s">
        <v>26</v>
      </c>
      <c r="J142" t="s">
        <v>50</v>
      </c>
      <c r="K142" t="s">
        <v>46</v>
      </c>
      <c r="L142" t="s">
        <v>51</v>
      </c>
      <c r="M142" t="s">
        <v>28</v>
      </c>
      <c r="N142" t="s">
        <v>46</v>
      </c>
      <c r="O142" t="b">
        <v>1</v>
      </c>
      <c r="P142" t="b">
        <v>0</v>
      </c>
      <c r="Q142">
        <v>10</v>
      </c>
      <c r="R142" t="b">
        <v>1</v>
      </c>
      <c r="S142" t="s">
        <v>48</v>
      </c>
      <c r="T142">
        <v>16.899999999999999</v>
      </c>
      <c r="U142">
        <v>80.709999999999994</v>
      </c>
      <c r="V142" t="b">
        <v>1</v>
      </c>
      <c r="W142" t="s">
        <v>31</v>
      </c>
    </row>
    <row r="143" spans="1:23" x14ac:dyDescent="0.25">
      <c r="A143" t="s">
        <v>74</v>
      </c>
      <c r="B143" t="s">
        <v>66</v>
      </c>
      <c r="C143">
        <v>58.22</v>
      </c>
      <c r="D143">
        <v>544</v>
      </c>
      <c r="E143" t="b">
        <v>1</v>
      </c>
      <c r="F143" t="b">
        <v>0</v>
      </c>
      <c r="G143" t="b">
        <v>1</v>
      </c>
      <c r="H143" t="s">
        <v>34</v>
      </c>
      <c r="I143" t="s">
        <v>57</v>
      </c>
      <c r="J143" t="s">
        <v>50</v>
      </c>
      <c r="K143" t="s">
        <v>46</v>
      </c>
      <c r="L143" t="s">
        <v>37</v>
      </c>
      <c r="M143" t="s">
        <v>39</v>
      </c>
      <c r="O143" t="b">
        <v>0</v>
      </c>
      <c r="P143" t="b">
        <v>0</v>
      </c>
      <c r="Q143">
        <v>5.3</v>
      </c>
      <c r="R143" t="b">
        <v>1</v>
      </c>
      <c r="S143" t="s">
        <v>75</v>
      </c>
      <c r="T143">
        <v>40.799999999999997</v>
      </c>
      <c r="U143">
        <v>41.87</v>
      </c>
      <c r="V143" t="b">
        <v>1</v>
      </c>
      <c r="W143" t="s">
        <v>41</v>
      </c>
    </row>
    <row r="144" spans="1:23" x14ac:dyDescent="0.25">
      <c r="A144" t="s">
        <v>32</v>
      </c>
      <c r="B144" t="s">
        <v>33</v>
      </c>
      <c r="C144">
        <v>84.3</v>
      </c>
      <c r="D144">
        <v>207</v>
      </c>
      <c r="E144" t="b">
        <v>0</v>
      </c>
      <c r="F144" t="b">
        <v>1</v>
      </c>
      <c r="G144" t="b">
        <v>1</v>
      </c>
      <c r="H144" t="s">
        <v>53</v>
      </c>
      <c r="I144" t="s">
        <v>57</v>
      </c>
      <c r="J144" t="s">
        <v>54</v>
      </c>
      <c r="K144" t="s">
        <v>37</v>
      </c>
      <c r="L144" t="s">
        <v>37</v>
      </c>
      <c r="M144" t="s">
        <v>47</v>
      </c>
      <c r="N144" t="s">
        <v>28</v>
      </c>
      <c r="O144" t="b">
        <v>1</v>
      </c>
      <c r="P144" t="b">
        <v>0</v>
      </c>
      <c r="Q144">
        <v>7.8</v>
      </c>
      <c r="R144" t="b">
        <v>1</v>
      </c>
      <c r="S144" t="s">
        <v>30</v>
      </c>
      <c r="T144">
        <v>3.1</v>
      </c>
      <c r="U144">
        <v>96.97</v>
      </c>
      <c r="V144" t="b">
        <v>1</v>
      </c>
      <c r="W144" t="s">
        <v>41</v>
      </c>
    </row>
    <row r="145" spans="1:23" x14ac:dyDescent="0.25">
      <c r="A145" t="s">
        <v>68</v>
      </c>
      <c r="B145" t="s">
        <v>76</v>
      </c>
      <c r="C145">
        <v>73.61</v>
      </c>
      <c r="D145">
        <v>739</v>
      </c>
      <c r="E145" t="b">
        <v>1</v>
      </c>
      <c r="F145" t="b">
        <v>1</v>
      </c>
      <c r="G145" t="b">
        <v>0</v>
      </c>
      <c r="H145" t="s">
        <v>34</v>
      </c>
      <c r="I145" t="s">
        <v>63</v>
      </c>
      <c r="J145" t="s">
        <v>36</v>
      </c>
      <c r="K145" t="s">
        <v>37</v>
      </c>
      <c r="L145" t="s">
        <v>38</v>
      </c>
      <c r="M145" t="s">
        <v>47</v>
      </c>
      <c r="O145" t="b">
        <v>0</v>
      </c>
      <c r="P145" t="b">
        <v>1</v>
      </c>
      <c r="Q145">
        <v>7.1</v>
      </c>
      <c r="R145" t="b">
        <v>1</v>
      </c>
      <c r="S145" t="s">
        <v>40</v>
      </c>
      <c r="T145">
        <v>6.1</v>
      </c>
      <c r="U145">
        <v>73.239999999999995</v>
      </c>
      <c r="V145" t="b">
        <v>1</v>
      </c>
      <c r="W145" t="s">
        <v>41</v>
      </c>
    </row>
    <row r="146" spans="1:23" x14ac:dyDescent="0.25">
      <c r="A146" t="s">
        <v>61</v>
      </c>
      <c r="B146" t="s">
        <v>24</v>
      </c>
      <c r="C146">
        <v>97.58</v>
      </c>
      <c r="D146">
        <v>420</v>
      </c>
      <c r="E146" t="b">
        <v>1</v>
      </c>
      <c r="F146" t="b">
        <v>1</v>
      </c>
      <c r="G146" t="b">
        <v>0</v>
      </c>
      <c r="H146" t="s">
        <v>43</v>
      </c>
      <c r="I146" t="s">
        <v>26</v>
      </c>
      <c r="J146" t="s">
        <v>36</v>
      </c>
      <c r="K146" t="s">
        <v>46</v>
      </c>
      <c r="L146" t="s">
        <v>29</v>
      </c>
      <c r="M146" t="s">
        <v>47</v>
      </c>
      <c r="N146" t="s">
        <v>28</v>
      </c>
      <c r="O146" t="b">
        <v>1</v>
      </c>
      <c r="P146" t="b">
        <v>1</v>
      </c>
      <c r="Q146">
        <v>10</v>
      </c>
      <c r="R146" t="b">
        <v>0</v>
      </c>
      <c r="T146">
        <v>0</v>
      </c>
      <c r="U146">
        <v>94.03</v>
      </c>
      <c r="V146" t="b">
        <v>1</v>
      </c>
      <c r="W146" t="s">
        <v>58</v>
      </c>
    </row>
    <row r="147" spans="1:23" x14ac:dyDescent="0.25">
      <c r="A147" t="s">
        <v>68</v>
      </c>
      <c r="B147" t="s">
        <v>42</v>
      </c>
      <c r="C147">
        <v>81.36</v>
      </c>
      <c r="D147">
        <v>64</v>
      </c>
      <c r="E147" t="b">
        <v>1</v>
      </c>
      <c r="F147" t="b">
        <v>0</v>
      </c>
      <c r="G147" t="b">
        <v>1</v>
      </c>
      <c r="H147" t="s">
        <v>25</v>
      </c>
      <c r="I147" t="s">
        <v>57</v>
      </c>
      <c r="J147" t="s">
        <v>45</v>
      </c>
      <c r="K147" t="s">
        <v>46</v>
      </c>
      <c r="L147" t="s">
        <v>51</v>
      </c>
      <c r="M147" t="s">
        <v>46</v>
      </c>
      <c r="O147" t="b">
        <v>0</v>
      </c>
      <c r="P147" t="b">
        <v>1</v>
      </c>
      <c r="Q147">
        <v>8.6999999999999993</v>
      </c>
      <c r="R147" t="b">
        <v>0</v>
      </c>
      <c r="T147">
        <v>0</v>
      </c>
      <c r="U147">
        <v>78.41</v>
      </c>
      <c r="V147" t="b">
        <v>1</v>
      </c>
      <c r="W147" t="s">
        <v>58</v>
      </c>
    </row>
    <row r="148" spans="1:23" x14ac:dyDescent="0.25">
      <c r="A148" t="s">
        <v>56</v>
      </c>
      <c r="B148" t="s">
        <v>24</v>
      </c>
      <c r="C148">
        <v>92.45</v>
      </c>
      <c r="D148">
        <v>519</v>
      </c>
      <c r="E148" t="b">
        <v>1</v>
      </c>
      <c r="F148" t="b">
        <v>0</v>
      </c>
      <c r="G148" t="b">
        <v>0</v>
      </c>
      <c r="H148" t="s">
        <v>53</v>
      </c>
      <c r="I148" t="s">
        <v>57</v>
      </c>
      <c r="J148" t="s">
        <v>54</v>
      </c>
      <c r="K148" t="s">
        <v>39</v>
      </c>
      <c r="L148" t="s">
        <v>51</v>
      </c>
      <c r="M148" t="s">
        <v>28</v>
      </c>
      <c r="N148" t="s">
        <v>39</v>
      </c>
      <c r="P148" t="b">
        <v>1</v>
      </c>
      <c r="Q148">
        <v>10</v>
      </c>
      <c r="R148" t="b">
        <v>0</v>
      </c>
      <c r="T148">
        <v>0</v>
      </c>
      <c r="U148">
        <v>79.89</v>
      </c>
      <c r="V148" t="b">
        <v>0</v>
      </c>
      <c r="W148" t="s">
        <v>58</v>
      </c>
    </row>
    <row r="149" spans="1:23" x14ac:dyDescent="0.25">
      <c r="A149" t="s">
        <v>56</v>
      </c>
      <c r="B149" t="s">
        <v>73</v>
      </c>
      <c r="C149">
        <v>57.5</v>
      </c>
      <c r="D149">
        <v>662</v>
      </c>
      <c r="E149" t="b">
        <v>0</v>
      </c>
      <c r="F149" t="b">
        <v>0</v>
      </c>
      <c r="G149" t="b">
        <v>0</v>
      </c>
      <c r="H149" t="s">
        <v>25</v>
      </c>
      <c r="I149" t="s">
        <v>44</v>
      </c>
      <c r="J149" t="s">
        <v>50</v>
      </c>
      <c r="K149" t="s">
        <v>37</v>
      </c>
      <c r="L149" t="s">
        <v>38</v>
      </c>
      <c r="M149" t="s">
        <v>28</v>
      </c>
      <c r="N149" t="s">
        <v>39</v>
      </c>
      <c r="O149" t="b">
        <v>1</v>
      </c>
      <c r="P149" t="b">
        <v>0</v>
      </c>
      <c r="Q149">
        <v>8</v>
      </c>
      <c r="R149" t="b">
        <v>1</v>
      </c>
      <c r="S149" t="s">
        <v>65</v>
      </c>
      <c r="T149">
        <v>31.3</v>
      </c>
      <c r="U149">
        <v>66.09</v>
      </c>
      <c r="V149" t="b">
        <v>1</v>
      </c>
      <c r="W149" t="s">
        <v>31</v>
      </c>
    </row>
    <row r="150" spans="1:23" x14ac:dyDescent="0.25">
      <c r="A150" t="s">
        <v>56</v>
      </c>
      <c r="B150" t="s">
        <v>76</v>
      </c>
      <c r="C150">
        <v>70.45</v>
      </c>
      <c r="D150">
        <v>797</v>
      </c>
      <c r="E150" t="b">
        <v>1</v>
      </c>
      <c r="F150" t="b">
        <v>0</v>
      </c>
      <c r="G150" t="b">
        <v>1</v>
      </c>
      <c r="H150" t="s">
        <v>25</v>
      </c>
      <c r="I150" t="s">
        <v>35</v>
      </c>
      <c r="J150" t="s">
        <v>45</v>
      </c>
      <c r="K150" t="s">
        <v>28</v>
      </c>
      <c r="L150" t="s">
        <v>69</v>
      </c>
      <c r="M150" t="s">
        <v>39</v>
      </c>
      <c r="O150" t="b">
        <v>1</v>
      </c>
      <c r="P150" t="b">
        <v>1</v>
      </c>
      <c r="Q150">
        <v>10</v>
      </c>
      <c r="R150" t="b">
        <v>1</v>
      </c>
      <c r="S150" t="s">
        <v>64</v>
      </c>
      <c r="T150">
        <v>16.600000000000001</v>
      </c>
      <c r="U150">
        <v>83.19</v>
      </c>
      <c r="V150" t="b">
        <v>1</v>
      </c>
      <c r="W150" t="s">
        <v>31</v>
      </c>
    </row>
    <row r="151" spans="1:23" x14ac:dyDescent="0.25">
      <c r="A151" t="s">
        <v>68</v>
      </c>
      <c r="B151" t="s">
        <v>24</v>
      </c>
      <c r="C151">
        <v>86.5</v>
      </c>
      <c r="D151">
        <v>263</v>
      </c>
      <c r="E151" t="b">
        <v>1</v>
      </c>
      <c r="F151" t="b">
        <v>1</v>
      </c>
      <c r="G151" t="b">
        <v>0</v>
      </c>
      <c r="H151" t="s">
        <v>53</v>
      </c>
      <c r="I151" t="s">
        <v>35</v>
      </c>
      <c r="J151" t="s">
        <v>45</v>
      </c>
      <c r="K151" t="s">
        <v>37</v>
      </c>
      <c r="L151" t="s">
        <v>38</v>
      </c>
      <c r="M151" t="s">
        <v>39</v>
      </c>
      <c r="N151" t="s">
        <v>39</v>
      </c>
      <c r="O151" t="b">
        <v>1</v>
      </c>
      <c r="P151" t="b">
        <v>1</v>
      </c>
      <c r="Q151">
        <v>10</v>
      </c>
      <c r="R151" t="b">
        <v>1</v>
      </c>
      <c r="S151" t="s">
        <v>75</v>
      </c>
      <c r="T151">
        <v>21.8</v>
      </c>
      <c r="U151">
        <v>77.239999999999995</v>
      </c>
      <c r="V151" t="b">
        <v>0</v>
      </c>
      <c r="W151" t="s">
        <v>31</v>
      </c>
    </row>
    <row r="152" spans="1:23" x14ac:dyDescent="0.25">
      <c r="A152" t="s">
        <v>68</v>
      </c>
      <c r="B152" t="s">
        <v>60</v>
      </c>
      <c r="C152">
        <v>44.51</v>
      </c>
      <c r="D152">
        <v>536</v>
      </c>
      <c r="E152" t="b">
        <v>1</v>
      </c>
      <c r="F152" t="b">
        <v>1</v>
      </c>
      <c r="G152" t="b">
        <v>0</v>
      </c>
      <c r="H152" t="s">
        <v>34</v>
      </c>
      <c r="I152" t="s">
        <v>44</v>
      </c>
      <c r="J152" t="s">
        <v>54</v>
      </c>
      <c r="K152" t="s">
        <v>39</v>
      </c>
      <c r="L152" t="s">
        <v>38</v>
      </c>
      <c r="M152" t="s">
        <v>46</v>
      </c>
      <c r="N152" t="s">
        <v>46</v>
      </c>
      <c r="O152" t="b">
        <v>1</v>
      </c>
      <c r="P152" t="b">
        <v>0</v>
      </c>
      <c r="Q152">
        <v>7.2</v>
      </c>
      <c r="R152" t="b">
        <v>1</v>
      </c>
      <c r="S152" t="s">
        <v>40</v>
      </c>
      <c r="T152">
        <v>9.8000000000000007</v>
      </c>
      <c r="U152">
        <v>45.19</v>
      </c>
      <c r="V152" t="b">
        <v>0</v>
      </c>
      <c r="W152" t="s">
        <v>41</v>
      </c>
    </row>
    <row r="153" spans="1:23" x14ac:dyDescent="0.25">
      <c r="A153" t="s">
        <v>61</v>
      </c>
      <c r="B153" t="s">
        <v>33</v>
      </c>
      <c r="C153">
        <v>79.67</v>
      </c>
      <c r="D153">
        <v>326</v>
      </c>
      <c r="E153" t="b">
        <v>0</v>
      </c>
      <c r="F153" t="b">
        <v>0</v>
      </c>
      <c r="G153" t="b">
        <v>0</v>
      </c>
      <c r="H153" t="s">
        <v>43</v>
      </c>
      <c r="I153" t="s">
        <v>26</v>
      </c>
      <c r="J153" t="s">
        <v>27</v>
      </c>
      <c r="K153" t="s">
        <v>46</v>
      </c>
      <c r="L153" t="s">
        <v>51</v>
      </c>
      <c r="M153" t="s">
        <v>28</v>
      </c>
      <c r="N153" t="s">
        <v>39</v>
      </c>
      <c r="O153" t="b">
        <v>0</v>
      </c>
      <c r="P153" t="b">
        <v>0</v>
      </c>
      <c r="Q153">
        <v>8.4</v>
      </c>
      <c r="R153" t="b">
        <v>1</v>
      </c>
      <c r="S153" t="s">
        <v>30</v>
      </c>
      <c r="T153">
        <v>16.100000000000001</v>
      </c>
      <c r="U153">
        <v>64.959999999999994</v>
      </c>
      <c r="V153" t="b">
        <v>1</v>
      </c>
      <c r="W153" t="s">
        <v>31</v>
      </c>
    </row>
    <row r="154" spans="1:23" x14ac:dyDescent="0.25">
      <c r="A154" t="s">
        <v>32</v>
      </c>
      <c r="B154" t="s">
        <v>73</v>
      </c>
      <c r="C154">
        <v>47.3</v>
      </c>
      <c r="D154">
        <v>797</v>
      </c>
      <c r="E154" t="b">
        <v>1</v>
      </c>
      <c r="F154" t="b">
        <v>1</v>
      </c>
      <c r="G154" t="b">
        <v>1</v>
      </c>
      <c r="H154" t="s">
        <v>34</v>
      </c>
      <c r="I154" t="s">
        <v>63</v>
      </c>
      <c r="J154" t="s">
        <v>54</v>
      </c>
      <c r="K154" t="s">
        <v>46</v>
      </c>
      <c r="L154" t="s">
        <v>37</v>
      </c>
      <c r="M154" t="s">
        <v>47</v>
      </c>
      <c r="O154" t="b">
        <v>0</v>
      </c>
      <c r="P154" t="b">
        <v>1</v>
      </c>
      <c r="Q154">
        <v>2.8</v>
      </c>
      <c r="R154" t="b">
        <v>1</v>
      </c>
      <c r="S154" t="s">
        <v>52</v>
      </c>
      <c r="T154">
        <v>23</v>
      </c>
      <c r="U154">
        <v>41.65</v>
      </c>
      <c r="V154" t="b">
        <v>1</v>
      </c>
      <c r="W154" t="s">
        <v>72</v>
      </c>
    </row>
    <row r="155" spans="1:23" x14ac:dyDescent="0.25">
      <c r="A155" t="s">
        <v>23</v>
      </c>
      <c r="B155" t="s">
        <v>73</v>
      </c>
      <c r="C155">
        <v>50.96</v>
      </c>
      <c r="D155">
        <v>366</v>
      </c>
      <c r="E155" t="b">
        <v>1</v>
      </c>
      <c r="F155" t="b">
        <v>1</v>
      </c>
      <c r="G155" t="b">
        <v>1</v>
      </c>
      <c r="H155" t="s">
        <v>34</v>
      </c>
      <c r="I155" t="s">
        <v>44</v>
      </c>
      <c r="J155" t="s">
        <v>54</v>
      </c>
      <c r="K155" t="s">
        <v>28</v>
      </c>
      <c r="L155" t="s">
        <v>69</v>
      </c>
      <c r="M155" t="s">
        <v>47</v>
      </c>
      <c r="N155" t="s">
        <v>28</v>
      </c>
      <c r="O155" t="b">
        <v>1</v>
      </c>
      <c r="P155" t="b">
        <v>1</v>
      </c>
      <c r="Q155">
        <v>7.9</v>
      </c>
      <c r="R155" t="b">
        <v>1</v>
      </c>
      <c r="S155" t="s">
        <v>48</v>
      </c>
      <c r="T155">
        <v>27.7</v>
      </c>
      <c r="U155">
        <v>59.56</v>
      </c>
      <c r="V155" t="b">
        <v>1</v>
      </c>
      <c r="W155" t="s">
        <v>41</v>
      </c>
    </row>
    <row r="156" spans="1:23" x14ac:dyDescent="0.25">
      <c r="A156" t="s">
        <v>23</v>
      </c>
      <c r="B156" t="s">
        <v>49</v>
      </c>
      <c r="C156">
        <v>61.4</v>
      </c>
      <c r="D156">
        <v>799</v>
      </c>
      <c r="E156" t="b">
        <v>0</v>
      </c>
      <c r="F156" t="b">
        <v>0</v>
      </c>
      <c r="G156" t="b">
        <v>0</v>
      </c>
      <c r="H156" t="s">
        <v>34</v>
      </c>
      <c r="I156" t="s">
        <v>57</v>
      </c>
      <c r="J156" t="s">
        <v>36</v>
      </c>
      <c r="K156" t="s">
        <v>28</v>
      </c>
      <c r="L156" t="s">
        <v>37</v>
      </c>
      <c r="M156" t="s">
        <v>46</v>
      </c>
      <c r="P156" t="b">
        <v>1</v>
      </c>
      <c r="Q156">
        <v>6.5</v>
      </c>
      <c r="R156" t="b">
        <v>1</v>
      </c>
      <c r="S156" t="s">
        <v>65</v>
      </c>
      <c r="T156">
        <v>39.299999999999997</v>
      </c>
      <c r="U156">
        <v>67.11</v>
      </c>
      <c r="V156" t="b">
        <v>1</v>
      </c>
      <c r="W156" t="s">
        <v>41</v>
      </c>
    </row>
    <row r="157" spans="1:23" x14ac:dyDescent="0.25">
      <c r="A157" t="s">
        <v>74</v>
      </c>
      <c r="B157" t="s">
        <v>66</v>
      </c>
      <c r="C157">
        <v>72.95</v>
      </c>
      <c r="D157">
        <v>183</v>
      </c>
      <c r="E157" t="b">
        <v>0</v>
      </c>
      <c r="F157" t="b">
        <v>0</v>
      </c>
      <c r="G157" t="b">
        <v>0</v>
      </c>
      <c r="H157" t="s">
        <v>34</v>
      </c>
      <c r="I157" t="s">
        <v>26</v>
      </c>
      <c r="J157" t="s">
        <v>27</v>
      </c>
      <c r="K157" t="s">
        <v>39</v>
      </c>
      <c r="L157" t="s">
        <v>69</v>
      </c>
      <c r="M157" t="s">
        <v>39</v>
      </c>
      <c r="N157" t="s">
        <v>28</v>
      </c>
      <c r="O157" t="b">
        <v>1</v>
      </c>
      <c r="P157" t="b">
        <v>1</v>
      </c>
      <c r="Q157">
        <v>8.9</v>
      </c>
      <c r="R157" t="b">
        <v>1</v>
      </c>
      <c r="S157" t="s">
        <v>30</v>
      </c>
      <c r="T157">
        <v>42.7</v>
      </c>
      <c r="U157">
        <v>48.76</v>
      </c>
      <c r="V157" t="b">
        <v>0</v>
      </c>
      <c r="W157" t="s">
        <v>31</v>
      </c>
    </row>
    <row r="158" spans="1:23" x14ac:dyDescent="0.25">
      <c r="A158" t="s">
        <v>23</v>
      </c>
      <c r="B158" t="s">
        <v>71</v>
      </c>
      <c r="C158">
        <v>48.1</v>
      </c>
      <c r="D158">
        <v>368</v>
      </c>
      <c r="E158" t="b">
        <v>1</v>
      </c>
      <c r="F158" t="b">
        <v>1</v>
      </c>
      <c r="G158" t="b">
        <v>1</v>
      </c>
      <c r="H158" t="s">
        <v>34</v>
      </c>
      <c r="I158" t="s">
        <v>44</v>
      </c>
      <c r="J158" t="s">
        <v>54</v>
      </c>
      <c r="K158" t="s">
        <v>39</v>
      </c>
      <c r="L158" t="s">
        <v>37</v>
      </c>
      <c r="M158" t="s">
        <v>28</v>
      </c>
      <c r="N158" t="s">
        <v>39</v>
      </c>
      <c r="O158" t="b">
        <v>0</v>
      </c>
      <c r="P158" t="b">
        <v>0</v>
      </c>
      <c r="Q158">
        <v>5.2</v>
      </c>
      <c r="R158" t="b">
        <v>0</v>
      </c>
      <c r="T158">
        <v>0</v>
      </c>
      <c r="U158">
        <v>39.85</v>
      </c>
      <c r="V158" t="b">
        <v>1</v>
      </c>
      <c r="W158" t="s">
        <v>41</v>
      </c>
    </row>
    <row r="159" spans="1:23" x14ac:dyDescent="0.25">
      <c r="A159" t="s">
        <v>74</v>
      </c>
      <c r="B159" t="s">
        <v>73</v>
      </c>
      <c r="C159">
        <v>63.12</v>
      </c>
      <c r="D159">
        <v>668</v>
      </c>
      <c r="E159" t="b">
        <v>1</v>
      </c>
      <c r="F159" t="b">
        <v>0</v>
      </c>
      <c r="G159" t="b">
        <v>0</v>
      </c>
      <c r="H159" t="s">
        <v>34</v>
      </c>
      <c r="I159" t="s">
        <v>26</v>
      </c>
      <c r="J159" t="s">
        <v>27</v>
      </c>
      <c r="K159" t="s">
        <v>28</v>
      </c>
      <c r="L159" t="s">
        <v>29</v>
      </c>
      <c r="M159" t="s">
        <v>47</v>
      </c>
      <c r="O159" t="b">
        <v>1</v>
      </c>
      <c r="P159" t="b">
        <v>0</v>
      </c>
      <c r="Q159">
        <v>8.1999999999999993</v>
      </c>
      <c r="R159" t="b">
        <v>1</v>
      </c>
      <c r="S159" t="s">
        <v>75</v>
      </c>
      <c r="T159">
        <v>38.5</v>
      </c>
      <c r="U159">
        <v>57.93</v>
      </c>
      <c r="V159" t="b">
        <v>0</v>
      </c>
      <c r="W159" t="s">
        <v>31</v>
      </c>
    </row>
    <row r="160" spans="1:23" x14ac:dyDescent="0.25">
      <c r="A160" t="s">
        <v>32</v>
      </c>
      <c r="B160" t="s">
        <v>24</v>
      </c>
      <c r="C160">
        <v>86.22</v>
      </c>
      <c r="D160">
        <v>428</v>
      </c>
      <c r="E160" t="b">
        <v>1</v>
      </c>
      <c r="F160" t="b">
        <v>0</v>
      </c>
      <c r="G160" t="b">
        <v>0</v>
      </c>
      <c r="H160" t="s">
        <v>34</v>
      </c>
      <c r="I160" t="s">
        <v>63</v>
      </c>
      <c r="J160" t="s">
        <v>54</v>
      </c>
      <c r="K160" t="s">
        <v>39</v>
      </c>
      <c r="L160" t="s">
        <v>37</v>
      </c>
      <c r="M160" t="s">
        <v>39</v>
      </c>
      <c r="N160" t="s">
        <v>46</v>
      </c>
      <c r="P160" t="b">
        <v>0</v>
      </c>
      <c r="Q160">
        <v>9.4</v>
      </c>
      <c r="R160" t="b">
        <v>0</v>
      </c>
      <c r="T160">
        <v>0</v>
      </c>
      <c r="U160">
        <v>78.88</v>
      </c>
      <c r="V160" t="b">
        <v>1</v>
      </c>
      <c r="W160" t="s">
        <v>58</v>
      </c>
    </row>
    <row r="161" spans="1:23" x14ac:dyDescent="0.25">
      <c r="A161" t="s">
        <v>56</v>
      </c>
      <c r="B161" t="s">
        <v>71</v>
      </c>
      <c r="C161">
        <v>42.98</v>
      </c>
      <c r="D161">
        <v>508</v>
      </c>
      <c r="E161" t="b">
        <v>1</v>
      </c>
      <c r="F161" t="b">
        <v>0</v>
      </c>
      <c r="G161" t="b">
        <v>1</v>
      </c>
      <c r="H161" t="s">
        <v>34</v>
      </c>
      <c r="I161" t="s">
        <v>67</v>
      </c>
      <c r="J161" t="s">
        <v>27</v>
      </c>
      <c r="K161" t="s">
        <v>28</v>
      </c>
      <c r="L161" t="s">
        <v>38</v>
      </c>
      <c r="M161" t="s">
        <v>46</v>
      </c>
      <c r="P161" t="b">
        <v>1</v>
      </c>
      <c r="Q161">
        <v>7.4</v>
      </c>
      <c r="R161" t="b">
        <v>1</v>
      </c>
      <c r="S161" t="s">
        <v>65</v>
      </c>
      <c r="T161">
        <v>20.3</v>
      </c>
      <c r="U161">
        <v>30.59</v>
      </c>
      <c r="V161" t="b">
        <v>0</v>
      </c>
      <c r="W161" t="s">
        <v>41</v>
      </c>
    </row>
    <row r="162" spans="1:23" x14ac:dyDescent="0.25">
      <c r="A162" t="s">
        <v>68</v>
      </c>
      <c r="B162" t="s">
        <v>71</v>
      </c>
      <c r="C162">
        <v>56.67</v>
      </c>
      <c r="D162">
        <v>650</v>
      </c>
      <c r="E162" t="b">
        <v>1</v>
      </c>
      <c r="F162" t="b">
        <v>1</v>
      </c>
      <c r="G162" t="b">
        <v>0</v>
      </c>
      <c r="H162" t="s">
        <v>43</v>
      </c>
      <c r="I162" t="s">
        <v>57</v>
      </c>
      <c r="J162" t="s">
        <v>50</v>
      </c>
      <c r="K162" t="s">
        <v>39</v>
      </c>
      <c r="L162" t="s">
        <v>29</v>
      </c>
      <c r="M162" t="s">
        <v>47</v>
      </c>
      <c r="N162" t="s">
        <v>28</v>
      </c>
      <c r="O162" t="b">
        <v>0</v>
      </c>
      <c r="P162" t="b">
        <v>1</v>
      </c>
      <c r="Q162">
        <v>4.5999999999999996</v>
      </c>
      <c r="R162" t="b">
        <v>1</v>
      </c>
      <c r="S162" t="s">
        <v>65</v>
      </c>
      <c r="T162">
        <v>10.199999999999999</v>
      </c>
      <c r="U162">
        <v>33.65</v>
      </c>
      <c r="V162" t="b">
        <v>1</v>
      </c>
      <c r="W162" t="s">
        <v>72</v>
      </c>
    </row>
    <row r="163" spans="1:23" x14ac:dyDescent="0.25">
      <c r="A163" t="s">
        <v>74</v>
      </c>
      <c r="B163" t="s">
        <v>24</v>
      </c>
      <c r="C163">
        <v>91.07</v>
      </c>
      <c r="D163">
        <v>193</v>
      </c>
      <c r="E163" t="b">
        <v>1</v>
      </c>
      <c r="F163" t="b">
        <v>0</v>
      </c>
      <c r="G163" t="b">
        <v>0</v>
      </c>
      <c r="H163" t="s">
        <v>43</v>
      </c>
      <c r="I163" t="s">
        <v>63</v>
      </c>
      <c r="J163" t="s">
        <v>36</v>
      </c>
      <c r="K163" t="s">
        <v>37</v>
      </c>
      <c r="L163" t="s">
        <v>51</v>
      </c>
      <c r="M163" t="s">
        <v>46</v>
      </c>
      <c r="N163" t="s">
        <v>28</v>
      </c>
      <c r="O163" t="b">
        <v>0</v>
      </c>
      <c r="P163" t="b">
        <v>0</v>
      </c>
      <c r="Q163">
        <v>9.6999999999999993</v>
      </c>
      <c r="R163" t="b">
        <v>0</v>
      </c>
      <c r="T163">
        <v>0</v>
      </c>
      <c r="U163">
        <v>100</v>
      </c>
      <c r="V163" t="b">
        <v>1</v>
      </c>
      <c r="W163" t="s">
        <v>58</v>
      </c>
    </row>
    <row r="164" spans="1:23" x14ac:dyDescent="0.25">
      <c r="A164" t="s">
        <v>32</v>
      </c>
      <c r="B164" t="s">
        <v>33</v>
      </c>
      <c r="C164">
        <v>89.41</v>
      </c>
      <c r="D164">
        <v>418</v>
      </c>
      <c r="E164" t="b">
        <v>1</v>
      </c>
      <c r="F164" t="b">
        <v>1</v>
      </c>
      <c r="G164" t="b">
        <v>1</v>
      </c>
      <c r="H164" t="s">
        <v>43</v>
      </c>
      <c r="I164" t="s">
        <v>26</v>
      </c>
      <c r="J164" t="s">
        <v>50</v>
      </c>
      <c r="K164" t="s">
        <v>39</v>
      </c>
      <c r="L164" t="s">
        <v>69</v>
      </c>
      <c r="M164" t="s">
        <v>39</v>
      </c>
      <c r="N164" t="s">
        <v>39</v>
      </c>
      <c r="O164" t="b">
        <v>0</v>
      </c>
      <c r="P164" t="b">
        <v>0</v>
      </c>
      <c r="Q164">
        <v>9</v>
      </c>
      <c r="R164" t="b">
        <v>0</v>
      </c>
      <c r="T164">
        <v>0</v>
      </c>
      <c r="U164">
        <v>79.94</v>
      </c>
      <c r="V164" t="b">
        <v>1</v>
      </c>
      <c r="W164" t="s">
        <v>58</v>
      </c>
    </row>
    <row r="165" spans="1:23" x14ac:dyDescent="0.25">
      <c r="A165" t="s">
        <v>32</v>
      </c>
      <c r="B165" t="s">
        <v>62</v>
      </c>
      <c r="C165">
        <v>65.77</v>
      </c>
      <c r="D165">
        <v>351</v>
      </c>
      <c r="E165" t="b">
        <v>1</v>
      </c>
      <c r="F165" t="b">
        <v>0</v>
      </c>
      <c r="G165" t="b">
        <v>1</v>
      </c>
      <c r="H165" t="s">
        <v>34</v>
      </c>
      <c r="I165" t="s">
        <v>57</v>
      </c>
      <c r="J165" t="s">
        <v>50</v>
      </c>
      <c r="K165" t="s">
        <v>46</v>
      </c>
      <c r="L165" t="s">
        <v>37</v>
      </c>
      <c r="M165" t="s">
        <v>46</v>
      </c>
      <c r="N165" t="s">
        <v>46</v>
      </c>
      <c r="O165" t="b">
        <v>1</v>
      </c>
      <c r="P165" t="b">
        <v>0</v>
      </c>
      <c r="Q165">
        <v>9.3000000000000007</v>
      </c>
      <c r="R165" t="b">
        <v>0</v>
      </c>
      <c r="T165">
        <v>0</v>
      </c>
      <c r="U165">
        <v>65.06</v>
      </c>
      <c r="V165" t="b">
        <v>0</v>
      </c>
      <c r="W165" t="s">
        <v>58</v>
      </c>
    </row>
    <row r="166" spans="1:23" x14ac:dyDescent="0.25">
      <c r="A166" t="s">
        <v>23</v>
      </c>
      <c r="B166" t="s">
        <v>60</v>
      </c>
      <c r="C166">
        <v>62.99</v>
      </c>
      <c r="D166">
        <v>431</v>
      </c>
      <c r="E166" t="b">
        <v>0</v>
      </c>
      <c r="F166" t="b">
        <v>0</v>
      </c>
      <c r="G166" t="b">
        <v>1</v>
      </c>
      <c r="H166" t="s">
        <v>53</v>
      </c>
      <c r="I166" t="s">
        <v>26</v>
      </c>
      <c r="J166" t="s">
        <v>50</v>
      </c>
      <c r="K166" t="s">
        <v>28</v>
      </c>
      <c r="L166" t="s">
        <v>51</v>
      </c>
      <c r="M166" t="s">
        <v>46</v>
      </c>
      <c r="P166" t="b">
        <v>1</v>
      </c>
      <c r="Q166">
        <v>7.3</v>
      </c>
      <c r="R166" t="b">
        <v>1</v>
      </c>
      <c r="S166" t="s">
        <v>40</v>
      </c>
      <c r="T166">
        <v>38.4</v>
      </c>
      <c r="U166">
        <v>63.77</v>
      </c>
      <c r="V166" t="b">
        <v>1</v>
      </c>
      <c r="W166" t="s">
        <v>41</v>
      </c>
    </row>
    <row r="167" spans="1:23" x14ac:dyDescent="0.25">
      <c r="A167" t="s">
        <v>68</v>
      </c>
      <c r="B167" t="s">
        <v>73</v>
      </c>
      <c r="C167">
        <v>48.25</v>
      </c>
      <c r="D167">
        <v>416</v>
      </c>
      <c r="E167" t="b">
        <v>0</v>
      </c>
      <c r="F167" t="b">
        <v>1</v>
      </c>
      <c r="G167" t="b">
        <v>0</v>
      </c>
      <c r="H167" t="s">
        <v>43</v>
      </c>
      <c r="I167" t="s">
        <v>57</v>
      </c>
      <c r="J167" t="s">
        <v>45</v>
      </c>
      <c r="K167" t="s">
        <v>37</v>
      </c>
      <c r="L167" t="s">
        <v>37</v>
      </c>
      <c r="M167" t="s">
        <v>28</v>
      </c>
      <c r="N167" t="s">
        <v>39</v>
      </c>
      <c r="O167" t="b">
        <v>0</v>
      </c>
      <c r="P167" t="b">
        <v>0</v>
      </c>
      <c r="Q167">
        <v>3.6</v>
      </c>
      <c r="R167" t="b">
        <v>1</v>
      </c>
      <c r="S167" t="s">
        <v>30</v>
      </c>
      <c r="T167">
        <v>9.5</v>
      </c>
      <c r="U167">
        <v>52.65</v>
      </c>
      <c r="V167" t="b">
        <v>1</v>
      </c>
      <c r="W167" t="s">
        <v>72</v>
      </c>
    </row>
    <row r="168" spans="1:23" x14ac:dyDescent="0.25">
      <c r="A168" t="s">
        <v>68</v>
      </c>
      <c r="B168" t="s">
        <v>59</v>
      </c>
      <c r="C168">
        <v>82.85</v>
      </c>
      <c r="D168">
        <v>153</v>
      </c>
      <c r="E168" t="b">
        <v>0</v>
      </c>
      <c r="F168" t="b">
        <v>0</v>
      </c>
      <c r="G168" t="b">
        <v>0</v>
      </c>
      <c r="H168" t="s">
        <v>53</v>
      </c>
      <c r="I168" t="s">
        <v>57</v>
      </c>
      <c r="J168" t="s">
        <v>54</v>
      </c>
      <c r="K168" t="s">
        <v>28</v>
      </c>
      <c r="L168" t="s">
        <v>29</v>
      </c>
      <c r="M168" t="s">
        <v>39</v>
      </c>
      <c r="N168" t="s">
        <v>39</v>
      </c>
      <c r="O168" t="b">
        <v>0</v>
      </c>
      <c r="P168" t="b">
        <v>0</v>
      </c>
      <c r="Q168">
        <v>7.5</v>
      </c>
      <c r="R168" t="b">
        <v>1</v>
      </c>
      <c r="S168" t="s">
        <v>40</v>
      </c>
      <c r="T168">
        <v>6.1</v>
      </c>
      <c r="U168">
        <v>85.39</v>
      </c>
      <c r="V168" t="b">
        <v>1</v>
      </c>
      <c r="W168" t="s">
        <v>41</v>
      </c>
    </row>
    <row r="169" spans="1:23" x14ac:dyDescent="0.25">
      <c r="A169" t="s">
        <v>23</v>
      </c>
      <c r="B169" t="s">
        <v>73</v>
      </c>
      <c r="C169">
        <v>46.3</v>
      </c>
      <c r="D169">
        <v>396</v>
      </c>
      <c r="E169" t="b">
        <v>0</v>
      </c>
      <c r="F169" t="b">
        <v>1</v>
      </c>
      <c r="G169" t="b">
        <v>1</v>
      </c>
      <c r="H169" t="s">
        <v>43</v>
      </c>
      <c r="I169" t="s">
        <v>26</v>
      </c>
      <c r="J169" t="s">
        <v>50</v>
      </c>
      <c r="K169" t="s">
        <v>46</v>
      </c>
      <c r="L169" t="s">
        <v>38</v>
      </c>
      <c r="M169" t="s">
        <v>46</v>
      </c>
      <c r="P169" t="b">
        <v>1</v>
      </c>
      <c r="Q169">
        <v>5.9</v>
      </c>
      <c r="R169" t="b">
        <v>1</v>
      </c>
      <c r="S169" t="s">
        <v>30</v>
      </c>
      <c r="T169">
        <v>38</v>
      </c>
      <c r="U169">
        <v>53.91</v>
      </c>
      <c r="V169" t="b">
        <v>1</v>
      </c>
      <c r="W169" t="s">
        <v>41</v>
      </c>
    </row>
    <row r="170" spans="1:23" x14ac:dyDescent="0.25">
      <c r="A170" t="s">
        <v>56</v>
      </c>
      <c r="B170" t="s">
        <v>66</v>
      </c>
      <c r="C170">
        <v>70.12</v>
      </c>
      <c r="D170">
        <v>562</v>
      </c>
      <c r="E170" t="b">
        <v>0</v>
      </c>
      <c r="F170" t="b">
        <v>1</v>
      </c>
      <c r="G170" t="b">
        <v>0</v>
      </c>
      <c r="H170" t="s">
        <v>43</v>
      </c>
      <c r="I170" t="s">
        <v>67</v>
      </c>
      <c r="J170" t="s">
        <v>54</v>
      </c>
      <c r="K170" t="s">
        <v>46</v>
      </c>
      <c r="L170" t="s">
        <v>69</v>
      </c>
      <c r="M170" t="s">
        <v>47</v>
      </c>
      <c r="N170" t="s">
        <v>28</v>
      </c>
      <c r="O170" t="b">
        <v>1</v>
      </c>
      <c r="P170" t="b">
        <v>1</v>
      </c>
      <c r="Q170">
        <v>8</v>
      </c>
      <c r="R170" t="b">
        <v>0</v>
      </c>
      <c r="T170">
        <v>0</v>
      </c>
      <c r="U170">
        <v>52.75</v>
      </c>
      <c r="V170" t="b">
        <v>0</v>
      </c>
      <c r="W170" t="s">
        <v>58</v>
      </c>
    </row>
    <row r="171" spans="1:23" x14ac:dyDescent="0.25">
      <c r="A171" t="s">
        <v>23</v>
      </c>
      <c r="B171" t="s">
        <v>42</v>
      </c>
      <c r="C171">
        <v>71.290000000000006</v>
      </c>
      <c r="D171">
        <v>229</v>
      </c>
      <c r="E171" t="b">
        <v>1</v>
      </c>
      <c r="F171" t="b">
        <v>1</v>
      </c>
      <c r="G171" t="b">
        <v>1</v>
      </c>
      <c r="H171" t="s">
        <v>43</v>
      </c>
      <c r="I171" t="s">
        <v>44</v>
      </c>
      <c r="J171" t="s">
        <v>50</v>
      </c>
      <c r="K171" t="s">
        <v>46</v>
      </c>
      <c r="L171" t="s">
        <v>37</v>
      </c>
      <c r="M171" t="s">
        <v>46</v>
      </c>
      <c r="N171" t="s">
        <v>28</v>
      </c>
      <c r="P171" t="b">
        <v>0</v>
      </c>
      <c r="Q171">
        <v>8.5</v>
      </c>
      <c r="R171" t="b">
        <v>1</v>
      </c>
      <c r="S171" t="s">
        <v>40</v>
      </c>
      <c r="T171">
        <v>44.5</v>
      </c>
      <c r="U171">
        <v>64.87</v>
      </c>
      <c r="V171" t="b">
        <v>0</v>
      </c>
      <c r="W171" t="s">
        <v>31</v>
      </c>
    </row>
    <row r="172" spans="1:23" x14ac:dyDescent="0.25">
      <c r="A172" t="s">
        <v>23</v>
      </c>
      <c r="B172" t="s">
        <v>42</v>
      </c>
      <c r="C172">
        <v>67.83</v>
      </c>
      <c r="D172">
        <v>712</v>
      </c>
      <c r="E172" t="b">
        <v>1</v>
      </c>
      <c r="F172" t="b">
        <v>1</v>
      </c>
      <c r="G172" t="b">
        <v>0</v>
      </c>
      <c r="H172" t="s">
        <v>53</v>
      </c>
      <c r="I172" t="s">
        <v>67</v>
      </c>
      <c r="J172" t="s">
        <v>45</v>
      </c>
      <c r="K172" t="s">
        <v>39</v>
      </c>
      <c r="L172" t="s">
        <v>38</v>
      </c>
      <c r="M172" t="s">
        <v>39</v>
      </c>
      <c r="N172" t="s">
        <v>39</v>
      </c>
      <c r="P172" t="b">
        <v>1</v>
      </c>
      <c r="Q172">
        <v>7.8</v>
      </c>
      <c r="R172" t="b">
        <v>0</v>
      </c>
      <c r="T172">
        <v>0</v>
      </c>
      <c r="U172">
        <v>53.64</v>
      </c>
      <c r="V172" t="b">
        <v>0</v>
      </c>
      <c r="W172" t="s">
        <v>31</v>
      </c>
    </row>
    <row r="173" spans="1:23" x14ac:dyDescent="0.25">
      <c r="A173" t="s">
        <v>74</v>
      </c>
      <c r="B173" t="s">
        <v>62</v>
      </c>
      <c r="C173">
        <v>66.81</v>
      </c>
      <c r="D173">
        <v>311</v>
      </c>
      <c r="E173" t="b">
        <v>0</v>
      </c>
      <c r="F173" t="b">
        <v>1</v>
      </c>
      <c r="G173" t="b">
        <v>0</v>
      </c>
      <c r="H173" t="s">
        <v>34</v>
      </c>
      <c r="I173" t="s">
        <v>26</v>
      </c>
      <c r="J173" t="s">
        <v>54</v>
      </c>
      <c r="K173" t="s">
        <v>28</v>
      </c>
      <c r="L173" t="s">
        <v>37</v>
      </c>
      <c r="M173" t="s">
        <v>46</v>
      </c>
      <c r="O173" t="b">
        <v>1</v>
      </c>
      <c r="P173" t="b">
        <v>0</v>
      </c>
      <c r="Q173">
        <v>7.9</v>
      </c>
      <c r="R173" t="b">
        <v>1</v>
      </c>
      <c r="S173" t="s">
        <v>48</v>
      </c>
      <c r="T173">
        <v>22.7</v>
      </c>
      <c r="U173">
        <v>81.52</v>
      </c>
      <c r="V173" t="b">
        <v>1</v>
      </c>
      <c r="W173" t="s">
        <v>41</v>
      </c>
    </row>
    <row r="174" spans="1:23" x14ac:dyDescent="0.25">
      <c r="A174" t="s">
        <v>56</v>
      </c>
      <c r="B174" t="s">
        <v>59</v>
      </c>
      <c r="C174">
        <v>83.08</v>
      </c>
      <c r="D174">
        <v>629</v>
      </c>
      <c r="E174" t="b">
        <v>0</v>
      </c>
      <c r="F174" t="b">
        <v>0</v>
      </c>
      <c r="G174" t="b">
        <v>1</v>
      </c>
      <c r="H174" t="s">
        <v>25</v>
      </c>
      <c r="I174" t="s">
        <v>44</v>
      </c>
      <c r="J174" t="s">
        <v>50</v>
      </c>
      <c r="K174" t="s">
        <v>37</v>
      </c>
      <c r="L174" t="s">
        <v>38</v>
      </c>
      <c r="M174" t="s">
        <v>28</v>
      </c>
      <c r="N174" t="s">
        <v>28</v>
      </c>
      <c r="P174" t="b">
        <v>0</v>
      </c>
      <c r="Q174">
        <v>9.6999999999999993</v>
      </c>
      <c r="R174" t="b">
        <v>0</v>
      </c>
      <c r="T174">
        <v>0</v>
      </c>
      <c r="U174">
        <v>87.75</v>
      </c>
      <c r="V174" t="b">
        <v>1</v>
      </c>
      <c r="W174" t="s">
        <v>58</v>
      </c>
    </row>
    <row r="175" spans="1:23" x14ac:dyDescent="0.25">
      <c r="A175" t="s">
        <v>74</v>
      </c>
      <c r="B175" t="s">
        <v>62</v>
      </c>
      <c r="C175">
        <v>51.58</v>
      </c>
      <c r="D175">
        <v>619</v>
      </c>
      <c r="E175" t="b">
        <v>1</v>
      </c>
      <c r="F175" t="b">
        <v>0</v>
      </c>
      <c r="G175" t="b">
        <v>0</v>
      </c>
      <c r="H175" t="s">
        <v>34</v>
      </c>
      <c r="I175" t="s">
        <v>26</v>
      </c>
      <c r="J175" t="s">
        <v>45</v>
      </c>
      <c r="K175" t="s">
        <v>46</v>
      </c>
      <c r="L175" t="s">
        <v>37</v>
      </c>
      <c r="M175" t="s">
        <v>46</v>
      </c>
      <c r="N175" t="s">
        <v>39</v>
      </c>
      <c r="P175" t="b">
        <v>0</v>
      </c>
      <c r="Q175">
        <v>6.5</v>
      </c>
      <c r="R175" t="b">
        <v>1</v>
      </c>
      <c r="S175" t="s">
        <v>55</v>
      </c>
      <c r="T175">
        <v>25</v>
      </c>
      <c r="U175">
        <v>60.41</v>
      </c>
      <c r="V175" t="b">
        <v>1</v>
      </c>
      <c r="W175" t="s">
        <v>41</v>
      </c>
    </row>
    <row r="176" spans="1:23" x14ac:dyDescent="0.25">
      <c r="A176" t="s">
        <v>56</v>
      </c>
      <c r="B176" t="s">
        <v>66</v>
      </c>
      <c r="C176">
        <v>77.58</v>
      </c>
      <c r="D176">
        <v>254</v>
      </c>
      <c r="E176" t="b">
        <v>1</v>
      </c>
      <c r="F176" t="b">
        <v>0</v>
      </c>
      <c r="G176" t="b">
        <v>1</v>
      </c>
      <c r="H176" t="s">
        <v>25</v>
      </c>
      <c r="I176" t="s">
        <v>35</v>
      </c>
      <c r="J176" t="s">
        <v>54</v>
      </c>
      <c r="K176" t="s">
        <v>28</v>
      </c>
      <c r="L176" t="s">
        <v>69</v>
      </c>
      <c r="M176" t="s">
        <v>46</v>
      </c>
      <c r="N176" t="s">
        <v>39</v>
      </c>
      <c r="O176" t="b">
        <v>0</v>
      </c>
      <c r="P176" t="b">
        <v>0</v>
      </c>
      <c r="Q176">
        <v>9.8000000000000007</v>
      </c>
      <c r="R176" t="b">
        <v>0</v>
      </c>
      <c r="T176">
        <v>0</v>
      </c>
      <c r="U176">
        <v>81.22</v>
      </c>
      <c r="V176" t="b">
        <v>1</v>
      </c>
      <c r="W176" t="s">
        <v>58</v>
      </c>
    </row>
    <row r="177" spans="1:23" x14ac:dyDescent="0.25">
      <c r="A177" t="s">
        <v>56</v>
      </c>
      <c r="B177" t="s">
        <v>71</v>
      </c>
      <c r="C177">
        <v>52.36</v>
      </c>
      <c r="D177">
        <v>679</v>
      </c>
      <c r="E177" t="b">
        <v>0</v>
      </c>
      <c r="F177" t="b">
        <v>1</v>
      </c>
      <c r="G177" t="b">
        <v>1</v>
      </c>
      <c r="H177" t="s">
        <v>25</v>
      </c>
      <c r="I177" t="s">
        <v>35</v>
      </c>
      <c r="J177" t="s">
        <v>36</v>
      </c>
      <c r="K177" t="s">
        <v>37</v>
      </c>
      <c r="L177" t="s">
        <v>37</v>
      </c>
      <c r="M177" t="s">
        <v>39</v>
      </c>
      <c r="N177" t="s">
        <v>39</v>
      </c>
      <c r="O177" t="b">
        <v>1</v>
      </c>
      <c r="P177" t="b">
        <v>0</v>
      </c>
      <c r="Q177">
        <v>5.5</v>
      </c>
      <c r="R177" t="b">
        <v>1</v>
      </c>
      <c r="S177" t="s">
        <v>75</v>
      </c>
      <c r="T177">
        <v>6.7</v>
      </c>
      <c r="U177">
        <v>44.02</v>
      </c>
      <c r="V177" t="b">
        <v>1</v>
      </c>
      <c r="W177" t="s">
        <v>41</v>
      </c>
    </row>
    <row r="178" spans="1:23" x14ac:dyDescent="0.25">
      <c r="A178" t="s">
        <v>56</v>
      </c>
      <c r="B178" t="s">
        <v>24</v>
      </c>
      <c r="C178">
        <v>86.7</v>
      </c>
      <c r="D178">
        <v>696</v>
      </c>
      <c r="E178" t="b">
        <v>0</v>
      </c>
      <c r="F178" t="b">
        <v>1</v>
      </c>
      <c r="G178" t="b">
        <v>0</v>
      </c>
      <c r="H178" t="s">
        <v>25</v>
      </c>
      <c r="I178" t="s">
        <v>44</v>
      </c>
      <c r="J178" t="s">
        <v>36</v>
      </c>
      <c r="K178" t="s">
        <v>37</v>
      </c>
      <c r="L178" t="s">
        <v>38</v>
      </c>
      <c r="M178" t="s">
        <v>46</v>
      </c>
      <c r="P178" t="b">
        <v>1</v>
      </c>
      <c r="Q178">
        <v>9.1</v>
      </c>
      <c r="R178" t="b">
        <v>1</v>
      </c>
      <c r="S178" t="s">
        <v>52</v>
      </c>
      <c r="T178">
        <v>7.8</v>
      </c>
      <c r="U178">
        <v>81.41</v>
      </c>
      <c r="V178" t="b">
        <v>1</v>
      </c>
      <c r="W178" t="s">
        <v>31</v>
      </c>
    </row>
    <row r="179" spans="1:23" x14ac:dyDescent="0.25">
      <c r="A179" t="s">
        <v>74</v>
      </c>
      <c r="B179" t="s">
        <v>76</v>
      </c>
      <c r="C179">
        <v>82.44</v>
      </c>
      <c r="D179">
        <v>232</v>
      </c>
      <c r="E179" t="b">
        <v>1</v>
      </c>
      <c r="F179" t="b">
        <v>0</v>
      </c>
      <c r="G179" t="b">
        <v>1</v>
      </c>
      <c r="H179" t="s">
        <v>25</v>
      </c>
      <c r="I179" t="s">
        <v>63</v>
      </c>
      <c r="J179" t="s">
        <v>50</v>
      </c>
      <c r="K179" t="s">
        <v>39</v>
      </c>
      <c r="L179" t="s">
        <v>29</v>
      </c>
      <c r="M179" t="s">
        <v>39</v>
      </c>
      <c r="N179" t="s">
        <v>46</v>
      </c>
      <c r="P179" t="b">
        <v>1</v>
      </c>
      <c r="Q179">
        <v>9</v>
      </c>
      <c r="R179" t="b">
        <v>1</v>
      </c>
      <c r="S179" t="s">
        <v>55</v>
      </c>
      <c r="T179">
        <v>30.3</v>
      </c>
      <c r="U179">
        <v>67.569999999999993</v>
      </c>
      <c r="V179" t="b">
        <v>0</v>
      </c>
      <c r="W179" t="s">
        <v>31</v>
      </c>
    </row>
    <row r="180" spans="1:23" x14ac:dyDescent="0.25">
      <c r="A180" t="s">
        <v>74</v>
      </c>
      <c r="B180" t="s">
        <v>76</v>
      </c>
      <c r="C180">
        <v>83.48</v>
      </c>
      <c r="D180">
        <v>131</v>
      </c>
      <c r="E180" t="b">
        <v>1</v>
      </c>
      <c r="F180" t="b">
        <v>0</v>
      </c>
      <c r="G180" t="b">
        <v>1</v>
      </c>
      <c r="H180" t="s">
        <v>25</v>
      </c>
      <c r="I180" t="s">
        <v>67</v>
      </c>
      <c r="J180" t="s">
        <v>50</v>
      </c>
      <c r="K180" t="s">
        <v>37</v>
      </c>
      <c r="L180" t="s">
        <v>69</v>
      </c>
      <c r="M180" t="s">
        <v>47</v>
      </c>
      <c r="N180" t="s">
        <v>39</v>
      </c>
      <c r="O180" t="b">
        <v>0</v>
      </c>
      <c r="P180" t="b">
        <v>1</v>
      </c>
      <c r="Q180">
        <v>8.4</v>
      </c>
      <c r="R180" t="b">
        <v>1</v>
      </c>
      <c r="S180" t="s">
        <v>75</v>
      </c>
      <c r="T180">
        <v>35.9</v>
      </c>
      <c r="U180">
        <v>72.27</v>
      </c>
      <c r="V180" t="b">
        <v>1</v>
      </c>
      <c r="W180" t="s">
        <v>31</v>
      </c>
    </row>
    <row r="181" spans="1:23" x14ac:dyDescent="0.25">
      <c r="A181" t="s">
        <v>23</v>
      </c>
      <c r="B181" t="s">
        <v>73</v>
      </c>
      <c r="C181">
        <v>69.2</v>
      </c>
      <c r="D181">
        <v>763</v>
      </c>
      <c r="E181" t="b">
        <v>0</v>
      </c>
      <c r="F181" t="b">
        <v>1</v>
      </c>
      <c r="G181" t="b">
        <v>1</v>
      </c>
      <c r="H181" t="s">
        <v>43</v>
      </c>
      <c r="I181" t="s">
        <v>26</v>
      </c>
      <c r="J181" t="s">
        <v>50</v>
      </c>
      <c r="K181" t="s">
        <v>46</v>
      </c>
      <c r="L181" t="s">
        <v>29</v>
      </c>
      <c r="M181" t="s">
        <v>39</v>
      </c>
      <c r="N181" t="s">
        <v>39</v>
      </c>
      <c r="P181" t="b">
        <v>0</v>
      </c>
      <c r="Q181">
        <v>6.9</v>
      </c>
      <c r="R181" t="b">
        <v>1</v>
      </c>
      <c r="S181" t="s">
        <v>30</v>
      </c>
      <c r="T181">
        <v>26.9</v>
      </c>
      <c r="U181">
        <v>68.25</v>
      </c>
      <c r="V181" t="b">
        <v>1</v>
      </c>
      <c r="W181" t="s">
        <v>41</v>
      </c>
    </row>
    <row r="182" spans="1:23" x14ac:dyDescent="0.25">
      <c r="A182" t="s">
        <v>56</v>
      </c>
      <c r="B182" t="s">
        <v>76</v>
      </c>
      <c r="C182">
        <v>88.39</v>
      </c>
      <c r="D182">
        <v>714</v>
      </c>
      <c r="E182" t="b">
        <v>0</v>
      </c>
      <c r="F182" t="b">
        <v>0</v>
      </c>
      <c r="G182" t="b">
        <v>0</v>
      </c>
      <c r="H182" t="s">
        <v>25</v>
      </c>
      <c r="I182" t="s">
        <v>63</v>
      </c>
      <c r="J182" t="s">
        <v>36</v>
      </c>
      <c r="K182" t="s">
        <v>46</v>
      </c>
      <c r="L182" t="s">
        <v>29</v>
      </c>
      <c r="M182" t="s">
        <v>46</v>
      </c>
      <c r="N182" t="s">
        <v>39</v>
      </c>
      <c r="P182" t="b">
        <v>0</v>
      </c>
      <c r="Q182">
        <v>9.6999999999999993</v>
      </c>
      <c r="R182" t="b">
        <v>1</v>
      </c>
      <c r="S182" t="s">
        <v>30</v>
      </c>
      <c r="T182">
        <v>27.3</v>
      </c>
      <c r="U182">
        <v>85.52</v>
      </c>
      <c r="V182" t="b">
        <v>1</v>
      </c>
      <c r="W182" t="s">
        <v>31</v>
      </c>
    </row>
    <row r="183" spans="1:23" x14ac:dyDescent="0.25">
      <c r="A183" t="s">
        <v>68</v>
      </c>
      <c r="B183" t="s">
        <v>33</v>
      </c>
      <c r="C183">
        <v>83.96</v>
      </c>
      <c r="D183">
        <v>469</v>
      </c>
      <c r="E183" t="b">
        <v>1</v>
      </c>
      <c r="F183" t="b">
        <v>1</v>
      </c>
      <c r="G183" t="b">
        <v>0</v>
      </c>
      <c r="H183" t="s">
        <v>34</v>
      </c>
      <c r="I183" t="s">
        <v>26</v>
      </c>
      <c r="J183" t="s">
        <v>45</v>
      </c>
      <c r="K183" t="s">
        <v>28</v>
      </c>
      <c r="L183" t="s">
        <v>38</v>
      </c>
      <c r="M183" t="s">
        <v>46</v>
      </c>
      <c r="N183" t="s">
        <v>28</v>
      </c>
      <c r="O183" t="b">
        <v>0</v>
      </c>
      <c r="P183" t="b">
        <v>0</v>
      </c>
      <c r="Q183">
        <v>9.6</v>
      </c>
      <c r="R183" t="b">
        <v>1</v>
      </c>
      <c r="S183" t="s">
        <v>30</v>
      </c>
      <c r="T183">
        <v>4.3</v>
      </c>
      <c r="U183">
        <v>95.05</v>
      </c>
      <c r="V183" t="b">
        <v>1</v>
      </c>
      <c r="W183" t="s">
        <v>31</v>
      </c>
    </row>
    <row r="184" spans="1:23" x14ac:dyDescent="0.25">
      <c r="A184" t="s">
        <v>68</v>
      </c>
      <c r="B184" t="s">
        <v>73</v>
      </c>
      <c r="C184">
        <v>62.89</v>
      </c>
      <c r="D184">
        <v>324</v>
      </c>
      <c r="E184" t="b">
        <v>1</v>
      </c>
      <c r="F184" t="b">
        <v>1</v>
      </c>
      <c r="G184" t="b">
        <v>1</v>
      </c>
      <c r="H184" t="s">
        <v>53</v>
      </c>
      <c r="I184" t="s">
        <v>63</v>
      </c>
      <c r="J184" t="s">
        <v>54</v>
      </c>
      <c r="K184" t="s">
        <v>28</v>
      </c>
      <c r="L184" t="s">
        <v>29</v>
      </c>
      <c r="M184" t="s">
        <v>46</v>
      </c>
      <c r="N184" t="s">
        <v>46</v>
      </c>
      <c r="O184" t="b">
        <v>1</v>
      </c>
      <c r="P184" t="b">
        <v>1</v>
      </c>
      <c r="Q184">
        <v>9</v>
      </c>
      <c r="R184" t="b">
        <v>1</v>
      </c>
      <c r="S184" t="s">
        <v>48</v>
      </c>
      <c r="T184">
        <v>9.8000000000000007</v>
      </c>
      <c r="U184">
        <v>53.07</v>
      </c>
      <c r="V184" t="b">
        <v>0</v>
      </c>
      <c r="W184" t="s">
        <v>31</v>
      </c>
    </row>
    <row r="185" spans="1:23" x14ac:dyDescent="0.25">
      <c r="A185" t="s">
        <v>32</v>
      </c>
      <c r="B185" t="s">
        <v>60</v>
      </c>
      <c r="C185">
        <v>63.53</v>
      </c>
      <c r="D185">
        <v>593</v>
      </c>
      <c r="E185" t="b">
        <v>1</v>
      </c>
      <c r="F185" t="b">
        <v>0</v>
      </c>
      <c r="G185" t="b">
        <v>1</v>
      </c>
      <c r="H185" t="s">
        <v>53</v>
      </c>
      <c r="I185" t="s">
        <v>63</v>
      </c>
      <c r="J185" t="s">
        <v>50</v>
      </c>
      <c r="K185" t="s">
        <v>39</v>
      </c>
      <c r="L185" t="s">
        <v>37</v>
      </c>
      <c r="M185" t="s">
        <v>47</v>
      </c>
      <c r="N185" t="s">
        <v>39</v>
      </c>
      <c r="O185" t="b">
        <v>0</v>
      </c>
      <c r="P185" t="b">
        <v>1</v>
      </c>
      <c r="Q185">
        <v>5.7</v>
      </c>
      <c r="R185" t="b">
        <v>1</v>
      </c>
      <c r="S185" t="s">
        <v>65</v>
      </c>
      <c r="T185">
        <v>34</v>
      </c>
      <c r="U185">
        <v>73.09</v>
      </c>
      <c r="V185" t="b">
        <v>1</v>
      </c>
      <c r="W185" t="s">
        <v>41</v>
      </c>
    </row>
    <row r="186" spans="1:23" x14ac:dyDescent="0.25">
      <c r="A186" t="s">
        <v>74</v>
      </c>
      <c r="B186" t="s">
        <v>73</v>
      </c>
      <c r="C186">
        <v>69.95</v>
      </c>
      <c r="D186">
        <v>493</v>
      </c>
      <c r="E186" t="b">
        <v>0</v>
      </c>
      <c r="F186" t="b">
        <v>0</v>
      </c>
      <c r="G186" t="b">
        <v>1</v>
      </c>
      <c r="H186" t="s">
        <v>43</v>
      </c>
      <c r="I186" t="s">
        <v>63</v>
      </c>
      <c r="J186" t="s">
        <v>50</v>
      </c>
      <c r="K186" t="s">
        <v>28</v>
      </c>
      <c r="L186" t="s">
        <v>38</v>
      </c>
      <c r="M186" t="s">
        <v>28</v>
      </c>
      <c r="N186" t="s">
        <v>39</v>
      </c>
      <c r="P186" t="b">
        <v>0</v>
      </c>
      <c r="Q186">
        <v>9</v>
      </c>
      <c r="R186" t="b">
        <v>0</v>
      </c>
      <c r="T186">
        <v>0</v>
      </c>
      <c r="U186">
        <v>75.48</v>
      </c>
      <c r="V186" t="b">
        <v>1</v>
      </c>
      <c r="W186" t="s">
        <v>58</v>
      </c>
    </row>
    <row r="187" spans="1:23" x14ac:dyDescent="0.25">
      <c r="A187" t="s">
        <v>56</v>
      </c>
      <c r="B187" t="s">
        <v>33</v>
      </c>
      <c r="C187">
        <v>86.33</v>
      </c>
      <c r="D187">
        <v>450</v>
      </c>
      <c r="E187" t="b">
        <v>0</v>
      </c>
      <c r="F187" t="b">
        <v>0</v>
      </c>
      <c r="G187" t="b">
        <v>1</v>
      </c>
      <c r="H187" t="s">
        <v>43</v>
      </c>
      <c r="I187" t="s">
        <v>44</v>
      </c>
      <c r="J187" t="s">
        <v>27</v>
      </c>
      <c r="K187" t="s">
        <v>37</v>
      </c>
      <c r="L187" t="s">
        <v>38</v>
      </c>
      <c r="M187" t="s">
        <v>28</v>
      </c>
      <c r="N187" t="s">
        <v>39</v>
      </c>
      <c r="P187" t="b">
        <v>0</v>
      </c>
      <c r="Q187">
        <v>10</v>
      </c>
      <c r="R187" t="b">
        <v>0</v>
      </c>
      <c r="T187">
        <v>0</v>
      </c>
      <c r="U187">
        <v>80.760000000000005</v>
      </c>
      <c r="V187" t="b">
        <v>1</v>
      </c>
      <c r="W187" t="s">
        <v>58</v>
      </c>
    </row>
    <row r="188" spans="1:23" x14ac:dyDescent="0.25">
      <c r="A188" t="s">
        <v>68</v>
      </c>
      <c r="B188" t="s">
        <v>71</v>
      </c>
      <c r="C188">
        <v>47.94</v>
      </c>
      <c r="D188">
        <v>489</v>
      </c>
      <c r="E188" t="b">
        <v>0</v>
      </c>
      <c r="F188" t="b">
        <v>0</v>
      </c>
      <c r="G188" t="b">
        <v>1</v>
      </c>
      <c r="H188" t="s">
        <v>25</v>
      </c>
      <c r="I188" t="s">
        <v>26</v>
      </c>
      <c r="J188" t="s">
        <v>36</v>
      </c>
      <c r="K188" t="s">
        <v>28</v>
      </c>
      <c r="L188" t="s">
        <v>69</v>
      </c>
      <c r="M188" t="s">
        <v>47</v>
      </c>
      <c r="O188" t="b">
        <v>1</v>
      </c>
      <c r="P188" t="b">
        <v>1</v>
      </c>
      <c r="Q188">
        <v>6.5</v>
      </c>
      <c r="R188" t="b">
        <v>1</v>
      </c>
      <c r="S188" t="s">
        <v>55</v>
      </c>
      <c r="T188">
        <v>3.5</v>
      </c>
      <c r="U188">
        <v>49.56</v>
      </c>
      <c r="V188" t="b">
        <v>1</v>
      </c>
      <c r="W188" t="s">
        <v>41</v>
      </c>
    </row>
    <row r="189" spans="1:23" x14ac:dyDescent="0.25">
      <c r="A189" t="s">
        <v>74</v>
      </c>
      <c r="B189" t="s">
        <v>24</v>
      </c>
      <c r="C189">
        <v>97.09</v>
      </c>
      <c r="D189">
        <v>412</v>
      </c>
      <c r="E189" t="b">
        <v>1</v>
      </c>
      <c r="F189" t="b">
        <v>0</v>
      </c>
      <c r="G189" t="b">
        <v>1</v>
      </c>
      <c r="H189" t="s">
        <v>25</v>
      </c>
      <c r="I189" t="s">
        <v>44</v>
      </c>
      <c r="J189" t="s">
        <v>36</v>
      </c>
      <c r="K189" t="s">
        <v>39</v>
      </c>
      <c r="L189" t="s">
        <v>51</v>
      </c>
      <c r="M189" t="s">
        <v>28</v>
      </c>
      <c r="O189" t="b">
        <v>1</v>
      </c>
      <c r="P189" t="b">
        <v>1</v>
      </c>
      <c r="Q189">
        <v>10</v>
      </c>
      <c r="R189" t="b">
        <v>1</v>
      </c>
      <c r="S189" t="s">
        <v>75</v>
      </c>
      <c r="T189">
        <v>5.5</v>
      </c>
      <c r="U189">
        <v>86.07</v>
      </c>
      <c r="V189" t="b">
        <v>1</v>
      </c>
      <c r="W189" t="s">
        <v>31</v>
      </c>
    </row>
    <row r="190" spans="1:23" x14ac:dyDescent="0.25">
      <c r="A190" t="s">
        <v>32</v>
      </c>
      <c r="B190" t="s">
        <v>33</v>
      </c>
      <c r="C190">
        <v>86.57</v>
      </c>
      <c r="D190">
        <v>468</v>
      </c>
      <c r="E190" t="b">
        <v>0</v>
      </c>
      <c r="F190" t="b">
        <v>1</v>
      </c>
      <c r="G190" t="b">
        <v>0</v>
      </c>
      <c r="H190" t="s">
        <v>34</v>
      </c>
      <c r="I190" t="s">
        <v>44</v>
      </c>
      <c r="J190" t="s">
        <v>45</v>
      </c>
      <c r="K190" t="s">
        <v>37</v>
      </c>
      <c r="L190" t="s">
        <v>29</v>
      </c>
      <c r="M190" t="s">
        <v>47</v>
      </c>
      <c r="N190" t="s">
        <v>28</v>
      </c>
      <c r="O190" t="b">
        <v>1</v>
      </c>
      <c r="P190" t="b">
        <v>1</v>
      </c>
      <c r="Q190">
        <v>8.3000000000000007</v>
      </c>
      <c r="R190" t="b">
        <v>1</v>
      </c>
      <c r="S190" t="s">
        <v>48</v>
      </c>
      <c r="T190">
        <v>14.7</v>
      </c>
      <c r="U190">
        <v>88.68</v>
      </c>
      <c r="V190" t="b">
        <v>1</v>
      </c>
      <c r="W190" t="s">
        <v>31</v>
      </c>
    </row>
    <row r="191" spans="1:23" x14ac:dyDescent="0.25">
      <c r="A191" t="s">
        <v>56</v>
      </c>
      <c r="B191" t="s">
        <v>66</v>
      </c>
      <c r="C191">
        <v>78.19</v>
      </c>
      <c r="D191">
        <v>713</v>
      </c>
      <c r="E191" t="b">
        <v>0</v>
      </c>
      <c r="F191" t="b">
        <v>0</v>
      </c>
      <c r="G191" t="b">
        <v>1</v>
      </c>
      <c r="H191" t="s">
        <v>34</v>
      </c>
      <c r="I191" t="s">
        <v>44</v>
      </c>
      <c r="J191" t="s">
        <v>45</v>
      </c>
      <c r="K191" t="s">
        <v>28</v>
      </c>
      <c r="L191" t="s">
        <v>69</v>
      </c>
      <c r="M191" t="s">
        <v>28</v>
      </c>
      <c r="N191" t="s">
        <v>46</v>
      </c>
      <c r="P191" t="b">
        <v>0</v>
      </c>
      <c r="Q191">
        <v>9.9</v>
      </c>
      <c r="R191" t="b">
        <v>0</v>
      </c>
      <c r="T191">
        <v>0</v>
      </c>
      <c r="U191">
        <v>66.53</v>
      </c>
      <c r="V191" t="b">
        <v>0</v>
      </c>
      <c r="W191" t="s">
        <v>58</v>
      </c>
    </row>
    <row r="192" spans="1:23" x14ac:dyDescent="0.25">
      <c r="A192" t="s">
        <v>23</v>
      </c>
      <c r="B192" t="s">
        <v>60</v>
      </c>
      <c r="C192">
        <v>58.61</v>
      </c>
      <c r="D192">
        <v>283</v>
      </c>
      <c r="E192" t="b">
        <v>0</v>
      </c>
      <c r="F192" t="b">
        <v>0</v>
      </c>
      <c r="G192" t="b">
        <v>0</v>
      </c>
      <c r="H192" t="s">
        <v>34</v>
      </c>
      <c r="I192" t="s">
        <v>57</v>
      </c>
      <c r="J192" t="s">
        <v>45</v>
      </c>
      <c r="K192" t="s">
        <v>28</v>
      </c>
      <c r="L192" t="s">
        <v>38</v>
      </c>
      <c r="M192" t="s">
        <v>46</v>
      </c>
      <c r="N192" t="s">
        <v>28</v>
      </c>
      <c r="P192" t="b">
        <v>1</v>
      </c>
      <c r="Q192">
        <v>7.6</v>
      </c>
      <c r="R192" t="b">
        <v>0</v>
      </c>
      <c r="T192">
        <v>0</v>
      </c>
      <c r="U192">
        <v>47.19</v>
      </c>
      <c r="V192" t="b">
        <v>0</v>
      </c>
      <c r="W192" t="s">
        <v>31</v>
      </c>
    </row>
    <row r="193" spans="1:23" x14ac:dyDescent="0.25">
      <c r="A193" t="s">
        <v>23</v>
      </c>
      <c r="B193" t="s">
        <v>60</v>
      </c>
      <c r="C193">
        <v>60.88</v>
      </c>
      <c r="D193">
        <v>403</v>
      </c>
      <c r="E193" t="b">
        <v>0</v>
      </c>
      <c r="F193" t="b">
        <v>1</v>
      </c>
      <c r="G193" t="b">
        <v>0</v>
      </c>
      <c r="H193" t="s">
        <v>34</v>
      </c>
      <c r="I193" t="s">
        <v>67</v>
      </c>
      <c r="J193" t="s">
        <v>45</v>
      </c>
      <c r="K193" t="s">
        <v>39</v>
      </c>
      <c r="L193" t="s">
        <v>37</v>
      </c>
      <c r="M193" t="s">
        <v>28</v>
      </c>
      <c r="N193" t="s">
        <v>46</v>
      </c>
      <c r="P193" t="b">
        <v>1</v>
      </c>
      <c r="Q193">
        <v>6.3</v>
      </c>
      <c r="R193" t="b">
        <v>0</v>
      </c>
      <c r="T193">
        <v>0</v>
      </c>
      <c r="U193">
        <v>68.34</v>
      </c>
      <c r="V193" t="b">
        <v>1</v>
      </c>
      <c r="W193" t="s">
        <v>31</v>
      </c>
    </row>
    <row r="194" spans="1:23" x14ac:dyDescent="0.25">
      <c r="A194" t="s">
        <v>68</v>
      </c>
      <c r="B194" t="s">
        <v>59</v>
      </c>
      <c r="C194">
        <v>76.290000000000006</v>
      </c>
      <c r="D194">
        <v>549</v>
      </c>
      <c r="E194" t="b">
        <v>1</v>
      </c>
      <c r="F194" t="b">
        <v>1</v>
      </c>
      <c r="G194" t="b">
        <v>1</v>
      </c>
      <c r="H194" t="s">
        <v>43</v>
      </c>
      <c r="I194" t="s">
        <v>67</v>
      </c>
      <c r="J194" t="s">
        <v>27</v>
      </c>
      <c r="K194" t="s">
        <v>39</v>
      </c>
      <c r="L194" t="s">
        <v>51</v>
      </c>
      <c r="M194" t="s">
        <v>47</v>
      </c>
      <c r="N194" t="s">
        <v>28</v>
      </c>
      <c r="O194" t="b">
        <v>1</v>
      </c>
      <c r="P194" t="b">
        <v>1</v>
      </c>
      <c r="Q194">
        <v>8.5</v>
      </c>
      <c r="R194" t="b">
        <v>1</v>
      </c>
      <c r="S194" t="s">
        <v>65</v>
      </c>
      <c r="T194">
        <v>18.399999999999999</v>
      </c>
      <c r="U194">
        <v>71.62</v>
      </c>
      <c r="V194" t="b">
        <v>1</v>
      </c>
      <c r="W194" t="s">
        <v>31</v>
      </c>
    </row>
    <row r="195" spans="1:23" x14ac:dyDescent="0.25">
      <c r="A195" t="s">
        <v>74</v>
      </c>
      <c r="B195" t="s">
        <v>70</v>
      </c>
      <c r="C195">
        <v>80.319999999999993</v>
      </c>
      <c r="D195">
        <v>51</v>
      </c>
      <c r="E195" t="b">
        <v>1</v>
      </c>
      <c r="F195" t="b">
        <v>0</v>
      </c>
      <c r="G195" t="b">
        <v>0</v>
      </c>
      <c r="H195" t="s">
        <v>25</v>
      </c>
      <c r="I195" t="s">
        <v>35</v>
      </c>
      <c r="J195" t="s">
        <v>45</v>
      </c>
      <c r="K195" t="s">
        <v>28</v>
      </c>
      <c r="L195" t="s">
        <v>29</v>
      </c>
      <c r="M195" t="s">
        <v>28</v>
      </c>
      <c r="N195" t="s">
        <v>39</v>
      </c>
      <c r="O195" t="b">
        <v>0</v>
      </c>
      <c r="P195" t="b">
        <v>1</v>
      </c>
      <c r="Q195">
        <v>9.1</v>
      </c>
      <c r="R195" t="b">
        <v>0</v>
      </c>
      <c r="T195">
        <v>0</v>
      </c>
      <c r="U195">
        <v>78.540000000000006</v>
      </c>
      <c r="V195" t="b">
        <v>1</v>
      </c>
      <c r="W195" t="s">
        <v>58</v>
      </c>
    </row>
    <row r="196" spans="1:23" x14ac:dyDescent="0.25">
      <c r="A196" t="s">
        <v>74</v>
      </c>
      <c r="B196" t="s">
        <v>66</v>
      </c>
      <c r="C196">
        <v>60.97</v>
      </c>
      <c r="D196">
        <v>622</v>
      </c>
      <c r="E196" t="b">
        <v>1</v>
      </c>
      <c r="F196" t="b">
        <v>1</v>
      </c>
      <c r="G196" t="b">
        <v>1</v>
      </c>
      <c r="H196" t="s">
        <v>43</v>
      </c>
      <c r="I196" t="s">
        <v>26</v>
      </c>
      <c r="J196" t="s">
        <v>45</v>
      </c>
      <c r="K196" t="s">
        <v>46</v>
      </c>
      <c r="L196" t="s">
        <v>37</v>
      </c>
      <c r="M196" t="s">
        <v>46</v>
      </c>
      <c r="N196" t="s">
        <v>46</v>
      </c>
      <c r="P196" t="b">
        <v>0</v>
      </c>
      <c r="Q196">
        <v>7.6</v>
      </c>
      <c r="R196" t="b">
        <v>0</v>
      </c>
      <c r="T196">
        <v>0</v>
      </c>
      <c r="U196">
        <v>46.25</v>
      </c>
      <c r="V196" t="b">
        <v>0</v>
      </c>
      <c r="W196" t="s">
        <v>31</v>
      </c>
    </row>
    <row r="197" spans="1:23" x14ac:dyDescent="0.25">
      <c r="A197" t="s">
        <v>23</v>
      </c>
      <c r="B197" t="s">
        <v>71</v>
      </c>
      <c r="C197">
        <v>43.83</v>
      </c>
      <c r="D197">
        <v>681</v>
      </c>
      <c r="E197" t="b">
        <v>1</v>
      </c>
      <c r="F197" t="b">
        <v>0</v>
      </c>
      <c r="G197" t="b">
        <v>1</v>
      </c>
      <c r="H197" t="s">
        <v>43</v>
      </c>
      <c r="I197" t="s">
        <v>35</v>
      </c>
      <c r="J197" t="s">
        <v>36</v>
      </c>
      <c r="K197" t="s">
        <v>37</v>
      </c>
      <c r="L197" t="s">
        <v>69</v>
      </c>
      <c r="M197" t="s">
        <v>28</v>
      </c>
      <c r="N197" t="s">
        <v>28</v>
      </c>
      <c r="O197" t="b">
        <v>1</v>
      </c>
      <c r="P197" t="b">
        <v>0</v>
      </c>
      <c r="Q197">
        <v>8.4</v>
      </c>
      <c r="R197" t="b">
        <v>1</v>
      </c>
      <c r="S197" t="s">
        <v>64</v>
      </c>
      <c r="T197">
        <v>11.9</v>
      </c>
      <c r="U197">
        <v>24.79</v>
      </c>
      <c r="V197" t="b">
        <v>0</v>
      </c>
      <c r="W197" t="s">
        <v>31</v>
      </c>
    </row>
    <row r="198" spans="1:23" x14ac:dyDescent="0.25">
      <c r="A198" t="s">
        <v>74</v>
      </c>
      <c r="B198" t="s">
        <v>76</v>
      </c>
      <c r="C198">
        <v>77.89</v>
      </c>
      <c r="D198">
        <v>83</v>
      </c>
      <c r="E198" t="b">
        <v>0</v>
      </c>
      <c r="F198" t="b">
        <v>0</v>
      </c>
      <c r="G198" t="b">
        <v>0</v>
      </c>
      <c r="H198" t="s">
        <v>53</v>
      </c>
      <c r="I198" t="s">
        <v>35</v>
      </c>
      <c r="J198" t="s">
        <v>50</v>
      </c>
      <c r="K198" t="s">
        <v>28</v>
      </c>
      <c r="L198" t="s">
        <v>29</v>
      </c>
      <c r="M198" t="s">
        <v>46</v>
      </c>
      <c r="N198" t="s">
        <v>28</v>
      </c>
      <c r="P198" t="b">
        <v>0</v>
      </c>
      <c r="Q198">
        <v>8.3000000000000007</v>
      </c>
      <c r="R198" t="b">
        <v>1</v>
      </c>
      <c r="S198" t="s">
        <v>55</v>
      </c>
      <c r="T198">
        <v>2.8</v>
      </c>
      <c r="U198">
        <v>70.239999999999995</v>
      </c>
      <c r="V198" t="b">
        <v>1</v>
      </c>
      <c r="W198" t="s">
        <v>31</v>
      </c>
    </row>
    <row r="199" spans="1:23" x14ac:dyDescent="0.25">
      <c r="A199" t="s">
        <v>23</v>
      </c>
      <c r="B199" t="s">
        <v>42</v>
      </c>
      <c r="C199">
        <v>81.69</v>
      </c>
      <c r="D199">
        <v>555</v>
      </c>
      <c r="E199" t="b">
        <v>0</v>
      </c>
      <c r="F199" t="b">
        <v>1</v>
      </c>
      <c r="G199" t="b">
        <v>1</v>
      </c>
      <c r="H199" t="s">
        <v>34</v>
      </c>
      <c r="I199" t="s">
        <v>26</v>
      </c>
      <c r="J199" t="s">
        <v>27</v>
      </c>
      <c r="K199" t="s">
        <v>37</v>
      </c>
      <c r="L199" t="s">
        <v>69</v>
      </c>
      <c r="M199" t="s">
        <v>47</v>
      </c>
      <c r="N199" t="s">
        <v>46</v>
      </c>
      <c r="O199" t="b">
        <v>1</v>
      </c>
      <c r="P199" t="b">
        <v>0</v>
      </c>
      <c r="Q199">
        <v>9.1</v>
      </c>
      <c r="R199" t="b">
        <v>0</v>
      </c>
      <c r="T199">
        <v>0</v>
      </c>
      <c r="U199">
        <v>74.680000000000007</v>
      </c>
      <c r="V199" t="b">
        <v>1</v>
      </c>
      <c r="W199" t="s">
        <v>58</v>
      </c>
    </row>
    <row r="200" spans="1:23" x14ac:dyDescent="0.25">
      <c r="A200" t="s">
        <v>32</v>
      </c>
      <c r="B200" t="s">
        <v>62</v>
      </c>
      <c r="C200">
        <v>57.69</v>
      </c>
      <c r="D200">
        <v>701</v>
      </c>
      <c r="E200" t="b">
        <v>1</v>
      </c>
      <c r="F200" t="b">
        <v>0</v>
      </c>
      <c r="G200" t="b">
        <v>1</v>
      </c>
      <c r="H200" t="s">
        <v>34</v>
      </c>
      <c r="I200" t="s">
        <v>63</v>
      </c>
      <c r="J200" t="s">
        <v>54</v>
      </c>
      <c r="K200" t="s">
        <v>28</v>
      </c>
      <c r="L200" t="s">
        <v>69</v>
      </c>
      <c r="M200" t="s">
        <v>46</v>
      </c>
      <c r="N200" t="s">
        <v>28</v>
      </c>
      <c r="O200" t="b">
        <v>0</v>
      </c>
      <c r="P200" t="b">
        <v>0</v>
      </c>
      <c r="Q200">
        <v>7.2</v>
      </c>
      <c r="R200" t="b">
        <v>1</v>
      </c>
      <c r="S200" t="s">
        <v>52</v>
      </c>
      <c r="T200">
        <v>13.3</v>
      </c>
      <c r="U200">
        <v>60.87</v>
      </c>
      <c r="V200" t="b">
        <v>1</v>
      </c>
      <c r="W200" t="s">
        <v>41</v>
      </c>
    </row>
    <row r="201" spans="1:23" x14ac:dyDescent="0.25">
      <c r="A201" t="s">
        <v>68</v>
      </c>
      <c r="B201" t="s">
        <v>33</v>
      </c>
      <c r="C201">
        <v>86.33</v>
      </c>
      <c r="D201">
        <v>184</v>
      </c>
      <c r="E201" t="b">
        <v>0</v>
      </c>
      <c r="F201" t="b">
        <v>1</v>
      </c>
      <c r="G201" t="b">
        <v>1</v>
      </c>
      <c r="H201" t="s">
        <v>25</v>
      </c>
      <c r="I201" t="s">
        <v>57</v>
      </c>
      <c r="J201" t="s">
        <v>36</v>
      </c>
      <c r="K201" t="s">
        <v>37</v>
      </c>
      <c r="L201" t="s">
        <v>38</v>
      </c>
      <c r="M201" t="s">
        <v>28</v>
      </c>
      <c r="N201" t="s">
        <v>28</v>
      </c>
      <c r="P201" t="b">
        <v>1</v>
      </c>
      <c r="Q201">
        <v>9.6999999999999993</v>
      </c>
      <c r="R201" t="b">
        <v>1</v>
      </c>
      <c r="S201" t="s">
        <v>48</v>
      </c>
      <c r="T201">
        <v>15.4</v>
      </c>
      <c r="U201">
        <v>88.66</v>
      </c>
      <c r="V201" t="b">
        <v>1</v>
      </c>
      <c r="W201" t="s">
        <v>31</v>
      </c>
    </row>
    <row r="202" spans="1:23" x14ac:dyDescent="0.25">
      <c r="A202" t="s">
        <v>32</v>
      </c>
      <c r="B202" t="s">
        <v>73</v>
      </c>
      <c r="C202">
        <v>46.63</v>
      </c>
      <c r="D202">
        <v>342</v>
      </c>
      <c r="E202" t="b">
        <v>1</v>
      </c>
      <c r="F202" t="b">
        <v>0</v>
      </c>
      <c r="G202" t="b">
        <v>1</v>
      </c>
      <c r="H202" t="s">
        <v>53</v>
      </c>
      <c r="I202" t="s">
        <v>63</v>
      </c>
      <c r="J202" t="s">
        <v>45</v>
      </c>
      <c r="K202" t="s">
        <v>46</v>
      </c>
      <c r="L202" t="s">
        <v>38</v>
      </c>
      <c r="M202" t="s">
        <v>46</v>
      </c>
      <c r="O202" t="b">
        <v>0</v>
      </c>
      <c r="P202" t="b">
        <v>1</v>
      </c>
      <c r="Q202">
        <v>6.5</v>
      </c>
      <c r="R202" t="b">
        <v>0</v>
      </c>
      <c r="T202">
        <v>0</v>
      </c>
      <c r="U202">
        <v>59.79</v>
      </c>
      <c r="V202" t="b">
        <v>1</v>
      </c>
      <c r="W202" t="s">
        <v>31</v>
      </c>
    </row>
    <row r="203" spans="1:23" x14ac:dyDescent="0.25">
      <c r="A203" t="s">
        <v>23</v>
      </c>
      <c r="B203" t="s">
        <v>33</v>
      </c>
      <c r="C203">
        <v>86.04</v>
      </c>
      <c r="D203">
        <v>64</v>
      </c>
      <c r="E203" t="b">
        <v>1</v>
      </c>
      <c r="F203" t="b">
        <v>1</v>
      </c>
      <c r="G203" t="b">
        <v>0</v>
      </c>
      <c r="H203" t="s">
        <v>43</v>
      </c>
      <c r="I203" t="s">
        <v>63</v>
      </c>
      <c r="J203" t="s">
        <v>54</v>
      </c>
      <c r="K203" t="s">
        <v>46</v>
      </c>
      <c r="L203" t="s">
        <v>69</v>
      </c>
      <c r="M203" t="s">
        <v>28</v>
      </c>
      <c r="N203" t="s">
        <v>46</v>
      </c>
      <c r="O203" t="b">
        <v>0</v>
      </c>
      <c r="P203" t="b">
        <v>1</v>
      </c>
      <c r="Q203">
        <v>9.8000000000000007</v>
      </c>
      <c r="R203" t="b">
        <v>0</v>
      </c>
      <c r="T203">
        <v>0</v>
      </c>
      <c r="U203">
        <v>82.22</v>
      </c>
      <c r="V203" t="b">
        <v>1</v>
      </c>
      <c r="W203" t="s">
        <v>58</v>
      </c>
    </row>
    <row r="204" spans="1:23" x14ac:dyDescent="0.25">
      <c r="A204" t="s">
        <v>68</v>
      </c>
      <c r="B204" t="s">
        <v>42</v>
      </c>
      <c r="C204">
        <v>77.56</v>
      </c>
      <c r="D204">
        <v>757</v>
      </c>
      <c r="E204" t="b">
        <v>1</v>
      </c>
      <c r="F204" t="b">
        <v>1</v>
      </c>
      <c r="G204" t="b">
        <v>0</v>
      </c>
      <c r="H204" t="s">
        <v>43</v>
      </c>
      <c r="I204" t="s">
        <v>26</v>
      </c>
      <c r="J204" t="s">
        <v>54</v>
      </c>
      <c r="K204" t="s">
        <v>46</v>
      </c>
      <c r="L204" t="s">
        <v>51</v>
      </c>
      <c r="M204" t="s">
        <v>46</v>
      </c>
      <c r="P204" t="b">
        <v>0</v>
      </c>
      <c r="Q204">
        <v>8.6</v>
      </c>
      <c r="R204" t="b">
        <v>0</v>
      </c>
      <c r="T204">
        <v>0</v>
      </c>
      <c r="U204">
        <v>79.69</v>
      </c>
      <c r="V204" t="b">
        <v>1</v>
      </c>
      <c r="W204" t="s">
        <v>58</v>
      </c>
    </row>
    <row r="205" spans="1:23" x14ac:dyDescent="0.25">
      <c r="A205" t="s">
        <v>23</v>
      </c>
      <c r="B205" t="s">
        <v>59</v>
      </c>
      <c r="C205">
        <v>77.08</v>
      </c>
      <c r="D205">
        <v>635</v>
      </c>
      <c r="E205" t="b">
        <v>0</v>
      </c>
      <c r="F205" t="b">
        <v>0</v>
      </c>
      <c r="G205" t="b">
        <v>0</v>
      </c>
      <c r="H205" t="s">
        <v>25</v>
      </c>
      <c r="I205" t="s">
        <v>67</v>
      </c>
      <c r="J205" t="s">
        <v>54</v>
      </c>
      <c r="K205" t="s">
        <v>39</v>
      </c>
      <c r="L205" t="s">
        <v>51</v>
      </c>
      <c r="M205" t="s">
        <v>39</v>
      </c>
      <c r="O205" t="b">
        <v>1</v>
      </c>
      <c r="P205" t="b">
        <v>0</v>
      </c>
      <c r="Q205">
        <v>8.6999999999999993</v>
      </c>
      <c r="R205" t="b">
        <v>1</v>
      </c>
      <c r="S205" t="s">
        <v>30</v>
      </c>
      <c r="T205">
        <v>10.8</v>
      </c>
      <c r="U205">
        <v>79.06</v>
      </c>
      <c r="V205" t="b">
        <v>1</v>
      </c>
      <c r="W205" t="s">
        <v>31</v>
      </c>
    </row>
    <row r="206" spans="1:23" x14ac:dyDescent="0.25">
      <c r="A206" t="s">
        <v>61</v>
      </c>
      <c r="B206" t="s">
        <v>42</v>
      </c>
      <c r="C206">
        <v>72.48</v>
      </c>
      <c r="D206">
        <v>157</v>
      </c>
      <c r="E206" t="b">
        <v>1</v>
      </c>
      <c r="F206" t="b">
        <v>1</v>
      </c>
      <c r="G206" t="b">
        <v>1</v>
      </c>
      <c r="H206" t="s">
        <v>43</v>
      </c>
      <c r="I206" t="s">
        <v>35</v>
      </c>
      <c r="J206" t="s">
        <v>27</v>
      </c>
      <c r="K206" t="s">
        <v>39</v>
      </c>
      <c r="L206" t="s">
        <v>69</v>
      </c>
      <c r="M206" t="s">
        <v>46</v>
      </c>
      <c r="N206" t="s">
        <v>46</v>
      </c>
      <c r="P206" t="b">
        <v>1</v>
      </c>
      <c r="Q206">
        <v>8.3000000000000007</v>
      </c>
      <c r="R206" t="b">
        <v>1</v>
      </c>
      <c r="S206" t="s">
        <v>40</v>
      </c>
      <c r="T206">
        <v>19.2</v>
      </c>
      <c r="U206">
        <v>57.85</v>
      </c>
      <c r="V206" t="b">
        <v>0</v>
      </c>
      <c r="W206" t="s">
        <v>31</v>
      </c>
    </row>
    <row r="207" spans="1:23" x14ac:dyDescent="0.25">
      <c r="A207" t="s">
        <v>74</v>
      </c>
      <c r="B207" t="s">
        <v>71</v>
      </c>
      <c r="C207">
        <v>56.67</v>
      </c>
      <c r="D207">
        <v>60</v>
      </c>
      <c r="E207" t="b">
        <v>1</v>
      </c>
      <c r="F207" t="b">
        <v>0</v>
      </c>
      <c r="G207" t="b">
        <v>1</v>
      </c>
      <c r="H207" t="s">
        <v>25</v>
      </c>
      <c r="I207" t="s">
        <v>26</v>
      </c>
      <c r="J207" t="s">
        <v>36</v>
      </c>
      <c r="K207" t="s">
        <v>28</v>
      </c>
      <c r="L207" t="s">
        <v>69</v>
      </c>
      <c r="M207" t="s">
        <v>47</v>
      </c>
      <c r="N207" t="s">
        <v>46</v>
      </c>
      <c r="O207" t="b">
        <v>1</v>
      </c>
      <c r="P207" t="b">
        <v>1</v>
      </c>
      <c r="Q207">
        <v>8.6</v>
      </c>
      <c r="R207" t="b">
        <v>0</v>
      </c>
      <c r="T207">
        <v>0</v>
      </c>
      <c r="U207">
        <v>48.49</v>
      </c>
      <c r="V207" t="b">
        <v>0</v>
      </c>
      <c r="W207" t="s">
        <v>58</v>
      </c>
    </row>
    <row r="208" spans="1:23" x14ac:dyDescent="0.25">
      <c r="A208" t="s">
        <v>68</v>
      </c>
      <c r="B208" t="s">
        <v>73</v>
      </c>
      <c r="C208">
        <v>51.72</v>
      </c>
      <c r="D208">
        <v>651</v>
      </c>
      <c r="E208" t="b">
        <v>0</v>
      </c>
      <c r="F208" t="b">
        <v>1</v>
      </c>
      <c r="G208" t="b">
        <v>1</v>
      </c>
      <c r="H208" t="s">
        <v>25</v>
      </c>
      <c r="I208" t="s">
        <v>26</v>
      </c>
      <c r="J208" t="s">
        <v>36</v>
      </c>
      <c r="K208" t="s">
        <v>46</v>
      </c>
      <c r="L208" t="s">
        <v>69</v>
      </c>
      <c r="M208" t="s">
        <v>39</v>
      </c>
      <c r="N208" t="s">
        <v>46</v>
      </c>
      <c r="O208" t="b">
        <v>1</v>
      </c>
      <c r="P208" t="b">
        <v>0</v>
      </c>
      <c r="Q208">
        <v>7.8</v>
      </c>
      <c r="R208" t="b">
        <v>1</v>
      </c>
      <c r="S208" t="s">
        <v>55</v>
      </c>
      <c r="T208">
        <v>31.1</v>
      </c>
      <c r="U208">
        <v>52.21</v>
      </c>
      <c r="V208" t="b">
        <v>0</v>
      </c>
      <c r="W208" t="s">
        <v>41</v>
      </c>
    </row>
    <row r="209" spans="1:23" x14ac:dyDescent="0.25">
      <c r="A209" t="s">
        <v>74</v>
      </c>
      <c r="B209" t="s">
        <v>59</v>
      </c>
      <c r="C209">
        <v>83.99</v>
      </c>
      <c r="D209">
        <v>389</v>
      </c>
      <c r="E209" t="b">
        <v>1</v>
      </c>
      <c r="F209" t="b">
        <v>1</v>
      </c>
      <c r="G209" t="b">
        <v>0</v>
      </c>
      <c r="H209" t="s">
        <v>25</v>
      </c>
      <c r="I209" t="s">
        <v>35</v>
      </c>
      <c r="J209" t="s">
        <v>54</v>
      </c>
      <c r="K209" t="s">
        <v>37</v>
      </c>
      <c r="L209" t="s">
        <v>51</v>
      </c>
      <c r="M209" t="s">
        <v>39</v>
      </c>
      <c r="N209" t="s">
        <v>39</v>
      </c>
      <c r="O209" t="b">
        <v>1</v>
      </c>
      <c r="P209" t="b">
        <v>1</v>
      </c>
      <c r="Q209">
        <v>10</v>
      </c>
      <c r="R209" t="b">
        <v>0</v>
      </c>
      <c r="T209">
        <v>0</v>
      </c>
      <c r="U209">
        <v>77.930000000000007</v>
      </c>
      <c r="V209" t="b">
        <v>0</v>
      </c>
      <c r="W209" t="s">
        <v>58</v>
      </c>
    </row>
    <row r="210" spans="1:23" x14ac:dyDescent="0.25">
      <c r="A210" t="s">
        <v>74</v>
      </c>
      <c r="B210" t="s">
        <v>76</v>
      </c>
      <c r="C210">
        <v>73.69</v>
      </c>
      <c r="D210">
        <v>594</v>
      </c>
      <c r="E210" t="b">
        <v>0</v>
      </c>
      <c r="F210" t="b">
        <v>1</v>
      </c>
      <c r="G210" t="b">
        <v>1</v>
      </c>
      <c r="H210" t="s">
        <v>25</v>
      </c>
      <c r="I210" t="s">
        <v>26</v>
      </c>
      <c r="J210" t="s">
        <v>45</v>
      </c>
      <c r="K210" t="s">
        <v>46</v>
      </c>
      <c r="L210" t="s">
        <v>69</v>
      </c>
      <c r="M210" t="s">
        <v>39</v>
      </c>
      <c r="N210" t="s">
        <v>39</v>
      </c>
      <c r="P210" t="b">
        <v>1</v>
      </c>
      <c r="Q210">
        <v>7.6</v>
      </c>
      <c r="R210" t="b">
        <v>1</v>
      </c>
      <c r="S210" t="s">
        <v>30</v>
      </c>
      <c r="T210">
        <v>3.6</v>
      </c>
      <c r="U210">
        <v>66.319999999999993</v>
      </c>
      <c r="V210" t="b">
        <v>1</v>
      </c>
      <c r="W210" t="s">
        <v>41</v>
      </c>
    </row>
    <row r="211" spans="1:23" x14ac:dyDescent="0.25">
      <c r="A211" t="s">
        <v>32</v>
      </c>
      <c r="B211" t="s">
        <v>70</v>
      </c>
      <c r="C211">
        <v>80.92</v>
      </c>
      <c r="D211">
        <v>52</v>
      </c>
      <c r="E211" t="b">
        <v>0</v>
      </c>
      <c r="F211" t="b">
        <v>0</v>
      </c>
      <c r="G211" t="b">
        <v>1</v>
      </c>
      <c r="H211" t="s">
        <v>53</v>
      </c>
      <c r="I211" t="s">
        <v>44</v>
      </c>
      <c r="J211" t="s">
        <v>45</v>
      </c>
      <c r="K211" t="s">
        <v>28</v>
      </c>
      <c r="L211" t="s">
        <v>69</v>
      </c>
      <c r="M211" t="s">
        <v>39</v>
      </c>
      <c r="N211" t="s">
        <v>46</v>
      </c>
      <c r="O211" t="b">
        <v>1</v>
      </c>
      <c r="P211" t="b">
        <v>0</v>
      </c>
      <c r="Q211">
        <v>10</v>
      </c>
      <c r="R211" t="b">
        <v>1</v>
      </c>
      <c r="S211" t="s">
        <v>48</v>
      </c>
      <c r="T211">
        <v>37.1</v>
      </c>
      <c r="U211">
        <v>72.39</v>
      </c>
      <c r="V211" t="b">
        <v>0</v>
      </c>
      <c r="W211" t="s">
        <v>31</v>
      </c>
    </row>
    <row r="212" spans="1:23" x14ac:dyDescent="0.25">
      <c r="A212" t="s">
        <v>32</v>
      </c>
      <c r="B212" t="s">
        <v>71</v>
      </c>
      <c r="C212">
        <v>53.48</v>
      </c>
      <c r="D212">
        <v>146</v>
      </c>
      <c r="E212" t="b">
        <v>0</v>
      </c>
      <c r="F212" t="b">
        <v>1</v>
      </c>
      <c r="G212" t="b">
        <v>1</v>
      </c>
      <c r="H212" t="s">
        <v>53</v>
      </c>
      <c r="I212" t="s">
        <v>35</v>
      </c>
      <c r="J212" t="s">
        <v>27</v>
      </c>
      <c r="K212" t="s">
        <v>37</v>
      </c>
      <c r="L212" t="s">
        <v>69</v>
      </c>
      <c r="M212" t="s">
        <v>46</v>
      </c>
      <c r="N212" t="s">
        <v>46</v>
      </c>
      <c r="P212" t="b">
        <v>0</v>
      </c>
      <c r="Q212">
        <v>5.7</v>
      </c>
      <c r="R212" t="b">
        <v>0</v>
      </c>
      <c r="T212">
        <v>0</v>
      </c>
      <c r="U212">
        <v>41.21</v>
      </c>
      <c r="V212" t="b">
        <v>1</v>
      </c>
      <c r="W212" t="s">
        <v>41</v>
      </c>
    </row>
    <row r="213" spans="1:23" x14ac:dyDescent="0.25">
      <c r="A213" t="s">
        <v>68</v>
      </c>
      <c r="B213" t="s">
        <v>59</v>
      </c>
      <c r="C213">
        <v>87.47</v>
      </c>
      <c r="D213">
        <v>254</v>
      </c>
      <c r="E213" t="b">
        <v>0</v>
      </c>
      <c r="F213" t="b">
        <v>0</v>
      </c>
      <c r="G213" t="b">
        <v>0</v>
      </c>
      <c r="H213" t="s">
        <v>53</v>
      </c>
      <c r="I213" t="s">
        <v>26</v>
      </c>
      <c r="J213" t="s">
        <v>54</v>
      </c>
      <c r="K213" t="s">
        <v>46</v>
      </c>
      <c r="L213" t="s">
        <v>38</v>
      </c>
      <c r="M213" t="s">
        <v>28</v>
      </c>
      <c r="P213" t="b">
        <v>1</v>
      </c>
      <c r="Q213">
        <v>10</v>
      </c>
      <c r="R213" t="b">
        <v>1</v>
      </c>
      <c r="S213" t="s">
        <v>55</v>
      </c>
      <c r="T213">
        <v>19.899999999999999</v>
      </c>
      <c r="U213">
        <v>72.61</v>
      </c>
      <c r="V213" t="b">
        <v>0</v>
      </c>
      <c r="W213" t="s">
        <v>31</v>
      </c>
    </row>
    <row r="214" spans="1:23" x14ac:dyDescent="0.25">
      <c r="A214" t="s">
        <v>56</v>
      </c>
      <c r="B214" t="s">
        <v>62</v>
      </c>
      <c r="C214">
        <v>68.28</v>
      </c>
      <c r="D214">
        <v>643</v>
      </c>
      <c r="E214" t="b">
        <v>1</v>
      </c>
      <c r="F214" t="b">
        <v>0</v>
      </c>
      <c r="G214" t="b">
        <v>0</v>
      </c>
      <c r="H214" t="s">
        <v>43</v>
      </c>
      <c r="I214" t="s">
        <v>57</v>
      </c>
      <c r="J214" t="s">
        <v>27</v>
      </c>
      <c r="K214" t="s">
        <v>37</v>
      </c>
      <c r="L214" t="s">
        <v>37</v>
      </c>
      <c r="M214" t="s">
        <v>46</v>
      </c>
      <c r="P214" t="b">
        <v>1</v>
      </c>
      <c r="Q214">
        <v>7.8</v>
      </c>
      <c r="R214" t="b">
        <v>0</v>
      </c>
      <c r="T214">
        <v>0</v>
      </c>
      <c r="U214">
        <v>60.05</v>
      </c>
      <c r="V214" t="b">
        <v>1</v>
      </c>
      <c r="W214" t="s">
        <v>31</v>
      </c>
    </row>
    <row r="215" spans="1:23" x14ac:dyDescent="0.25">
      <c r="A215" t="s">
        <v>32</v>
      </c>
      <c r="B215" t="s">
        <v>71</v>
      </c>
      <c r="C215">
        <v>53.41</v>
      </c>
      <c r="D215">
        <v>612</v>
      </c>
      <c r="E215" t="b">
        <v>1</v>
      </c>
      <c r="F215" t="b">
        <v>0</v>
      </c>
      <c r="G215" t="b">
        <v>0</v>
      </c>
      <c r="H215" t="s">
        <v>34</v>
      </c>
      <c r="I215" t="s">
        <v>44</v>
      </c>
      <c r="J215" t="s">
        <v>45</v>
      </c>
      <c r="K215" t="s">
        <v>28</v>
      </c>
      <c r="L215" t="s">
        <v>38</v>
      </c>
      <c r="M215" t="s">
        <v>39</v>
      </c>
      <c r="N215" t="s">
        <v>28</v>
      </c>
      <c r="O215" t="b">
        <v>0</v>
      </c>
      <c r="P215" t="b">
        <v>0</v>
      </c>
      <c r="Q215">
        <v>6.7</v>
      </c>
      <c r="R215" t="b">
        <v>1</v>
      </c>
      <c r="S215" t="s">
        <v>55</v>
      </c>
      <c r="T215">
        <v>13</v>
      </c>
      <c r="U215">
        <v>43.26</v>
      </c>
      <c r="V215" t="b">
        <v>0</v>
      </c>
      <c r="W215" t="s">
        <v>41</v>
      </c>
    </row>
    <row r="216" spans="1:23" x14ac:dyDescent="0.25">
      <c r="A216" t="s">
        <v>32</v>
      </c>
      <c r="B216" t="s">
        <v>42</v>
      </c>
      <c r="C216">
        <v>66.010000000000005</v>
      </c>
      <c r="D216">
        <v>463</v>
      </c>
      <c r="E216" t="b">
        <v>0</v>
      </c>
      <c r="F216" t="b">
        <v>1</v>
      </c>
      <c r="G216" t="b">
        <v>0</v>
      </c>
      <c r="H216" t="s">
        <v>34</v>
      </c>
      <c r="I216" t="s">
        <v>57</v>
      </c>
      <c r="J216" t="s">
        <v>45</v>
      </c>
      <c r="K216" t="s">
        <v>28</v>
      </c>
      <c r="L216" t="s">
        <v>38</v>
      </c>
      <c r="M216" t="s">
        <v>47</v>
      </c>
      <c r="N216" t="s">
        <v>46</v>
      </c>
      <c r="O216" t="b">
        <v>1</v>
      </c>
      <c r="P216" t="b">
        <v>0</v>
      </c>
      <c r="Q216">
        <v>7.8</v>
      </c>
      <c r="R216" t="b">
        <v>1</v>
      </c>
      <c r="S216" t="s">
        <v>75</v>
      </c>
      <c r="T216">
        <v>10.6</v>
      </c>
      <c r="U216">
        <v>67.92</v>
      </c>
      <c r="V216" t="b">
        <v>1</v>
      </c>
      <c r="W216" t="s">
        <v>41</v>
      </c>
    </row>
    <row r="217" spans="1:23" x14ac:dyDescent="0.25">
      <c r="A217" t="s">
        <v>68</v>
      </c>
      <c r="B217" t="s">
        <v>59</v>
      </c>
      <c r="C217">
        <v>88.23</v>
      </c>
      <c r="D217">
        <v>226</v>
      </c>
      <c r="E217" t="b">
        <v>1</v>
      </c>
      <c r="F217" t="b">
        <v>1</v>
      </c>
      <c r="G217" t="b">
        <v>1</v>
      </c>
      <c r="H217" t="s">
        <v>34</v>
      </c>
      <c r="I217" t="s">
        <v>26</v>
      </c>
      <c r="J217" t="s">
        <v>27</v>
      </c>
      <c r="K217" t="s">
        <v>39</v>
      </c>
      <c r="L217" t="s">
        <v>29</v>
      </c>
      <c r="M217" t="s">
        <v>46</v>
      </c>
      <c r="N217" t="s">
        <v>28</v>
      </c>
      <c r="O217" t="b">
        <v>1</v>
      </c>
      <c r="P217" t="b">
        <v>1</v>
      </c>
      <c r="Q217">
        <v>10</v>
      </c>
      <c r="R217" t="b">
        <v>1</v>
      </c>
      <c r="S217" t="s">
        <v>75</v>
      </c>
      <c r="T217">
        <v>36.799999999999997</v>
      </c>
      <c r="U217">
        <v>83.15</v>
      </c>
      <c r="V217" t="b">
        <v>1</v>
      </c>
      <c r="W217" t="s">
        <v>31</v>
      </c>
    </row>
    <row r="218" spans="1:23" x14ac:dyDescent="0.25">
      <c r="A218" t="s">
        <v>56</v>
      </c>
      <c r="B218" t="s">
        <v>66</v>
      </c>
      <c r="C218">
        <v>70.31</v>
      </c>
      <c r="D218">
        <v>694</v>
      </c>
      <c r="E218" t="b">
        <v>1</v>
      </c>
      <c r="F218" t="b">
        <v>1</v>
      </c>
      <c r="G218" t="b">
        <v>1</v>
      </c>
      <c r="H218" t="s">
        <v>43</v>
      </c>
      <c r="I218" t="s">
        <v>67</v>
      </c>
      <c r="J218" t="s">
        <v>50</v>
      </c>
      <c r="K218" t="s">
        <v>39</v>
      </c>
      <c r="L218" t="s">
        <v>69</v>
      </c>
      <c r="M218" t="s">
        <v>46</v>
      </c>
      <c r="N218" t="s">
        <v>28</v>
      </c>
      <c r="P218" t="b">
        <v>0</v>
      </c>
      <c r="Q218">
        <v>8.1999999999999993</v>
      </c>
      <c r="R218" t="b">
        <v>1</v>
      </c>
      <c r="S218" t="s">
        <v>52</v>
      </c>
      <c r="T218">
        <v>9.4</v>
      </c>
      <c r="U218">
        <v>52.55</v>
      </c>
      <c r="V218" t="b">
        <v>0</v>
      </c>
      <c r="W218" t="s">
        <v>31</v>
      </c>
    </row>
    <row r="219" spans="1:23" x14ac:dyDescent="0.25">
      <c r="A219" t="s">
        <v>23</v>
      </c>
      <c r="B219" t="s">
        <v>76</v>
      </c>
      <c r="C219">
        <v>89.96</v>
      </c>
      <c r="D219">
        <v>235</v>
      </c>
      <c r="E219" t="b">
        <v>1</v>
      </c>
      <c r="F219" t="b">
        <v>1</v>
      </c>
      <c r="G219" t="b">
        <v>0</v>
      </c>
      <c r="H219" t="s">
        <v>34</v>
      </c>
      <c r="I219" t="s">
        <v>63</v>
      </c>
      <c r="J219" t="s">
        <v>54</v>
      </c>
      <c r="K219" t="s">
        <v>28</v>
      </c>
      <c r="L219" t="s">
        <v>69</v>
      </c>
      <c r="M219" t="s">
        <v>39</v>
      </c>
      <c r="N219" t="s">
        <v>46</v>
      </c>
      <c r="O219" t="b">
        <v>0</v>
      </c>
      <c r="P219" t="b">
        <v>1</v>
      </c>
      <c r="Q219">
        <v>9.8000000000000007</v>
      </c>
      <c r="R219" t="b">
        <v>0</v>
      </c>
      <c r="T219">
        <v>0</v>
      </c>
      <c r="U219">
        <v>99</v>
      </c>
      <c r="V219" t="b">
        <v>1</v>
      </c>
      <c r="W219" t="s">
        <v>58</v>
      </c>
    </row>
    <row r="220" spans="1:23" x14ac:dyDescent="0.25">
      <c r="A220" t="s">
        <v>61</v>
      </c>
      <c r="B220" t="s">
        <v>71</v>
      </c>
      <c r="C220">
        <v>41.66</v>
      </c>
      <c r="D220">
        <v>782</v>
      </c>
      <c r="E220" t="b">
        <v>0</v>
      </c>
      <c r="F220" t="b">
        <v>0</v>
      </c>
      <c r="G220" t="b">
        <v>0</v>
      </c>
      <c r="H220" t="s">
        <v>53</v>
      </c>
      <c r="I220" t="s">
        <v>26</v>
      </c>
      <c r="J220" t="s">
        <v>50</v>
      </c>
      <c r="K220" t="s">
        <v>39</v>
      </c>
      <c r="L220" t="s">
        <v>29</v>
      </c>
      <c r="M220" t="s">
        <v>39</v>
      </c>
      <c r="N220" t="s">
        <v>28</v>
      </c>
      <c r="O220" t="b">
        <v>0</v>
      </c>
      <c r="P220" t="b">
        <v>0</v>
      </c>
      <c r="Q220">
        <v>2.2999999999999998</v>
      </c>
      <c r="R220" t="b">
        <v>1</v>
      </c>
      <c r="S220" t="s">
        <v>55</v>
      </c>
      <c r="T220">
        <v>34.299999999999997</v>
      </c>
      <c r="U220">
        <v>24.18</v>
      </c>
      <c r="V220" t="b">
        <v>1</v>
      </c>
      <c r="W220" t="s">
        <v>72</v>
      </c>
    </row>
    <row r="221" spans="1:23" x14ac:dyDescent="0.25">
      <c r="A221" t="s">
        <v>32</v>
      </c>
      <c r="B221" t="s">
        <v>42</v>
      </c>
      <c r="C221">
        <v>69.98</v>
      </c>
      <c r="D221">
        <v>702</v>
      </c>
      <c r="E221" t="b">
        <v>0</v>
      </c>
      <c r="F221" t="b">
        <v>1</v>
      </c>
      <c r="G221" t="b">
        <v>0</v>
      </c>
      <c r="H221" t="s">
        <v>25</v>
      </c>
      <c r="I221" t="s">
        <v>67</v>
      </c>
      <c r="J221" t="s">
        <v>54</v>
      </c>
      <c r="K221" t="s">
        <v>46</v>
      </c>
      <c r="L221" t="s">
        <v>29</v>
      </c>
      <c r="M221" t="s">
        <v>46</v>
      </c>
      <c r="N221" t="s">
        <v>28</v>
      </c>
      <c r="O221" t="b">
        <v>1</v>
      </c>
      <c r="P221" t="b">
        <v>0</v>
      </c>
      <c r="Q221">
        <v>7.8</v>
      </c>
      <c r="R221" t="b">
        <v>1</v>
      </c>
      <c r="S221" t="s">
        <v>30</v>
      </c>
      <c r="T221">
        <v>42.3</v>
      </c>
      <c r="U221">
        <v>64.459999999999994</v>
      </c>
      <c r="V221" t="b">
        <v>1</v>
      </c>
      <c r="W221" t="s">
        <v>41</v>
      </c>
    </row>
    <row r="222" spans="1:23" x14ac:dyDescent="0.25">
      <c r="A222" t="s">
        <v>61</v>
      </c>
      <c r="B222" t="s">
        <v>70</v>
      </c>
      <c r="C222">
        <v>76.510000000000005</v>
      </c>
      <c r="D222">
        <v>741</v>
      </c>
      <c r="E222" t="b">
        <v>0</v>
      </c>
      <c r="F222" t="b">
        <v>0</v>
      </c>
      <c r="G222" t="b">
        <v>0</v>
      </c>
      <c r="H222" t="s">
        <v>25</v>
      </c>
      <c r="I222" t="s">
        <v>44</v>
      </c>
      <c r="J222" t="s">
        <v>50</v>
      </c>
      <c r="K222" t="s">
        <v>28</v>
      </c>
      <c r="L222" t="s">
        <v>38</v>
      </c>
      <c r="M222" t="s">
        <v>46</v>
      </c>
      <c r="N222" t="s">
        <v>39</v>
      </c>
      <c r="O222" t="b">
        <v>0</v>
      </c>
      <c r="P222" t="b">
        <v>0</v>
      </c>
      <c r="Q222">
        <v>8</v>
      </c>
      <c r="R222" t="b">
        <v>0</v>
      </c>
      <c r="T222">
        <v>0</v>
      </c>
      <c r="U222">
        <v>66.06</v>
      </c>
      <c r="V222" t="b">
        <v>1</v>
      </c>
      <c r="W222" t="s">
        <v>58</v>
      </c>
    </row>
    <row r="223" spans="1:23" x14ac:dyDescent="0.25">
      <c r="A223" t="s">
        <v>68</v>
      </c>
      <c r="B223" t="s">
        <v>71</v>
      </c>
      <c r="C223">
        <v>43.13</v>
      </c>
      <c r="D223">
        <v>531</v>
      </c>
      <c r="E223" t="b">
        <v>0</v>
      </c>
      <c r="F223" t="b">
        <v>0</v>
      </c>
      <c r="G223" t="b">
        <v>0</v>
      </c>
      <c r="H223" t="s">
        <v>34</v>
      </c>
      <c r="I223" t="s">
        <v>26</v>
      </c>
      <c r="J223" t="s">
        <v>27</v>
      </c>
      <c r="K223" t="s">
        <v>28</v>
      </c>
      <c r="L223" t="s">
        <v>69</v>
      </c>
      <c r="M223" t="s">
        <v>28</v>
      </c>
      <c r="N223" t="s">
        <v>39</v>
      </c>
      <c r="O223" t="b">
        <v>1</v>
      </c>
      <c r="P223" t="b">
        <v>0</v>
      </c>
      <c r="Q223">
        <v>7.4</v>
      </c>
      <c r="R223" t="b">
        <v>0</v>
      </c>
      <c r="T223">
        <v>0</v>
      </c>
      <c r="U223">
        <v>37.729999999999997</v>
      </c>
      <c r="V223" t="b">
        <v>0</v>
      </c>
      <c r="W223" t="s">
        <v>31</v>
      </c>
    </row>
    <row r="224" spans="1:23" x14ac:dyDescent="0.25">
      <c r="A224" t="s">
        <v>74</v>
      </c>
      <c r="B224" t="s">
        <v>73</v>
      </c>
      <c r="C224">
        <v>53.74</v>
      </c>
      <c r="D224">
        <v>466</v>
      </c>
      <c r="E224" t="b">
        <v>1</v>
      </c>
      <c r="F224" t="b">
        <v>1</v>
      </c>
      <c r="G224" t="b">
        <v>0</v>
      </c>
      <c r="H224" t="s">
        <v>53</v>
      </c>
      <c r="I224" t="s">
        <v>67</v>
      </c>
      <c r="J224" t="s">
        <v>45</v>
      </c>
      <c r="K224" t="s">
        <v>39</v>
      </c>
      <c r="L224" t="s">
        <v>29</v>
      </c>
      <c r="M224" t="s">
        <v>47</v>
      </c>
      <c r="N224" t="s">
        <v>28</v>
      </c>
      <c r="O224" t="b">
        <v>0</v>
      </c>
      <c r="P224" t="b">
        <v>0</v>
      </c>
      <c r="Q224">
        <v>3.3</v>
      </c>
      <c r="R224" t="b">
        <v>1</v>
      </c>
      <c r="S224" t="s">
        <v>52</v>
      </c>
      <c r="T224">
        <v>20.7</v>
      </c>
      <c r="U224">
        <v>66.94</v>
      </c>
      <c r="V224" t="b">
        <v>0</v>
      </c>
      <c r="W224" t="s">
        <v>72</v>
      </c>
    </row>
    <row r="225" spans="1:23" x14ac:dyDescent="0.25">
      <c r="A225" t="s">
        <v>32</v>
      </c>
      <c r="B225" t="s">
        <v>76</v>
      </c>
      <c r="C225">
        <v>80.58</v>
      </c>
      <c r="D225">
        <v>247</v>
      </c>
      <c r="E225" t="b">
        <v>1</v>
      </c>
      <c r="F225" t="b">
        <v>1</v>
      </c>
      <c r="G225" t="b">
        <v>1</v>
      </c>
      <c r="H225" t="s">
        <v>53</v>
      </c>
      <c r="I225" t="s">
        <v>44</v>
      </c>
      <c r="J225" t="s">
        <v>45</v>
      </c>
      <c r="K225" t="s">
        <v>37</v>
      </c>
      <c r="L225" t="s">
        <v>69</v>
      </c>
      <c r="M225" t="s">
        <v>39</v>
      </c>
      <c r="O225" t="b">
        <v>0</v>
      </c>
      <c r="P225" t="b">
        <v>1</v>
      </c>
      <c r="Q225">
        <v>7.4</v>
      </c>
      <c r="R225" t="b">
        <v>0</v>
      </c>
      <c r="T225">
        <v>0</v>
      </c>
      <c r="U225">
        <v>91.96</v>
      </c>
      <c r="V225" t="b">
        <v>1</v>
      </c>
      <c r="W225" t="s">
        <v>31</v>
      </c>
    </row>
    <row r="226" spans="1:23" x14ac:dyDescent="0.25">
      <c r="A226" t="s">
        <v>32</v>
      </c>
      <c r="B226" t="s">
        <v>24</v>
      </c>
      <c r="C226">
        <v>95.53</v>
      </c>
      <c r="D226">
        <v>675</v>
      </c>
      <c r="E226" t="b">
        <v>0</v>
      </c>
      <c r="F226" t="b">
        <v>0</v>
      </c>
      <c r="G226" t="b">
        <v>0</v>
      </c>
      <c r="H226" t="s">
        <v>53</v>
      </c>
      <c r="I226" t="s">
        <v>44</v>
      </c>
      <c r="J226" t="s">
        <v>27</v>
      </c>
      <c r="K226" t="s">
        <v>46</v>
      </c>
      <c r="L226" t="s">
        <v>69</v>
      </c>
      <c r="M226" t="s">
        <v>39</v>
      </c>
      <c r="O226" t="b">
        <v>1</v>
      </c>
      <c r="P226" t="b">
        <v>0</v>
      </c>
      <c r="Q226">
        <v>10</v>
      </c>
      <c r="R226" t="b">
        <v>1</v>
      </c>
      <c r="S226" t="s">
        <v>64</v>
      </c>
      <c r="T226">
        <v>23.7</v>
      </c>
      <c r="U226">
        <v>100</v>
      </c>
      <c r="V226" t="b">
        <v>1</v>
      </c>
      <c r="W226" t="s">
        <v>31</v>
      </c>
    </row>
    <row r="227" spans="1:23" x14ac:dyDescent="0.25">
      <c r="A227" t="s">
        <v>74</v>
      </c>
      <c r="B227" t="s">
        <v>76</v>
      </c>
      <c r="C227">
        <v>86.05</v>
      </c>
      <c r="D227">
        <v>65</v>
      </c>
      <c r="E227" t="b">
        <v>1</v>
      </c>
      <c r="F227" t="b">
        <v>0</v>
      </c>
      <c r="G227" t="b">
        <v>1</v>
      </c>
      <c r="H227" t="s">
        <v>43</v>
      </c>
      <c r="I227" t="s">
        <v>67</v>
      </c>
      <c r="J227" t="s">
        <v>36</v>
      </c>
      <c r="K227" t="s">
        <v>46</v>
      </c>
      <c r="L227" t="s">
        <v>38</v>
      </c>
      <c r="M227" t="s">
        <v>39</v>
      </c>
      <c r="N227" t="s">
        <v>28</v>
      </c>
      <c r="P227" t="b">
        <v>0</v>
      </c>
      <c r="Q227">
        <v>10</v>
      </c>
      <c r="R227" t="b">
        <v>1</v>
      </c>
      <c r="S227" t="s">
        <v>48</v>
      </c>
      <c r="T227">
        <v>21</v>
      </c>
      <c r="U227">
        <v>79.67</v>
      </c>
      <c r="V227" t="b">
        <v>0</v>
      </c>
      <c r="W227" t="s">
        <v>31</v>
      </c>
    </row>
    <row r="228" spans="1:23" x14ac:dyDescent="0.25">
      <c r="A228" t="s">
        <v>68</v>
      </c>
      <c r="B228" t="s">
        <v>33</v>
      </c>
      <c r="C228">
        <v>76.41</v>
      </c>
      <c r="D228">
        <v>388</v>
      </c>
      <c r="E228" t="b">
        <v>0</v>
      </c>
      <c r="F228" t="b">
        <v>0</v>
      </c>
      <c r="G228" t="b">
        <v>1</v>
      </c>
      <c r="H228" t="s">
        <v>43</v>
      </c>
      <c r="I228" t="s">
        <v>63</v>
      </c>
      <c r="J228" t="s">
        <v>27</v>
      </c>
      <c r="K228" t="s">
        <v>39</v>
      </c>
      <c r="L228" t="s">
        <v>51</v>
      </c>
      <c r="M228" t="s">
        <v>28</v>
      </c>
      <c r="N228" t="s">
        <v>46</v>
      </c>
      <c r="O228" t="b">
        <v>0</v>
      </c>
      <c r="P228" t="b">
        <v>0</v>
      </c>
      <c r="Q228">
        <v>7.5</v>
      </c>
      <c r="R228" t="b">
        <v>0</v>
      </c>
      <c r="T228">
        <v>0</v>
      </c>
      <c r="U228">
        <v>73.72</v>
      </c>
      <c r="V228" t="b">
        <v>1</v>
      </c>
      <c r="W228" t="s">
        <v>31</v>
      </c>
    </row>
    <row r="229" spans="1:23" x14ac:dyDescent="0.25">
      <c r="A229" t="s">
        <v>74</v>
      </c>
      <c r="B229" t="s">
        <v>71</v>
      </c>
      <c r="C229">
        <v>40.880000000000003</v>
      </c>
      <c r="D229">
        <v>152</v>
      </c>
      <c r="E229" t="b">
        <v>1</v>
      </c>
      <c r="F229" t="b">
        <v>0</v>
      </c>
      <c r="G229" t="b">
        <v>1</v>
      </c>
      <c r="H229" t="s">
        <v>25</v>
      </c>
      <c r="I229" t="s">
        <v>26</v>
      </c>
      <c r="J229" t="s">
        <v>45</v>
      </c>
      <c r="K229" t="s">
        <v>28</v>
      </c>
      <c r="L229" t="s">
        <v>69</v>
      </c>
      <c r="M229" t="s">
        <v>47</v>
      </c>
      <c r="O229" t="b">
        <v>0</v>
      </c>
      <c r="P229" t="b">
        <v>1</v>
      </c>
      <c r="Q229">
        <v>4.5999999999999996</v>
      </c>
      <c r="R229" t="b">
        <v>1</v>
      </c>
      <c r="S229" t="s">
        <v>65</v>
      </c>
      <c r="T229">
        <v>20</v>
      </c>
      <c r="U229">
        <v>41.63</v>
      </c>
      <c r="V229" t="b">
        <v>1</v>
      </c>
      <c r="W229" t="s">
        <v>72</v>
      </c>
    </row>
    <row r="230" spans="1:23" x14ac:dyDescent="0.25">
      <c r="A230" t="s">
        <v>56</v>
      </c>
      <c r="B230" t="s">
        <v>62</v>
      </c>
      <c r="C230">
        <v>72.09</v>
      </c>
      <c r="D230">
        <v>134</v>
      </c>
      <c r="E230" t="b">
        <v>0</v>
      </c>
      <c r="F230" t="b">
        <v>1</v>
      </c>
      <c r="G230" t="b">
        <v>1</v>
      </c>
      <c r="H230" t="s">
        <v>25</v>
      </c>
      <c r="I230" t="s">
        <v>63</v>
      </c>
      <c r="J230" t="s">
        <v>54</v>
      </c>
      <c r="K230" t="s">
        <v>28</v>
      </c>
      <c r="L230" t="s">
        <v>38</v>
      </c>
      <c r="M230" t="s">
        <v>47</v>
      </c>
      <c r="N230" t="s">
        <v>28</v>
      </c>
      <c r="P230" t="b">
        <v>0</v>
      </c>
      <c r="Q230">
        <v>7.5</v>
      </c>
      <c r="R230" t="b">
        <v>1</v>
      </c>
      <c r="S230" t="s">
        <v>75</v>
      </c>
      <c r="T230">
        <v>13.1</v>
      </c>
      <c r="U230">
        <v>87.02</v>
      </c>
      <c r="V230" t="b">
        <v>1</v>
      </c>
      <c r="W230" t="s">
        <v>41</v>
      </c>
    </row>
    <row r="231" spans="1:23" x14ac:dyDescent="0.25">
      <c r="A231" t="s">
        <v>32</v>
      </c>
      <c r="B231" t="s">
        <v>33</v>
      </c>
      <c r="C231">
        <v>88.27</v>
      </c>
      <c r="D231">
        <v>657</v>
      </c>
      <c r="E231" t="b">
        <v>0</v>
      </c>
      <c r="F231" t="b">
        <v>0</v>
      </c>
      <c r="G231" t="b">
        <v>0</v>
      </c>
      <c r="H231" t="s">
        <v>34</v>
      </c>
      <c r="I231" t="s">
        <v>44</v>
      </c>
      <c r="J231" t="s">
        <v>50</v>
      </c>
      <c r="K231" t="s">
        <v>28</v>
      </c>
      <c r="L231" t="s">
        <v>51</v>
      </c>
      <c r="M231" t="s">
        <v>28</v>
      </c>
      <c r="O231" t="b">
        <v>1</v>
      </c>
      <c r="P231" t="b">
        <v>0</v>
      </c>
      <c r="Q231">
        <v>10</v>
      </c>
      <c r="R231" t="b">
        <v>0</v>
      </c>
      <c r="T231">
        <v>0</v>
      </c>
      <c r="U231">
        <v>100</v>
      </c>
      <c r="V231" t="b">
        <v>1</v>
      </c>
      <c r="W231" t="s">
        <v>58</v>
      </c>
    </row>
    <row r="232" spans="1:23" x14ac:dyDescent="0.25">
      <c r="A232" t="s">
        <v>32</v>
      </c>
      <c r="B232" t="s">
        <v>66</v>
      </c>
      <c r="C232">
        <v>71.38</v>
      </c>
      <c r="D232">
        <v>124</v>
      </c>
      <c r="E232" t="b">
        <v>1</v>
      </c>
      <c r="F232" t="b">
        <v>1</v>
      </c>
      <c r="G232" t="b">
        <v>1</v>
      </c>
      <c r="H232" t="s">
        <v>53</v>
      </c>
      <c r="I232" t="s">
        <v>44</v>
      </c>
      <c r="J232" t="s">
        <v>54</v>
      </c>
      <c r="K232" t="s">
        <v>37</v>
      </c>
      <c r="L232" t="s">
        <v>69</v>
      </c>
      <c r="M232" t="s">
        <v>46</v>
      </c>
      <c r="N232" t="s">
        <v>28</v>
      </c>
      <c r="P232" t="b">
        <v>0</v>
      </c>
      <c r="Q232">
        <v>8.8000000000000007</v>
      </c>
      <c r="R232" t="b">
        <v>0</v>
      </c>
      <c r="T232">
        <v>0</v>
      </c>
      <c r="U232">
        <v>57.78</v>
      </c>
      <c r="V232" t="b">
        <v>0</v>
      </c>
      <c r="W232" t="s">
        <v>58</v>
      </c>
    </row>
    <row r="233" spans="1:23" x14ac:dyDescent="0.25">
      <c r="A233" t="s">
        <v>74</v>
      </c>
      <c r="B233" t="s">
        <v>70</v>
      </c>
      <c r="C233">
        <v>71</v>
      </c>
      <c r="D233">
        <v>786</v>
      </c>
      <c r="E233" t="b">
        <v>0</v>
      </c>
      <c r="F233" t="b">
        <v>1</v>
      </c>
      <c r="G233" t="b">
        <v>1</v>
      </c>
      <c r="H233" t="s">
        <v>53</v>
      </c>
      <c r="I233" t="s">
        <v>63</v>
      </c>
      <c r="J233" t="s">
        <v>50</v>
      </c>
      <c r="K233" t="s">
        <v>39</v>
      </c>
      <c r="L233" t="s">
        <v>38</v>
      </c>
      <c r="M233" t="s">
        <v>47</v>
      </c>
      <c r="N233" t="s">
        <v>39</v>
      </c>
      <c r="O233" t="b">
        <v>0</v>
      </c>
      <c r="P233" t="b">
        <v>1</v>
      </c>
      <c r="Q233">
        <v>5.3</v>
      </c>
      <c r="R233" t="b">
        <v>1</v>
      </c>
      <c r="S233" t="s">
        <v>52</v>
      </c>
      <c r="T233">
        <v>10.1</v>
      </c>
      <c r="U233">
        <v>57.89</v>
      </c>
      <c r="V233" t="b">
        <v>1</v>
      </c>
      <c r="W233" t="s">
        <v>41</v>
      </c>
    </row>
    <row r="234" spans="1:23" x14ac:dyDescent="0.25">
      <c r="A234" t="s">
        <v>61</v>
      </c>
      <c r="B234" t="s">
        <v>42</v>
      </c>
      <c r="C234">
        <v>81.66</v>
      </c>
      <c r="D234">
        <v>141</v>
      </c>
      <c r="E234" t="b">
        <v>0</v>
      </c>
      <c r="F234" t="b">
        <v>1</v>
      </c>
      <c r="G234" t="b">
        <v>1</v>
      </c>
      <c r="H234" t="s">
        <v>34</v>
      </c>
      <c r="I234" t="s">
        <v>57</v>
      </c>
      <c r="J234" t="s">
        <v>27</v>
      </c>
      <c r="K234" t="s">
        <v>37</v>
      </c>
      <c r="L234" t="s">
        <v>37</v>
      </c>
      <c r="M234" t="s">
        <v>47</v>
      </c>
      <c r="P234" t="b">
        <v>0</v>
      </c>
      <c r="Q234">
        <v>6.4</v>
      </c>
      <c r="R234" t="b">
        <v>1</v>
      </c>
      <c r="S234" t="s">
        <v>65</v>
      </c>
      <c r="T234">
        <v>38.799999999999997</v>
      </c>
      <c r="U234">
        <v>71.92</v>
      </c>
      <c r="V234" t="b">
        <v>1</v>
      </c>
      <c r="W234" t="s">
        <v>41</v>
      </c>
    </row>
    <row r="235" spans="1:23" x14ac:dyDescent="0.25">
      <c r="A235" t="s">
        <v>68</v>
      </c>
      <c r="B235" t="s">
        <v>71</v>
      </c>
      <c r="C235">
        <v>51.47</v>
      </c>
      <c r="D235">
        <v>550</v>
      </c>
      <c r="E235" t="b">
        <v>1</v>
      </c>
      <c r="F235" t="b">
        <v>0</v>
      </c>
      <c r="G235" t="b">
        <v>1</v>
      </c>
      <c r="H235" t="s">
        <v>53</v>
      </c>
      <c r="I235" t="s">
        <v>63</v>
      </c>
      <c r="J235" t="s">
        <v>50</v>
      </c>
      <c r="K235" t="s">
        <v>39</v>
      </c>
      <c r="L235" t="s">
        <v>29</v>
      </c>
      <c r="M235" t="s">
        <v>47</v>
      </c>
      <c r="N235" t="s">
        <v>39</v>
      </c>
      <c r="O235" t="b">
        <v>0</v>
      </c>
      <c r="P235" t="b">
        <v>0</v>
      </c>
      <c r="Q235">
        <v>4.7</v>
      </c>
      <c r="R235" t="b">
        <v>1</v>
      </c>
      <c r="S235" t="s">
        <v>52</v>
      </c>
      <c r="T235">
        <v>44.4</v>
      </c>
      <c r="U235">
        <v>55.61</v>
      </c>
      <c r="V235" t="b">
        <v>1</v>
      </c>
      <c r="W235" t="s">
        <v>72</v>
      </c>
    </row>
    <row r="236" spans="1:23" x14ac:dyDescent="0.25">
      <c r="A236" t="s">
        <v>56</v>
      </c>
      <c r="B236" t="s">
        <v>71</v>
      </c>
      <c r="C236">
        <v>55.98</v>
      </c>
      <c r="D236">
        <v>550</v>
      </c>
      <c r="E236" t="b">
        <v>0</v>
      </c>
      <c r="F236" t="b">
        <v>0</v>
      </c>
      <c r="G236" t="b">
        <v>0</v>
      </c>
      <c r="H236" t="s">
        <v>34</v>
      </c>
      <c r="I236" t="s">
        <v>63</v>
      </c>
      <c r="J236" t="s">
        <v>45</v>
      </c>
      <c r="K236" t="s">
        <v>37</v>
      </c>
      <c r="L236" t="s">
        <v>51</v>
      </c>
      <c r="M236" t="s">
        <v>28</v>
      </c>
      <c r="N236" t="s">
        <v>39</v>
      </c>
      <c r="P236" t="b">
        <v>1</v>
      </c>
      <c r="Q236">
        <v>6.1</v>
      </c>
      <c r="R236" t="b">
        <v>0</v>
      </c>
      <c r="T236">
        <v>0</v>
      </c>
      <c r="U236">
        <v>49.1</v>
      </c>
      <c r="V236" t="b">
        <v>1</v>
      </c>
      <c r="W236" t="s">
        <v>31</v>
      </c>
    </row>
    <row r="237" spans="1:23" x14ac:dyDescent="0.25">
      <c r="A237" t="s">
        <v>56</v>
      </c>
      <c r="B237" t="s">
        <v>24</v>
      </c>
      <c r="C237">
        <v>94.49</v>
      </c>
      <c r="D237">
        <v>734</v>
      </c>
      <c r="E237" t="b">
        <v>1</v>
      </c>
      <c r="F237" t="b">
        <v>1</v>
      </c>
      <c r="G237" t="b">
        <v>1</v>
      </c>
      <c r="H237" t="s">
        <v>34</v>
      </c>
      <c r="I237" t="s">
        <v>63</v>
      </c>
      <c r="J237" t="s">
        <v>50</v>
      </c>
      <c r="K237" t="s">
        <v>39</v>
      </c>
      <c r="L237" t="s">
        <v>69</v>
      </c>
      <c r="M237" t="s">
        <v>39</v>
      </c>
      <c r="N237" t="s">
        <v>28</v>
      </c>
      <c r="O237" t="b">
        <v>1</v>
      </c>
      <c r="P237" t="b">
        <v>0</v>
      </c>
      <c r="Q237">
        <v>10</v>
      </c>
      <c r="R237" t="b">
        <v>1</v>
      </c>
      <c r="S237" t="s">
        <v>48</v>
      </c>
      <c r="T237">
        <v>28.5</v>
      </c>
      <c r="U237">
        <v>95.5</v>
      </c>
      <c r="V237" t="b">
        <v>1</v>
      </c>
      <c r="W237" t="s">
        <v>31</v>
      </c>
    </row>
    <row r="238" spans="1:23" x14ac:dyDescent="0.25">
      <c r="A238" t="s">
        <v>56</v>
      </c>
      <c r="B238" t="s">
        <v>42</v>
      </c>
      <c r="C238">
        <v>83.62</v>
      </c>
      <c r="D238">
        <v>243</v>
      </c>
      <c r="E238" t="b">
        <v>1</v>
      </c>
      <c r="F238" t="b">
        <v>0</v>
      </c>
      <c r="G238" t="b">
        <v>0</v>
      </c>
      <c r="H238" t="s">
        <v>43</v>
      </c>
      <c r="I238" t="s">
        <v>63</v>
      </c>
      <c r="J238" t="s">
        <v>50</v>
      </c>
      <c r="K238" t="s">
        <v>39</v>
      </c>
      <c r="L238" t="s">
        <v>69</v>
      </c>
      <c r="M238" t="s">
        <v>46</v>
      </c>
      <c r="N238" t="s">
        <v>28</v>
      </c>
      <c r="O238" t="b">
        <v>1</v>
      </c>
      <c r="P238" t="b">
        <v>1</v>
      </c>
      <c r="Q238">
        <v>10</v>
      </c>
      <c r="R238" t="b">
        <v>0</v>
      </c>
      <c r="T238">
        <v>0</v>
      </c>
      <c r="U238">
        <v>69.930000000000007</v>
      </c>
      <c r="V238" t="b">
        <v>0</v>
      </c>
      <c r="W238" t="s">
        <v>58</v>
      </c>
    </row>
    <row r="239" spans="1:23" x14ac:dyDescent="0.25">
      <c r="A239" t="s">
        <v>56</v>
      </c>
      <c r="B239" t="s">
        <v>66</v>
      </c>
      <c r="C239">
        <v>68.92</v>
      </c>
      <c r="D239">
        <v>459</v>
      </c>
      <c r="E239" t="b">
        <v>0</v>
      </c>
      <c r="F239" t="b">
        <v>1</v>
      </c>
      <c r="G239" t="b">
        <v>0</v>
      </c>
      <c r="H239" t="s">
        <v>34</v>
      </c>
      <c r="I239" t="s">
        <v>67</v>
      </c>
      <c r="J239" t="s">
        <v>27</v>
      </c>
      <c r="K239" t="s">
        <v>39</v>
      </c>
      <c r="L239" t="s">
        <v>29</v>
      </c>
      <c r="M239" t="s">
        <v>39</v>
      </c>
      <c r="N239" t="s">
        <v>46</v>
      </c>
      <c r="P239" t="b">
        <v>0</v>
      </c>
      <c r="Q239">
        <v>5.7</v>
      </c>
      <c r="R239" t="b">
        <v>0</v>
      </c>
      <c r="T239">
        <v>0</v>
      </c>
      <c r="U239">
        <v>65.510000000000005</v>
      </c>
      <c r="V239" t="b">
        <v>1</v>
      </c>
      <c r="W239" t="s">
        <v>41</v>
      </c>
    </row>
    <row r="240" spans="1:23" x14ac:dyDescent="0.25">
      <c r="A240" t="s">
        <v>61</v>
      </c>
      <c r="B240" t="s">
        <v>60</v>
      </c>
      <c r="C240">
        <v>57.34</v>
      </c>
      <c r="D240">
        <v>64</v>
      </c>
      <c r="E240" t="b">
        <v>1</v>
      </c>
      <c r="F240" t="b">
        <v>0</v>
      </c>
      <c r="G240" t="b">
        <v>0</v>
      </c>
      <c r="H240" t="s">
        <v>53</v>
      </c>
      <c r="I240" t="s">
        <v>67</v>
      </c>
      <c r="J240" t="s">
        <v>36</v>
      </c>
      <c r="K240" t="s">
        <v>46</v>
      </c>
      <c r="L240" t="s">
        <v>51</v>
      </c>
      <c r="M240" t="s">
        <v>46</v>
      </c>
      <c r="N240" t="s">
        <v>39</v>
      </c>
      <c r="P240" t="b">
        <v>1</v>
      </c>
      <c r="Q240">
        <v>7.1</v>
      </c>
      <c r="R240" t="b">
        <v>1</v>
      </c>
      <c r="S240" t="s">
        <v>65</v>
      </c>
      <c r="T240">
        <v>6.9</v>
      </c>
      <c r="U240">
        <v>44.07</v>
      </c>
      <c r="V240" t="b">
        <v>0</v>
      </c>
      <c r="W240" t="s">
        <v>41</v>
      </c>
    </row>
    <row r="241" spans="1:23" x14ac:dyDescent="0.25">
      <c r="A241" t="s">
        <v>61</v>
      </c>
      <c r="B241" t="s">
        <v>60</v>
      </c>
      <c r="C241">
        <v>49.64</v>
      </c>
      <c r="D241">
        <v>604</v>
      </c>
      <c r="E241" t="b">
        <v>1</v>
      </c>
      <c r="F241" t="b">
        <v>0</v>
      </c>
      <c r="G241" t="b">
        <v>1</v>
      </c>
      <c r="H241" t="s">
        <v>34</v>
      </c>
      <c r="I241" t="s">
        <v>26</v>
      </c>
      <c r="J241" t="s">
        <v>54</v>
      </c>
      <c r="K241" t="s">
        <v>37</v>
      </c>
      <c r="L241" t="s">
        <v>38</v>
      </c>
      <c r="M241" t="s">
        <v>46</v>
      </c>
      <c r="O241" t="b">
        <v>0</v>
      </c>
      <c r="P241" t="b">
        <v>1</v>
      </c>
      <c r="Q241">
        <v>6.7</v>
      </c>
      <c r="R241" t="b">
        <v>1</v>
      </c>
      <c r="S241" t="s">
        <v>40</v>
      </c>
      <c r="T241">
        <v>6.7</v>
      </c>
      <c r="U241">
        <v>48.63</v>
      </c>
      <c r="V241" t="b">
        <v>1</v>
      </c>
      <c r="W241" t="s">
        <v>41</v>
      </c>
    </row>
    <row r="242" spans="1:23" x14ac:dyDescent="0.25">
      <c r="A242" t="s">
        <v>61</v>
      </c>
      <c r="B242" t="s">
        <v>49</v>
      </c>
      <c r="C242">
        <v>62.35</v>
      </c>
      <c r="D242">
        <v>761</v>
      </c>
      <c r="E242" t="b">
        <v>1</v>
      </c>
      <c r="F242" t="b">
        <v>0</v>
      </c>
      <c r="G242" t="b">
        <v>0</v>
      </c>
      <c r="H242" t="s">
        <v>53</v>
      </c>
      <c r="I242" t="s">
        <v>35</v>
      </c>
      <c r="J242" t="s">
        <v>27</v>
      </c>
      <c r="K242" t="s">
        <v>46</v>
      </c>
      <c r="L242" t="s">
        <v>38</v>
      </c>
      <c r="M242" t="s">
        <v>47</v>
      </c>
      <c r="N242" t="s">
        <v>39</v>
      </c>
      <c r="O242" t="b">
        <v>1</v>
      </c>
      <c r="P242" t="b">
        <v>1</v>
      </c>
      <c r="Q242">
        <v>10</v>
      </c>
      <c r="R242" t="b">
        <v>1</v>
      </c>
      <c r="S242" t="s">
        <v>48</v>
      </c>
      <c r="T242">
        <v>30.8</v>
      </c>
      <c r="U242">
        <v>57.35</v>
      </c>
      <c r="V242" t="b">
        <v>0</v>
      </c>
      <c r="W242" t="s">
        <v>31</v>
      </c>
    </row>
    <row r="243" spans="1:23" x14ac:dyDescent="0.25">
      <c r="A243" t="s">
        <v>61</v>
      </c>
      <c r="B243" t="s">
        <v>71</v>
      </c>
      <c r="C243">
        <v>58.34</v>
      </c>
      <c r="D243">
        <v>427</v>
      </c>
      <c r="E243" t="b">
        <v>1</v>
      </c>
      <c r="F243" t="b">
        <v>0</v>
      </c>
      <c r="G243" t="b">
        <v>0</v>
      </c>
      <c r="H243" t="s">
        <v>53</v>
      </c>
      <c r="I243" t="s">
        <v>63</v>
      </c>
      <c r="J243" t="s">
        <v>54</v>
      </c>
      <c r="K243" t="s">
        <v>39</v>
      </c>
      <c r="L243" t="s">
        <v>37</v>
      </c>
      <c r="M243" t="s">
        <v>46</v>
      </c>
      <c r="N243" t="s">
        <v>39</v>
      </c>
      <c r="O243" t="b">
        <v>1</v>
      </c>
      <c r="P243" t="b">
        <v>0</v>
      </c>
      <c r="Q243">
        <v>8.4</v>
      </c>
      <c r="R243" t="b">
        <v>0</v>
      </c>
      <c r="T243">
        <v>0</v>
      </c>
      <c r="U243">
        <v>35.700000000000003</v>
      </c>
      <c r="V243" t="b">
        <v>0</v>
      </c>
      <c r="W243" t="s">
        <v>58</v>
      </c>
    </row>
    <row r="244" spans="1:23" x14ac:dyDescent="0.25">
      <c r="A244" t="s">
        <v>56</v>
      </c>
      <c r="B244" t="s">
        <v>24</v>
      </c>
      <c r="C244">
        <v>97.61</v>
      </c>
      <c r="D244">
        <v>102</v>
      </c>
      <c r="E244" t="b">
        <v>0</v>
      </c>
      <c r="F244" t="b">
        <v>0</v>
      </c>
      <c r="G244" t="b">
        <v>0</v>
      </c>
      <c r="H244" t="s">
        <v>53</v>
      </c>
      <c r="I244" t="s">
        <v>26</v>
      </c>
      <c r="J244" t="s">
        <v>27</v>
      </c>
      <c r="K244" t="s">
        <v>39</v>
      </c>
      <c r="L244" t="s">
        <v>69</v>
      </c>
      <c r="M244" t="s">
        <v>28</v>
      </c>
      <c r="N244" t="s">
        <v>46</v>
      </c>
      <c r="O244" t="b">
        <v>0</v>
      </c>
      <c r="P244" t="b">
        <v>0</v>
      </c>
      <c r="Q244">
        <v>9.5</v>
      </c>
      <c r="R244" t="b">
        <v>1</v>
      </c>
      <c r="S244" t="s">
        <v>30</v>
      </c>
      <c r="T244">
        <v>19.8</v>
      </c>
      <c r="U244">
        <v>100</v>
      </c>
      <c r="V244" t="b">
        <v>1</v>
      </c>
      <c r="W244" t="s">
        <v>31</v>
      </c>
    </row>
    <row r="245" spans="1:23" x14ac:dyDescent="0.25">
      <c r="A245" t="s">
        <v>32</v>
      </c>
      <c r="B245" t="s">
        <v>70</v>
      </c>
      <c r="C245">
        <v>81.849999999999994</v>
      </c>
      <c r="D245">
        <v>419</v>
      </c>
      <c r="E245" t="b">
        <v>1</v>
      </c>
      <c r="F245" t="b">
        <v>0</v>
      </c>
      <c r="G245" t="b">
        <v>1</v>
      </c>
      <c r="H245" t="s">
        <v>53</v>
      </c>
      <c r="I245" t="s">
        <v>44</v>
      </c>
      <c r="J245" t="s">
        <v>27</v>
      </c>
      <c r="K245" t="s">
        <v>37</v>
      </c>
      <c r="L245" t="s">
        <v>38</v>
      </c>
      <c r="M245" t="s">
        <v>47</v>
      </c>
      <c r="N245" t="s">
        <v>39</v>
      </c>
      <c r="O245" t="b">
        <v>1</v>
      </c>
      <c r="P245" t="b">
        <v>1</v>
      </c>
      <c r="Q245">
        <v>10</v>
      </c>
      <c r="R245" t="b">
        <v>0</v>
      </c>
      <c r="T245">
        <v>0</v>
      </c>
      <c r="U245">
        <v>70.78</v>
      </c>
      <c r="V245" t="b">
        <v>0</v>
      </c>
      <c r="W245" t="s">
        <v>58</v>
      </c>
    </row>
    <row r="246" spans="1:23" x14ac:dyDescent="0.25">
      <c r="A246" t="s">
        <v>32</v>
      </c>
      <c r="B246" t="s">
        <v>33</v>
      </c>
      <c r="C246">
        <v>76.849999999999994</v>
      </c>
      <c r="D246">
        <v>518</v>
      </c>
      <c r="E246" t="b">
        <v>1</v>
      </c>
      <c r="F246" t="b">
        <v>0</v>
      </c>
      <c r="G246" t="b">
        <v>1</v>
      </c>
      <c r="H246" t="s">
        <v>34</v>
      </c>
      <c r="I246" t="s">
        <v>35</v>
      </c>
      <c r="J246" t="s">
        <v>54</v>
      </c>
      <c r="K246" t="s">
        <v>37</v>
      </c>
      <c r="L246" t="s">
        <v>51</v>
      </c>
      <c r="M246" t="s">
        <v>39</v>
      </c>
      <c r="N246" t="s">
        <v>28</v>
      </c>
      <c r="O246" t="b">
        <v>0</v>
      </c>
      <c r="P246" t="b">
        <v>0</v>
      </c>
      <c r="Q246">
        <v>6.7</v>
      </c>
      <c r="R246" t="b">
        <v>0</v>
      </c>
      <c r="T246">
        <v>0</v>
      </c>
      <c r="U246">
        <v>66.400000000000006</v>
      </c>
      <c r="V246" t="b">
        <v>1</v>
      </c>
      <c r="W246" t="s">
        <v>31</v>
      </c>
    </row>
    <row r="247" spans="1:23" x14ac:dyDescent="0.25">
      <c r="A247" t="s">
        <v>56</v>
      </c>
      <c r="B247" t="s">
        <v>73</v>
      </c>
      <c r="C247">
        <v>62.3</v>
      </c>
      <c r="D247">
        <v>743</v>
      </c>
      <c r="E247" t="b">
        <v>1</v>
      </c>
      <c r="F247" t="b">
        <v>1</v>
      </c>
      <c r="G247" t="b">
        <v>0</v>
      </c>
      <c r="H247" t="s">
        <v>25</v>
      </c>
      <c r="I247" t="s">
        <v>67</v>
      </c>
      <c r="J247" t="s">
        <v>27</v>
      </c>
      <c r="K247" t="s">
        <v>46</v>
      </c>
      <c r="L247" t="s">
        <v>29</v>
      </c>
      <c r="M247" t="s">
        <v>28</v>
      </c>
      <c r="N247" t="s">
        <v>28</v>
      </c>
      <c r="O247" t="b">
        <v>0</v>
      </c>
      <c r="P247" t="b">
        <v>1</v>
      </c>
      <c r="Q247">
        <v>8.1</v>
      </c>
      <c r="R247" t="b">
        <v>0</v>
      </c>
      <c r="T247">
        <v>0</v>
      </c>
      <c r="U247">
        <v>54.64</v>
      </c>
      <c r="V247" t="b">
        <v>0</v>
      </c>
      <c r="W247" t="s">
        <v>58</v>
      </c>
    </row>
    <row r="248" spans="1:23" x14ac:dyDescent="0.25">
      <c r="A248" t="s">
        <v>32</v>
      </c>
      <c r="B248" t="s">
        <v>71</v>
      </c>
      <c r="C248">
        <v>52.89</v>
      </c>
      <c r="D248">
        <v>587</v>
      </c>
      <c r="E248" t="b">
        <v>1</v>
      </c>
      <c r="F248" t="b">
        <v>1</v>
      </c>
      <c r="G248" t="b">
        <v>1</v>
      </c>
      <c r="H248" t="s">
        <v>34</v>
      </c>
      <c r="I248" t="s">
        <v>44</v>
      </c>
      <c r="J248" t="s">
        <v>27</v>
      </c>
      <c r="K248" t="s">
        <v>39</v>
      </c>
      <c r="L248" t="s">
        <v>51</v>
      </c>
      <c r="M248" t="s">
        <v>28</v>
      </c>
      <c r="N248" t="s">
        <v>28</v>
      </c>
      <c r="O248" t="b">
        <v>0</v>
      </c>
      <c r="P248" t="b">
        <v>1</v>
      </c>
      <c r="Q248">
        <v>4.7</v>
      </c>
      <c r="R248" t="b">
        <v>1</v>
      </c>
      <c r="S248" t="s">
        <v>64</v>
      </c>
      <c r="T248">
        <v>24.7</v>
      </c>
      <c r="U248">
        <v>28.14</v>
      </c>
      <c r="V248" t="b">
        <v>1</v>
      </c>
      <c r="W248" t="s">
        <v>72</v>
      </c>
    </row>
    <row r="249" spans="1:23" x14ac:dyDescent="0.25">
      <c r="A249" t="s">
        <v>61</v>
      </c>
      <c r="B249" t="s">
        <v>66</v>
      </c>
      <c r="C249">
        <v>61.15</v>
      </c>
      <c r="D249">
        <v>251</v>
      </c>
      <c r="E249" t="b">
        <v>0</v>
      </c>
      <c r="F249" t="b">
        <v>1</v>
      </c>
      <c r="G249" t="b">
        <v>0</v>
      </c>
      <c r="H249" t="s">
        <v>34</v>
      </c>
      <c r="I249" t="s">
        <v>57</v>
      </c>
      <c r="J249" t="s">
        <v>50</v>
      </c>
      <c r="K249" t="s">
        <v>39</v>
      </c>
      <c r="L249" t="s">
        <v>29</v>
      </c>
      <c r="M249" t="s">
        <v>28</v>
      </c>
      <c r="N249" t="s">
        <v>28</v>
      </c>
      <c r="O249" t="b">
        <v>0</v>
      </c>
      <c r="P249" t="b">
        <v>1</v>
      </c>
      <c r="Q249">
        <v>5.8</v>
      </c>
      <c r="R249" t="b">
        <v>1</v>
      </c>
      <c r="S249" t="s">
        <v>48</v>
      </c>
      <c r="T249">
        <v>23.5</v>
      </c>
      <c r="U249">
        <v>60.87</v>
      </c>
      <c r="V249" t="b">
        <v>1</v>
      </c>
      <c r="W249" t="s">
        <v>41</v>
      </c>
    </row>
    <row r="250" spans="1:23" x14ac:dyDescent="0.25">
      <c r="A250" t="s">
        <v>68</v>
      </c>
      <c r="B250" t="s">
        <v>62</v>
      </c>
      <c r="C250">
        <v>51.53</v>
      </c>
      <c r="D250">
        <v>137</v>
      </c>
      <c r="E250" t="b">
        <v>0</v>
      </c>
      <c r="F250" t="b">
        <v>1</v>
      </c>
      <c r="G250" t="b">
        <v>1</v>
      </c>
      <c r="H250" t="s">
        <v>34</v>
      </c>
      <c r="I250" t="s">
        <v>63</v>
      </c>
      <c r="J250" t="s">
        <v>27</v>
      </c>
      <c r="K250" t="s">
        <v>37</v>
      </c>
      <c r="L250" t="s">
        <v>69</v>
      </c>
      <c r="M250" t="s">
        <v>28</v>
      </c>
      <c r="N250" t="s">
        <v>28</v>
      </c>
      <c r="O250" t="b">
        <v>0</v>
      </c>
      <c r="P250" t="b">
        <v>0</v>
      </c>
      <c r="Q250">
        <v>5.2</v>
      </c>
      <c r="R250" t="b">
        <v>0</v>
      </c>
      <c r="T250">
        <v>0</v>
      </c>
      <c r="U250">
        <v>61.69</v>
      </c>
      <c r="V250" t="b">
        <v>1</v>
      </c>
      <c r="W250" t="s">
        <v>41</v>
      </c>
    </row>
    <row r="251" spans="1:23" x14ac:dyDescent="0.25">
      <c r="A251" t="s">
        <v>32</v>
      </c>
      <c r="B251" t="s">
        <v>42</v>
      </c>
      <c r="C251">
        <v>68.59</v>
      </c>
      <c r="D251">
        <v>770</v>
      </c>
      <c r="E251" t="b">
        <v>1</v>
      </c>
      <c r="F251" t="b">
        <v>1</v>
      </c>
      <c r="G251" t="b">
        <v>0</v>
      </c>
      <c r="H251" t="s">
        <v>25</v>
      </c>
      <c r="I251" t="s">
        <v>67</v>
      </c>
      <c r="J251" t="s">
        <v>45</v>
      </c>
      <c r="K251" t="s">
        <v>46</v>
      </c>
      <c r="L251" t="s">
        <v>69</v>
      </c>
      <c r="M251" t="s">
        <v>46</v>
      </c>
      <c r="O251" t="b">
        <v>1</v>
      </c>
      <c r="P251" t="b">
        <v>1</v>
      </c>
      <c r="Q251">
        <v>10</v>
      </c>
      <c r="R251" t="b">
        <v>1</v>
      </c>
      <c r="S251" t="s">
        <v>40</v>
      </c>
      <c r="T251">
        <v>17.399999999999999</v>
      </c>
      <c r="U251">
        <v>61.25</v>
      </c>
      <c r="V251" t="b">
        <v>0</v>
      </c>
      <c r="W251" t="s">
        <v>31</v>
      </c>
    </row>
    <row r="252" spans="1:23" x14ac:dyDescent="0.25">
      <c r="A252" t="s">
        <v>32</v>
      </c>
      <c r="B252" t="s">
        <v>73</v>
      </c>
      <c r="C252">
        <v>60.64</v>
      </c>
      <c r="D252">
        <v>225</v>
      </c>
      <c r="E252" t="b">
        <v>1</v>
      </c>
      <c r="F252" t="b">
        <v>1</v>
      </c>
      <c r="G252" t="b">
        <v>1</v>
      </c>
      <c r="H252" t="s">
        <v>43</v>
      </c>
      <c r="I252" t="s">
        <v>63</v>
      </c>
      <c r="J252" t="s">
        <v>45</v>
      </c>
      <c r="K252" t="s">
        <v>37</v>
      </c>
      <c r="L252" t="s">
        <v>69</v>
      </c>
      <c r="M252" t="s">
        <v>46</v>
      </c>
      <c r="O252" t="b">
        <v>1</v>
      </c>
      <c r="P252" t="b">
        <v>1</v>
      </c>
      <c r="Q252">
        <v>9.3000000000000007</v>
      </c>
      <c r="R252" t="b">
        <v>1</v>
      </c>
      <c r="S252" t="s">
        <v>40</v>
      </c>
      <c r="T252">
        <v>17.2</v>
      </c>
      <c r="U252">
        <v>56.16</v>
      </c>
      <c r="V252" t="b">
        <v>0</v>
      </c>
      <c r="W252" t="s">
        <v>31</v>
      </c>
    </row>
    <row r="253" spans="1:23" x14ac:dyDescent="0.25">
      <c r="A253" t="s">
        <v>56</v>
      </c>
      <c r="B253" t="s">
        <v>73</v>
      </c>
      <c r="C253">
        <v>52.01</v>
      </c>
      <c r="D253">
        <v>199</v>
      </c>
      <c r="E253" t="b">
        <v>0</v>
      </c>
      <c r="F253" t="b">
        <v>0</v>
      </c>
      <c r="G253" t="b">
        <v>0</v>
      </c>
      <c r="H253" t="s">
        <v>34</v>
      </c>
      <c r="I253" t="s">
        <v>35</v>
      </c>
      <c r="J253" t="s">
        <v>50</v>
      </c>
      <c r="K253" t="s">
        <v>39</v>
      </c>
      <c r="L253" t="s">
        <v>69</v>
      </c>
      <c r="M253" t="s">
        <v>47</v>
      </c>
      <c r="N253" t="s">
        <v>28</v>
      </c>
      <c r="P253" t="b">
        <v>1</v>
      </c>
      <c r="Q253">
        <v>5.0999999999999996</v>
      </c>
      <c r="R253" t="b">
        <v>1</v>
      </c>
      <c r="S253" t="s">
        <v>48</v>
      </c>
      <c r="T253">
        <v>19.2</v>
      </c>
      <c r="U253">
        <v>53.75</v>
      </c>
      <c r="V253" t="b">
        <v>1</v>
      </c>
      <c r="W253" t="s">
        <v>41</v>
      </c>
    </row>
    <row r="254" spans="1:23" x14ac:dyDescent="0.25">
      <c r="A254" t="s">
        <v>61</v>
      </c>
      <c r="B254" t="s">
        <v>24</v>
      </c>
      <c r="C254">
        <v>87.14</v>
      </c>
      <c r="D254">
        <v>361</v>
      </c>
      <c r="E254" t="b">
        <v>0</v>
      </c>
      <c r="F254" t="b">
        <v>0</v>
      </c>
      <c r="G254" t="b">
        <v>1</v>
      </c>
      <c r="H254" t="s">
        <v>34</v>
      </c>
      <c r="I254" t="s">
        <v>26</v>
      </c>
      <c r="J254" t="s">
        <v>36</v>
      </c>
      <c r="K254" t="s">
        <v>39</v>
      </c>
      <c r="L254" t="s">
        <v>69</v>
      </c>
      <c r="M254" t="s">
        <v>39</v>
      </c>
      <c r="N254" t="s">
        <v>46</v>
      </c>
      <c r="O254" t="b">
        <v>1</v>
      </c>
      <c r="P254" t="b">
        <v>1</v>
      </c>
      <c r="Q254">
        <v>10</v>
      </c>
      <c r="R254" t="b">
        <v>1</v>
      </c>
      <c r="S254" t="s">
        <v>65</v>
      </c>
      <c r="T254">
        <v>11</v>
      </c>
      <c r="U254">
        <v>82.56</v>
      </c>
      <c r="V254" t="b">
        <v>1</v>
      </c>
      <c r="W254" t="s">
        <v>31</v>
      </c>
    </row>
    <row r="255" spans="1:23" x14ac:dyDescent="0.25">
      <c r="A255" t="s">
        <v>23</v>
      </c>
      <c r="B255" t="s">
        <v>73</v>
      </c>
      <c r="C255">
        <v>53.81</v>
      </c>
      <c r="D255">
        <v>93</v>
      </c>
      <c r="E255" t="b">
        <v>1</v>
      </c>
      <c r="F255" t="b">
        <v>1</v>
      </c>
      <c r="G255" t="b">
        <v>0</v>
      </c>
      <c r="H255" t="s">
        <v>53</v>
      </c>
      <c r="I255" t="s">
        <v>44</v>
      </c>
      <c r="J255" t="s">
        <v>36</v>
      </c>
      <c r="K255" t="s">
        <v>46</v>
      </c>
      <c r="L255" t="s">
        <v>69</v>
      </c>
      <c r="M255" t="s">
        <v>39</v>
      </c>
      <c r="N255" t="s">
        <v>28</v>
      </c>
      <c r="O255" t="b">
        <v>0</v>
      </c>
      <c r="P255" t="b">
        <v>1</v>
      </c>
      <c r="Q255">
        <v>6.3</v>
      </c>
      <c r="R255" t="b">
        <v>1</v>
      </c>
      <c r="S255" t="s">
        <v>40</v>
      </c>
      <c r="T255">
        <v>26.9</v>
      </c>
      <c r="U255">
        <v>50.1</v>
      </c>
      <c r="V255" t="b">
        <v>1</v>
      </c>
      <c r="W255" t="s">
        <v>41</v>
      </c>
    </row>
    <row r="256" spans="1:23" x14ac:dyDescent="0.25">
      <c r="A256" t="s">
        <v>56</v>
      </c>
      <c r="B256" t="s">
        <v>62</v>
      </c>
      <c r="C256">
        <v>50.93</v>
      </c>
      <c r="D256">
        <v>236</v>
      </c>
      <c r="E256" t="b">
        <v>1</v>
      </c>
      <c r="F256" t="b">
        <v>0</v>
      </c>
      <c r="G256" t="b">
        <v>0</v>
      </c>
      <c r="H256" t="s">
        <v>43</v>
      </c>
      <c r="I256" t="s">
        <v>57</v>
      </c>
      <c r="J256" t="s">
        <v>54</v>
      </c>
      <c r="K256" t="s">
        <v>39</v>
      </c>
      <c r="L256" t="s">
        <v>51</v>
      </c>
      <c r="M256" t="s">
        <v>46</v>
      </c>
      <c r="O256" t="b">
        <v>1</v>
      </c>
      <c r="P256" t="b">
        <v>1</v>
      </c>
      <c r="Q256">
        <v>7.3</v>
      </c>
      <c r="R256" t="b">
        <v>1</v>
      </c>
      <c r="S256" t="s">
        <v>55</v>
      </c>
      <c r="T256">
        <v>36.9</v>
      </c>
      <c r="U256">
        <v>47.97</v>
      </c>
      <c r="V256" t="b">
        <v>0</v>
      </c>
      <c r="W256" t="s">
        <v>41</v>
      </c>
    </row>
    <row r="257" spans="1:23" x14ac:dyDescent="0.25">
      <c r="A257" t="s">
        <v>68</v>
      </c>
      <c r="B257" t="s">
        <v>70</v>
      </c>
      <c r="C257">
        <v>72.27</v>
      </c>
      <c r="D257">
        <v>786</v>
      </c>
      <c r="E257" t="b">
        <v>0</v>
      </c>
      <c r="F257" t="b">
        <v>1</v>
      </c>
      <c r="G257" t="b">
        <v>0</v>
      </c>
      <c r="H257" t="s">
        <v>43</v>
      </c>
      <c r="I257" t="s">
        <v>57</v>
      </c>
      <c r="J257" t="s">
        <v>50</v>
      </c>
      <c r="K257" t="s">
        <v>28</v>
      </c>
      <c r="L257" t="s">
        <v>37</v>
      </c>
      <c r="M257" t="s">
        <v>28</v>
      </c>
      <c r="N257" t="s">
        <v>28</v>
      </c>
      <c r="P257" t="b">
        <v>0</v>
      </c>
      <c r="Q257">
        <v>8</v>
      </c>
      <c r="R257" t="b">
        <v>1</v>
      </c>
      <c r="S257" t="s">
        <v>64</v>
      </c>
      <c r="T257">
        <v>12.9</v>
      </c>
      <c r="U257">
        <v>80.319999999999993</v>
      </c>
      <c r="V257" t="b">
        <v>1</v>
      </c>
      <c r="W257" t="s">
        <v>31</v>
      </c>
    </row>
    <row r="258" spans="1:23" x14ac:dyDescent="0.25">
      <c r="A258" t="s">
        <v>32</v>
      </c>
      <c r="B258" t="s">
        <v>42</v>
      </c>
      <c r="C258">
        <v>66.150000000000006</v>
      </c>
      <c r="D258">
        <v>329</v>
      </c>
      <c r="E258" t="b">
        <v>1</v>
      </c>
      <c r="F258" t="b">
        <v>0</v>
      </c>
      <c r="G258" t="b">
        <v>0</v>
      </c>
      <c r="H258" t="s">
        <v>43</v>
      </c>
      <c r="I258" t="s">
        <v>26</v>
      </c>
      <c r="J258" t="s">
        <v>45</v>
      </c>
      <c r="K258" t="s">
        <v>28</v>
      </c>
      <c r="L258" t="s">
        <v>37</v>
      </c>
      <c r="M258" t="s">
        <v>47</v>
      </c>
      <c r="N258" t="s">
        <v>46</v>
      </c>
      <c r="P258" t="b">
        <v>1</v>
      </c>
      <c r="Q258">
        <v>7.7</v>
      </c>
      <c r="R258" t="b">
        <v>1</v>
      </c>
      <c r="S258" t="s">
        <v>64</v>
      </c>
      <c r="T258">
        <v>43.8</v>
      </c>
      <c r="U258">
        <v>52.29</v>
      </c>
      <c r="V258" t="b">
        <v>0</v>
      </c>
      <c r="W258" t="s">
        <v>41</v>
      </c>
    </row>
    <row r="259" spans="1:23" x14ac:dyDescent="0.25">
      <c r="A259" t="s">
        <v>56</v>
      </c>
      <c r="B259" t="s">
        <v>60</v>
      </c>
      <c r="C259">
        <v>64.88</v>
      </c>
      <c r="D259">
        <v>691</v>
      </c>
      <c r="E259" t="b">
        <v>1</v>
      </c>
      <c r="F259" t="b">
        <v>1</v>
      </c>
      <c r="G259" t="b">
        <v>1</v>
      </c>
      <c r="H259" t="s">
        <v>34</v>
      </c>
      <c r="I259" t="s">
        <v>35</v>
      </c>
      <c r="J259" t="s">
        <v>50</v>
      </c>
      <c r="K259" t="s">
        <v>37</v>
      </c>
      <c r="L259" t="s">
        <v>37</v>
      </c>
      <c r="M259" t="s">
        <v>47</v>
      </c>
      <c r="N259" t="s">
        <v>46</v>
      </c>
      <c r="O259" t="b">
        <v>0</v>
      </c>
      <c r="P259" t="b">
        <v>1</v>
      </c>
      <c r="Q259">
        <v>5.2</v>
      </c>
      <c r="R259" t="b">
        <v>1</v>
      </c>
      <c r="S259" t="s">
        <v>40</v>
      </c>
      <c r="T259">
        <v>8.6999999999999993</v>
      </c>
      <c r="U259">
        <v>58.25</v>
      </c>
      <c r="V259" t="b">
        <v>1</v>
      </c>
      <c r="W259" t="s">
        <v>41</v>
      </c>
    </row>
    <row r="260" spans="1:23" x14ac:dyDescent="0.25">
      <c r="A260" t="s">
        <v>74</v>
      </c>
      <c r="B260" t="s">
        <v>66</v>
      </c>
      <c r="C260">
        <v>68.86</v>
      </c>
      <c r="D260">
        <v>197</v>
      </c>
      <c r="E260" t="b">
        <v>0</v>
      </c>
      <c r="F260" t="b">
        <v>0</v>
      </c>
      <c r="G260" t="b">
        <v>1</v>
      </c>
      <c r="H260" t="s">
        <v>43</v>
      </c>
      <c r="I260" t="s">
        <v>35</v>
      </c>
      <c r="J260" t="s">
        <v>54</v>
      </c>
      <c r="K260" t="s">
        <v>39</v>
      </c>
      <c r="L260" t="s">
        <v>29</v>
      </c>
      <c r="M260" t="s">
        <v>28</v>
      </c>
      <c r="N260" t="s">
        <v>39</v>
      </c>
      <c r="O260" t="b">
        <v>0</v>
      </c>
      <c r="P260" t="b">
        <v>0</v>
      </c>
      <c r="Q260">
        <v>6.5</v>
      </c>
      <c r="R260" t="b">
        <v>0</v>
      </c>
      <c r="T260">
        <v>0</v>
      </c>
      <c r="U260">
        <v>70.97</v>
      </c>
      <c r="V260" t="b">
        <v>1</v>
      </c>
      <c r="W260" t="s">
        <v>31</v>
      </c>
    </row>
    <row r="261" spans="1:23" x14ac:dyDescent="0.25">
      <c r="A261" t="s">
        <v>23</v>
      </c>
      <c r="B261" t="s">
        <v>33</v>
      </c>
      <c r="C261">
        <v>84.52</v>
      </c>
      <c r="D261">
        <v>583</v>
      </c>
      <c r="E261" t="b">
        <v>0</v>
      </c>
      <c r="F261" t="b">
        <v>1</v>
      </c>
      <c r="G261" t="b">
        <v>1</v>
      </c>
      <c r="H261" t="s">
        <v>34</v>
      </c>
      <c r="I261" t="s">
        <v>35</v>
      </c>
      <c r="J261" t="s">
        <v>50</v>
      </c>
      <c r="K261" t="s">
        <v>46</v>
      </c>
      <c r="L261" t="s">
        <v>69</v>
      </c>
      <c r="M261" t="s">
        <v>28</v>
      </c>
      <c r="O261" t="b">
        <v>1</v>
      </c>
      <c r="P261" t="b">
        <v>0</v>
      </c>
      <c r="Q261">
        <v>10</v>
      </c>
      <c r="R261" t="b">
        <v>0</v>
      </c>
      <c r="T261">
        <v>0</v>
      </c>
      <c r="U261">
        <v>96.1</v>
      </c>
      <c r="V261" t="b">
        <v>1</v>
      </c>
      <c r="W261" t="s">
        <v>58</v>
      </c>
    </row>
    <row r="262" spans="1:23" x14ac:dyDescent="0.25">
      <c r="A262" t="s">
        <v>61</v>
      </c>
      <c r="B262" t="s">
        <v>59</v>
      </c>
      <c r="C262">
        <v>76.75</v>
      </c>
      <c r="D262">
        <v>398</v>
      </c>
      <c r="E262" t="b">
        <v>0</v>
      </c>
      <c r="F262" t="b">
        <v>0</v>
      </c>
      <c r="G262" t="b">
        <v>0</v>
      </c>
      <c r="H262" t="s">
        <v>25</v>
      </c>
      <c r="I262" t="s">
        <v>35</v>
      </c>
      <c r="J262" t="s">
        <v>36</v>
      </c>
      <c r="K262" t="s">
        <v>28</v>
      </c>
      <c r="L262" t="s">
        <v>69</v>
      </c>
      <c r="M262" t="s">
        <v>47</v>
      </c>
      <c r="N262" t="s">
        <v>28</v>
      </c>
      <c r="P262" t="b">
        <v>1</v>
      </c>
      <c r="Q262">
        <v>8.5</v>
      </c>
      <c r="R262" t="b">
        <v>1</v>
      </c>
      <c r="S262" t="s">
        <v>40</v>
      </c>
      <c r="T262">
        <v>25.7</v>
      </c>
      <c r="U262">
        <v>87.68</v>
      </c>
      <c r="V262" t="b">
        <v>1</v>
      </c>
      <c r="W262" t="s">
        <v>31</v>
      </c>
    </row>
    <row r="263" spans="1:23" x14ac:dyDescent="0.25">
      <c r="A263" t="s">
        <v>74</v>
      </c>
      <c r="B263" t="s">
        <v>73</v>
      </c>
      <c r="C263">
        <v>60.64</v>
      </c>
      <c r="D263">
        <v>406</v>
      </c>
      <c r="E263" t="b">
        <v>0</v>
      </c>
      <c r="F263" t="b">
        <v>1</v>
      </c>
      <c r="G263" t="b">
        <v>0</v>
      </c>
      <c r="H263" t="s">
        <v>25</v>
      </c>
      <c r="I263" t="s">
        <v>26</v>
      </c>
      <c r="J263" t="s">
        <v>54</v>
      </c>
      <c r="K263" t="s">
        <v>39</v>
      </c>
      <c r="L263" t="s">
        <v>69</v>
      </c>
      <c r="M263" t="s">
        <v>28</v>
      </c>
      <c r="N263" t="s">
        <v>39</v>
      </c>
      <c r="O263" t="b">
        <v>0</v>
      </c>
      <c r="P263" t="b">
        <v>0</v>
      </c>
      <c r="Q263">
        <v>6</v>
      </c>
      <c r="R263" t="b">
        <v>0</v>
      </c>
      <c r="T263">
        <v>0</v>
      </c>
      <c r="U263">
        <v>59.28</v>
      </c>
      <c r="V263" t="b">
        <v>1</v>
      </c>
      <c r="W263" t="s">
        <v>31</v>
      </c>
    </row>
    <row r="264" spans="1:23" x14ac:dyDescent="0.25">
      <c r="A264" t="s">
        <v>32</v>
      </c>
      <c r="B264" t="s">
        <v>33</v>
      </c>
      <c r="C264">
        <v>87.38</v>
      </c>
      <c r="D264">
        <v>746</v>
      </c>
      <c r="E264" t="b">
        <v>1</v>
      </c>
      <c r="F264" t="b">
        <v>0</v>
      </c>
      <c r="G264" t="b">
        <v>1</v>
      </c>
      <c r="H264" t="s">
        <v>25</v>
      </c>
      <c r="I264" t="s">
        <v>35</v>
      </c>
      <c r="J264" t="s">
        <v>50</v>
      </c>
      <c r="K264" t="s">
        <v>46</v>
      </c>
      <c r="L264" t="s">
        <v>51</v>
      </c>
      <c r="M264" t="s">
        <v>39</v>
      </c>
      <c r="N264" t="s">
        <v>28</v>
      </c>
      <c r="O264" t="b">
        <v>0</v>
      </c>
      <c r="P264" t="b">
        <v>1</v>
      </c>
      <c r="Q264">
        <v>8.5</v>
      </c>
      <c r="R264" t="b">
        <v>0</v>
      </c>
      <c r="T264">
        <v>0</v>
      </c>
      <c r="U264">
        <v>93.22</v>
      </c>
      <c r="V264" t="b">
        <v>1</v>
      </c>
      <c r="W264" t="s">
        <v>58</v>
      </c>
    </row>
    <row r="265" spans="1:23" x14ac:dyDescent="0.25">
      <c r="A265" t="s">
        <v>32</v>
      </c>
      <c r="B265" t="s">
        <v>42</v>
      </c>
      <c r="C265">
        <v>83.34</v>
      </c>
      <c r="D265">
        <v>62</v>
      </c>
      <c r="E265" t="b">
        <v>0</v>
      </c>
      <c r="F265" t="b">
        <v>0</v>
      </c>
      <c r="G265" t="b">
        <v>1</v>
      </c>
      <c r="H265" t="s">
        <v>25</v>
      </c>
      <c r="I265" t="s">
        <v>57</v>
      </c>
      <c r="J265" t="s">
        <v>36</v>
      </c>
      <c r="K265" t="s">
        <v>46</v>
      </c>
      <c r="L265" t="s">
        <v>69</v>
      </c>
      <c r="M265" t="s">
        <v>47</v>
      </c>
      <c r="N265" t="s">
        <v>46</v>
      </c>
      <c r="O265" t="b">
        <v>1</v>
      </c>
      <c r="P265" t="b">
        <v>1</v>
      </c>
      <c r="Q265">
        <v>10</v>
      </c>
      <c r="R265" t="b">
        <v>0</v>
      </c>
      <c r="T265">
        <v>0</v>
      </c>
      <c r="U265">
        <v>73.23</v>
      </c>
      <c r="V265" t="b">
        <v>0</v>
      </c>
      <c r="W265" t="s">
        <v>58</v>
      </c>
    </row>
    <row r="266" spans="1:23" x14ac:dyDescent="0.25">
      <c r="A266" t="s">
        <v>23</v>
      </c>
      <c r="B266" t="s">
        <v>62</v>
      </c>
      <c r="C266">
        <v>55.52</v>
      </c>
      <c r="D266">
        <v>518</v>
      </c>
      <c r="E266" t="b">
        <v>0</v>
      </c>
      <c r="F266" t="b">
        <v>0</v>
      </c>
      <c r="G266" t="b">
        <v>0</v>
      </c>
      <c r="H266" t="s">
        <v>43</v>
      </c>
      <c r="I266" t="s">
        <v>63</v>
      </c>
      <c r="J266" t="s">
        <v>36</v>
      </c>
      <c r="K266" t="s">
        <v>46</v>
      </c>
      <c r="L266" t="s">
        <v>69</v>
      </c>
      <c r="M266" t="s">
        <v>47</v>
      </c>
      <c r="P266" t="b">
        <v>1</v>
      </c>
      <c r="Q266">
        <v>5.8</v>
      </c>
      <c r="R266" t="b">
        <v>1</v>
      </c>
      <c r="S266" t="s">
        <v>30</v>
      </c>
      <c r="T266">
        <v>30.1</v>
      </c>
      <c r="U266">
        <v>42.64</v>
      </c>
      <c r="V266" t="b">
        <v>1</v>
      </c>
      <c r="W266" t="s">
        <v>41</v>
      </c>
    </row>
    <row r="267" spans="1:23" x14ac:dyDescent="0.25">
      <c r="A267" t="s">
        <v>61</v>
      </c>
      <c r="B267" t="s">
        <v>59</v>
      </c>
      <c r="C267">
        <v>92.5</v>
      </c>
      <c r="D267">
        <v>586</v>
      </c>
      <c r="E267" t="b">
        <v>0</v>
      </c>
      <c r="F267" t="b">
        <v>1</v>
      </c>
      <c r="G267" t="b">
        <v>1</v>
      </c>
      <c r="H267" t="s">
        <v>43</v>
      </c>
      <c r="I267" t="s">
        <v>57</v>
      </c>
      <c r="J267" t="s">
        <v>45</v>
      </c>
      <c r="K267" t="s">
        <v>28</v>
      </c>
      <c r="L267" t="s">
        <v>38</v>
      </c>
      <c r="M267" t="s">
        <v>39</v>
      </c>
      <c r="O267" t="b">
        <v>1</v>
      </c>
      <c r="P267" t="b">
        <v>0</v>
      </c>
      <c r="Q267">
        <v>10</v>
      </c>
      <c r="R267" t="b">
        <v>1</v>
      </c>
      <c r="S267" t="s">
        <v>64</v>
      </c>
      <c r="T267">
        <v>18.2</v>
      </c>
      <c r="U267">
        <v>97.46</v>
      </c>
      <c r="V267" t="b">
        <v>1</v>
      </c>
      <c r="W267" t="s">
        <v>31</v>
      </c>
    </row>
    <row r="268" spans="1:23" x14ac:dyDescent="0.25">
      <c r="A268" t="s">
        <v>74</v>
      </c>
      <c r="B268" t="s">
        <v>73</v>
      </c>
      <c r="C268">
        <v>59.16</v>
      </c>
      <c r="D268">
        <v>697</v>
      </c>
      <c r="E268" t="b">
        <v>0</v>
      </c>
      <c r="F268" t="b">
        <v>0</v>
      </c>
      <c r="G268" t="b">
        <v>1</v>
      </c>
      <c r="H268" t="s">
        <v>43</v>
      </c>
      <c r="I268" t="s">
        <v>63</v>
      </c>
      <c r="J268" t="s">
        <v>50</v>
      </c>
      <c r="K268" t="s">
        <v>46</v>
      </c>
      <c r="L268" t="s">
        <v>37</v>
      </c>
      <c r="M268" t="s">
        <v>46</v>
      </c>
      <c r="N268" t="s">
        <v>28</v>
      </c>
      <c r="O268" t="b">
        <v>1</v>
      </c>
      <c r="P268" t="b">
        <v>0</v>
      </c>
      <c r="Q268">
        <v>7.4</v>
      </c>
      <c r="R268" t="b">
        <v>1</v>
      </c>
      <c r="S268" t="s">
        <v>52</v>
      </c>
      <c r="T268">
        <v>24.1</v>
      </c>
      <c r="U268">
        <v>51.53</v>
      </c>
      <c r="V268" t="b">
        <v>0</v>
      </c>
      <c r="W268" t="s">
        <v>41</v>
      </c>
    </row>
    <row r="269" spans="1:23" x14ac:dyDescent="0.25">
      <c r="A269" t="s">
        <v>74</v>
      </c>
      <c r="B269" t="s">
        <v>24</v>
      </c>
      <c r="C269">
        <v>85.28</v>
      </c>
      <c r="D269">
        <v>756</v>
      </c>
      <c r="E269" t="b">
        <v>1</v>
      </c>
      <c r="F269" t="b">
        <v>0</v>
      </c>
      <c r="G269" t="b">
        <v>1</v>
      </c>
      <c r="H269" t="s">
        <v>34</v>
      </c>
      <c r="I269" t="s">
        <v>63</v>
      </c>
      <c r="J269" t="s">
        <v>50</v>
      </c>
      <c r="K269" t="s">
        <v>28</v>
      </c>
      <c r="L269" t="s">
        <v>29</v>
      </c>
      <c r="M269" t="s">
        <v>39</v>
      </c>
      <c r="P269" t="b">
        <v>0</v>
      </c>
      <c r="Q269">
        <v>10</v>
      </c>
      <c r="R269" t="b">
        <v>1</v>
      </c>
      <c r="S269" t="s">
        <v>48</v>
      </c>
      <c r="T269">
        <v>39.200000000000003</v>
      </c>
      <c r="U269">
        <v>92.47</v>
      </c>
      <c r="V269" t="b">
        <v>1</v>
      </c>
      <c r="W269" t="s">
        <v>31</v>
      </c>
    </row>
    <row r="270" spans="1:23" x14ac:dyDescent="0.25">
      <c r="A270" t="s">
        <v>74</v>
      </c>
      <c r="B270" t="s">
        <v>70</v>
      </c>
      <c r="C270">
        <v>71.319999999999993</v>
      </c>
      <c r="D270">
        <v>245</v>
      </c>
      <c r="E270" t="b">
        <v>1</v>
      </c>
      <c r="F270" t="b">
        <v>0</v>
      </c>
      <c r="G270" t="b">
        <v>0</v>
      </c>
      <c r="H270" t="s">
        <v>34</v>
      </c>
      <c r="I270" t="s">
        <v>67</v>
      </c>
      <c r="J270" t="s">
        <v>50</v>
      </c>
      <c r="K270" t="s">
        <v>37</v>
      </c>
      <c r="L270" t="s">
        <v>69</v>
      </c>
      <c r="M270" t="s">
        <v>46</v>
      </c>
      <c r="N270" t="s">
        <v>46</v>
      </c>
      <c r="O270" t="b">
        <v>0</v>
      </c>
      <c r="P270" t="b">
        <v>0</v>
      </c>
      <c r="Q270">
        <v>8.6</v>
      </c>
      <c r="R270" t="b">
        <v>0</v>
      </c>
      <c r="T270">
        <v>0</v>
      </c>
      <c r="U270">
        <v>75.89</v>
      </c>
      <c r="V270" t="b">
        <v>1</v>
      </c>
      <c r="W270" t="s">
        <v>58</v>
      </c>
    </row>
    <row r="271" spans="1:23" x14ac:dyDescent="0.25">
      <c r="A271" t="s">
        <v>56</v>
      </c>
      <c r="B271" t="s">
        <v>60</v>
      </c>
      <c r="C271">
        <v>61.78</v>
      </c>
      <c r="D271">
        <v>589</v>
      </c>
      <c r="E271" t="b">
        <v>0</v>
      </c>
      <c r="F271" t="b">
        <v>1</v>
      </c>
      <c r="G271" t="b">
        <v>0</v>
      </c>
      <c r="H271" t="s">
        <v>43</v>
      </c>
      <c r="I271" t="s">
        <v>35</v>
      </c>
      <c r="J271" t="s">
        <v>54</v>
      </c>
      <c r="K271" t="s">
        <v>37</v>
      </c>
      <c r="L271" t="s">
        <v>38</v>
      </c>
      <c r="M271" t="s">
        <v>46</v>
      </c>
      <c r="N271" t="s">
        <v>39</v>
      </c>
      <c r="O271" t="b">
        <v>0</v>
      </c>
      <c r="P271" t="b">
        <v>0</v>
      </c>
      <c r="Q271">
        <v>5.6</v>
      </c>
      <c r="R271" t="b">
        <v>1</v>
      </c>
      <c r="S271" t="s">
        <v>65</v>
      </c>
      <c r="T271">
        <v>3.9</v>
      </c>
      <c r="U271">
        <v>65.150000000000006</v>
      </c>
      <c r="V271" t="b">
        <v>1</v>
      </c>
      <c r="W271" t="s">
        <v>41</v>
      </c>
    </row>
    <row r="272" spans="1:23" x14ac:dyDescent="0.25">
      <c r="A272" t="s">
        <v>61</v>
      </c>
      <c r="B272" t="s">
        <v>76</v>
      </c>
      <c r="C272">
        <v>74.97</v>
      </c>
      <c r="D272">
        <v>695</v>
      </c>
      <c r="E272" t="b">
        <v>0</v>
      </c>
      <c r="F272" t="b">
        <v>0</v>
      </c>
      <c r="G272" t="b">
        <v>1</v>
      </c>
      <c r="H272" t="s">
        <v>34</v>
      </c>
      <c r="I272" t="s">
        <v>63</v>
      </c>
      <c r="J272" t="s">
        <v>27</v>
      </c>
      <c r="K272" t="s">
        <v>37</v>
      </c>
      <c r="L272" t="s">
        <v>69</v>
      </c>
      <c r="M272" t="s">
        <v>47</v>
      </c>
      <c r="O272" t="b">
        <v>1</v>
      </c>
      <c r="P272" t="b">
        <v>1</v>
      </c>
      <c r="Q272">
        <v>9</v>
      </c>
      <c r="R272" t="b">
        <v>1</v>
      </c>
      <c r="S272" t="s">
        <v>40</v>
      </c>
      <c r="T272">
        <v>12.3</v>
      </c>
      <c r="U272">
        <v>62.72</v>
      </c>
      <c r="V272" t="b">
        <v>0</v>
      </c>
      <c r="W272" t="s">
        <v>31</v>
      </c>
    </row>
    <row r="273" spans="1:23" x14ac:dyDescent="0.25">
      <c r="A273" t="s">
        <v>23</v>
      </c>
      <c r="B273" t="s">
        <v>62</v>
      </c>
      <c r="C273">
        <v>71.22</v>
      </c>
      <c r="D273">
        <v>461</v>
      </c>
      <c r="E273" t="b">
        <v>0</v>
      </c>
      <c r="F273" t="b">
        <v>1</v>
      </c>
      <c r="G273" t="b">
        <v>1</v>
      </c>
      <c r="H273" t="s">
        <v>53</v>
      </c>
      <c r="I273" t="s">
        <v>63</v>
      </c>
      <c r="J273" t="s">
        <v>36</v>
      </c>
      <c r="K273" t="s">
        <v>46</v>
      </c>
      <c r="L273" t="s">
        <v>29</v>
      </c>
      <c r="M273" t="s">
        <v>39</v>
      </c>
      <c r="P273" t="b">
        <v>0</v>
      </c>
      <c r="Q273">
        <v>6.6</v>
      </c>
      <c r="R273" t="b">
        <v>1</v>
      </c>
      <c r="S273" t="s">
        <v>40</v>
      </c>
      <c r="T273">
        <v>32.6</v>
      </c>
      <c r="U273">
        <v>78.3</v>
      </c>
      <c r="V273" t="b">
        <v>1</v>
      </c>
      <c r="W273" t="s">
        <v>41</v>
      </c>
    </row>
    <row r="274" spans="1:23" x14ac:dyDescent="0.25">
      <c r="A274" t="s">
        <v>23</v>
      </c>
      <c r="B274" t="s">
        <v>33</v>
      </c>
      <c r="C274">
        <v>85.84</v>
      </c>
      <c r="D274">
        <v>686</v>
      </c>
      <c r="E274" t="b">
        <v>1</v>
      </c>
      <c r="F274" t="b">
        <v>1</v>
      </c>
      <c r="G274" t="b">
        <v>1</v>
      </c>
      <c r="H274" t="s">
        <v>34</v>
      </c>
      <c r="I274" t="s">
        <v>44</v>
      </c>
      <c r="J274" t="s">
        <v>50</v>
      </c>
      <c r="K274" t="s">
        <v>37</v>
      </c>
      <c r="L274" t="s">
        <v>69</v>
      </c>
      <c r="M274" t="s">
        <v>28</v>
      </c>
      <c r="N274" t="s">
        <v>39</v>
      </c>
      <c r="O274" t="b">
        <v>1</v>
      </c>
      <c r="P274" t="b">
        <v>0</v>
      </c>
      <c r="Q274">
        <v>10</v>
      </c>
      <c r="R274" t="b">
        <v>1</v>
      </c>
      <c r="S274" t="s">
        <v>55</v>
      </c>
      <c r="T274">
        <v>10.3</v>
      </c>
      <c r="U274">
        <v>74.569999999999993</v>
      </c>
      <c r="V274" t="b">
        <v>0</v>
      </c>
      <c r="W274" t="s">
        <v>31</v>
      </c>
    </row>
    <row r="275" spans="1:23" x14ac:dyDescent="0.25">
      <c r="A275" t="s">
        <v>74</v>
      </c>
      <c r="B275" t="s">
        <v>33</v>
      </c>
      <c r="C275">
        <v>86.38</v>
      </c>
      <c r="D275">
        <v>411</v>
      </c>
      <c r="E275" t="b">
        <v>1</v>
      </c>
      <c r="F275" t="b">
        <v>0</v>
      </c>
      <c r="G275" t="b">
        <v>1</v>
      </c>
      <c r="H275" t="s">
        <v>25</v>
      </c>
      <c r="I275" t="s">
        <v>44</v>
      </c>
      <c r="J275" t="s">
        <v>27</v>
      </c>
      <c r="K275" t="s">
        <v>46</v>
      </c>
      <c r="L275" t="s">
        <v>51</v>
      </c>
      <c r="M275" t="s">
        <v>46</v>
      </c>
      <c r="N275" t="s">
        <v>39</v>
      </c>
      <c r="O275" t="b">
        <v>0</v>
      </c>
      <c r="P275" t="b">
        <v>0</v>
      </c>
      <c r="Q275">
        <v>9.6</v>
      </c>
      <c r="R275" t="b">
        <v>0</v>
      </c>
      <c r="T275">
        <v>0</v>
      </c>
      <c r="U275">
        <v>73.02</v>
      </c>
      <c r="V275" t="b">
        <v>0</v>
      </c>
      <c r="W275" t="s">
        <v>58</v>
      </c>
    </row>
    <row r="276" spans="1:23" x14ac:dyDescent="0.25">
      <c r="A276" t="s">
        <v>74</v>
      </c>
      <c r="B276" t="s">
        <v>49</v>
      </c>
      <c r="C276">
        <v>77.27</v>
      </c>
      <c r="D276">
        <v>754</v>
      </c>
      <c r="E276" t="b">
        <v>0</v>
      </c>
      <c r="F276" t="b">
        <v>0</v>
      </c>
      <c r="G276" t="b">
        <v>1</v>
      </c>
      <c r="H276" t="s">
        <v>53</v>
      </c>
      <c r="I276" t="s">
        <v>26</v>
      </c>
      <c r="J276" t="s">
        <v>27</v>
      </c>
      <c r="K276" t="s">
        <v>39</v>
      </c>
      <c r="L276" t="s">
        <v>51</v>
      </c>
      <c r="M276" t="s">
        <v>39</v>
      </c>
      <c r="N276" t="s">
        <v>28</v>
      </c>
      <c r="P276" t="b">
        <v>0</v>
      </c>
      <c r="Q276">
        <v>7.2</v>
      </c>
      <c r="R276" t="b">
        <v>0</v>
      </c>
      <c r="T276">
        <v>0</v>
      </c>
      <c r="U276">
        <v>75.69</v>
      </c>
      <c r="V276" t="b">
        <v>1</v>
      </c>
      <c r="W276" t="s">
        <v>31</v>
      </c>
    </row>
    <row r="277" spans="1:23" x14ac:dyDescent="0.25">
      <c r="A277" t="s">
        <v>23</v>
      </c>
      <c r="B277" t="s">
        <v>33</v>
      </c>
      <c r="C277">
        <v>77.42</v>
      </c>
      <c r="D277">
        <v>302</v>
      </c>
      <c r="E277" t="b">
        <v>1</v>
      </c>
      <c r="F277" t="b">
        <v>0</v>
      </c>
      <c r="G277" t="b">
        <v>1</v>
      </c>
      <c r="H277" t="s">
        <v>25</v>
      </c>
      <c r="I277" t="s">
        <v>63</v>
      </c>
      <c r="J277" t="s">
        <v>36</v>
      </c>
      <c r="K277" t="s">
        <v>46</v>
      </c>
      <c r="L277" t="s">
        <v>69</v>
      </c>
      <c r="M277" t="s">
        <v>39</v>
      </c>
      <c r="N277" t="s">
        <v>46</v>
      </c>
      <c r="O277" t="b">
        <v>1</v>
      </c>
      <c r="P277" t="b">
        <v>0</v>
      </c>
      <c r="Q277">
        <v>10</v>
      </c>
      <c r="R277" t="b">
        <v>1</v>
      </c>
      <c r="S277" t="s">
        <v>75</v>
      </c>
      <c r="T277">
        <v>18.8</v>
      </c>
      <c r="U277">
        <v>90.25</v>
      </c>
      <c r="V277" t="b">
        <v>1</v>
      </c>
      <c r="W277" t="s">
        <v>31</v>
      </c>
    </row>
    <row r="278" spans="1:23" x14ac:dyDescent="0.25">
      <c r="A278" t="s">
        <v>32</v>
      </c>
      <c r="B278" t="s">
        <v>71</v>
      </c>
      <c r="C278">
        <v>48.79</v>
      </c>
      <c r="D278">
        <v>435</v>
      </c>
      <c r="E278" t="b">
        <v>1</v>
      </c>
      <c r="F278" t="b">
        <v>0</v>
      </c>
      <c r="G278" t="b">
        <v>0</v>
      </c>
      <c r="H278" t="s">
        <v>53</v>
      </c>
      <c r="I278" t="s">
        <v>57</v>
      </c>
      <c r="J278" t="s">
        <v>27</v>
      </c>
      <c r="K278" t="s">
        <v>28</v>
      </c>
      <c r="L278" t="s">
        <v>37</v>
      </c>
      <c r="M278" t="s">
        <v>28</v>
      </c>
      <c r="N278" t="s">
        <v>46</v>
      </c>
      <c r="O278" t="b">
        <v>1</v>
      </c>
      <c r="P278" t="b">
        <v>1</v>
      </c>
      <c r="Q278">
        <v>8.1</v>
      </c>
      <c r="R278" t="b">
        <v>0</v>
      </c>
      <c r="T278">
        <v>0</v>
      </c>
      <c r="U278">
        <v>41.67</v>
      </c>
      <c r="V278" t="b">
        <v>0</v>
      </c>
      <c r="W278" t="s">
        <v>58</v>
      </c>
    </row>
    <row r="279" spans="1:23" x14ac:dyDescent="0.25">
      <c r="A279" t="s">
        <v>68</v>
      </c>
      <c r="B279" t="s">
        <v>70</v>
      </c>
      <c r="C279">
        <v>94.03</v>
      </c>
      <c r="D279">
        <v>388</v>
      </c>
      <c r="E279" t="b">
        <v>0</v>
      </c>
      <c r="F279" t="b">
        <v>1</v>
      </c>
      <c r="G279" t="b">
        <v>1</v>
      </c>
      <c r="H279" t="s">
        <v>34</v>
      </c>
      <c r="I279" t="s">
        <v>63</v>
      </c>
      <c r="J279" t="s">
        <v>50</v>
      </c>
      <c r="K279" t="s">
        <v>28</v>
      </c>
      <c r="L279" t="s">
        <v>51</v>
      </c>
      <c r="M279" t="s">
        <v>47</v>
      </c>
      <c r="O279" t="b">
        <v>1</v>
      </c>
      <c r="P279" t="b">
        <v>0</v>
      </c>
      <c r="Q279">
        <v>9.6</v>
      </c>
      <c r="R279" t="b">
        <v>1</v>
      </c>
      <c r="S279" t="s">
        <v>40</v>
      </c>
      <c r="T279">
        <v>35.5</v>
      </c>
      <c r="U279">
        <v>84.51</v>
      </c>
      <c r="V279" t="b">
        <v>1</v>
      </c>
      <c r="W279" t="s">
        <v>31</v>
      </c>
    </row>
    <row r="280" spans="1:23" x14ac:dyDescent="0.25">
      <c r="A280" t="s">
        <v>32</v>
      </c>
      <c r="B280" t="s">
        <v>71</v>
      </c>
      <c r="C280">
        <v>50.24</v>
      </c>
      <c r="D280">
        <v>721</v>
      </c>
      <c r="E280" t="b">
        <v>1</v>
      </c>
      <c r="F280" t="b">
        <v>0</v>
      </c>
      <c r="G280" t="b">
        <v>0</v>
      </c>
      <c r="H280" t="s">
        <v>25</v>
      </c>
      <c r="I280" t="s">
        <v>35</v>
      </c>
      <c r="J280" t="s">
        <v>54</v>
      </c>
      <c r="K280" t="s">
        <v>46</v>
      </c>
      <c r="L280" t="s">
        <v>37</v>
      </c>
      <c r="M280" t="s">
        <v>28</v>
      </c>
      <c r="N280" t="s">
        <v>46</v>
      </c>
      <c r="O280" t="b">
        <v>1</v>
      </c>
      <c r="P280" t="b">
        <v>0</v>
      </c>
      <c r="Q280">
        <v>9.1</v>
      </c>
      <c r="R280" t="b">
        <v>0</v>
      </c>
      <c r="T280">
        <v>0</v>
      </c>
      <c r="U280">
        <v>27.7</v>
      </c>
      <c r="V280" t="b">
        <v>0</v>
      </c>
      <c r="W280" t="s">
        <v>58</v>
      </c>
    </row>
    <row r="281" spans="1:23" x14ac:dyDescent="0.25">
      <c r="A281" t="s">
        <v>61</v>
      </c>
      <c r="B281" t="s">
        <v>73</v>
      </c>
      <c r="C281">
        <v>46.17</v>
      </c>
      <c r="D281">
        <v>234</v>
      </c>
      <c r="E281" t="b">
        <v>1</v>
      </c>
      <c r="F281" t="b">
        <v>1</v>
      </c>
      <c r="G281" t="b">
        <v>0</v>
      </c>
      <c r="H281" t="s">
        <v>34</v>
      </c>
      <c r="I281" t="s">
        <v>57</v>
      </c>
      <c r="J281" t="s">
        <v>50</v>
      </c>
      <c r="K281" t="s">
        <v>46</v>
      </c>
      <c r="L281" t="s">
        <v>38</v>
      </c>
      <c r="M281" t="s">
        <v>46</v>
      </c>
      <c r="N281" t="s">
        <v>28</v>
      </c>
      <c r="P281" t="b">
        <v>0</v>
      </c>
      <c r="Q281">
        <v>6.7</v>
      </c>
      <c r="R281" t="b">
        <v>1</v>
      </c>
      <c r="S281" t="s">
        <v>52</v>
      </c>
      <c r="T281">
        <v>31.4</v>
      </c>
      <c r="U281">
        <v>55.51</v>
      </c>
      <c r="V281" t="b">
        <v>1</v>
      </c>
      <c r="W281" t="s">
        <v>41</v>
      </c>
    </row>
    <row r="282" spans="1:23" x14ac:dyDescent="0.25">
      <c r="A282" t="s">
        <v>32</v>
      </c>
      <c r="B282" t="s">
        <v>49</v>
      </c>
      <c r="C282">
        <v>70.03</v>
      </c>
      <c r="D282">
        <v>773</v>
      </c>
      <c r="E282" t="b">
        <v>0</v>
      </c>
      <c r="F282" t="b">
        <v>1</v>
      </c>
      <c r="G282" t="b">
        <v>1</v>
      </c>
      <c r="H282" t="s">
        <v>34</v>
      </c>
      <c r="I282" t="s">
        <v>35</v>
      </c>
      <c r="J282" t="s">
        <v>54</v>
      </c>
      <c r="K282" t="s">
        <v>39</v>
      </c>
      <c r="L282" t="s">
        <v>38</v>
      </c>
      <c r="M282" t="s">
        <v>47</v>
      </c>
      <c r="N282" t="s">
        <v>39</v>
      </c>
      <c r="O282" t="b">
        <v>0</v>
      </c>
      <c r="P282" t="b">
        <v>0</v>
      </c>
      <c r="Q282">
        <v>5.9</v>
      </c>
      <c r="R282" t="b">
        <v>1</v>
      </c>
      <c r="S282" t="s">
        <v>75</v>
      </c>
      <c r="T282">
        <v>17</v>
      </c>
      <c r="U282">
        <v>71.739999999999995</v>
      </c>
      <c r="V282" t="b">
        <v>1</v>
      </c>
      <c r="W282" t="s">
        <v>41</v>
      </c>
    </row>
    <row r="283" spans="1:23" x14ac:dyDescent="0.25">
      <c r="A283" t="s">
        <v>61</v>
      </c>
      <c r="B283" t="s">
        <v>42</v>
      </c>
      <c r="C283">
        <v>78.8</v>
      </c>
      <c r="D283">
        <v>722</v>
      </c>
      <c r="E283" t="b">
        <v>0</v>
      </c>
      <c r="F283" t="b">
        <v>0</v>
      </c>
      <c r="G283" t="b">
        <v>1</v>
      </c>
      <c r="H283" t="s">
        <v>34</v>
      </c>
      <c r="I283" t="s">
        <v>67</v>
      </c>
      <c r="J283" t="s">
        <v>27</v>
      </c>
      <c r="K283" t="s">
        <v>39</v>
      </c>
      <c r="L283" t="s">
        <v>69</v>
      </c>
      <c r="M283" t="s">
        <v>47</v>
      </c>
      <c r="N283" t="s">
        <v>39</v>
      </c>
      <c r="O283" t="b">
        <v>0</v>
      </c>
      <c r="P283" t="b">
        <v>1</v>
      </c>
      <c r="Q283">
        <v>6.5</v>
      </c>
      <c r="R283" t="b">
        <v>0</v>
      </c>
      <c r="T283">
        <v>0</v>
      </c>
      <c r="U283">
        <v>70.040000000000006</v>
      </c>
      <c r="V283" t="b">
        <v>1</v>
      </c>
      <c r="W283" t="s">
        <v>31</v>
      </c>
    </row>
    <row r="284" spans="1:23" x14ac:dyDescent="0.25">
      <c r="A284" t="s">
        <v>61</v>
      </c>
      <c r="B284" t="s">
        <v>73</v>
      </c>
      <c r="C284">
        <v>59.84</v>
      </c>
      <c r="D284">
        <v>780</v>
      </c>
      <c r="E284" t="b">
        <v>0</v>
      </c>
      <c r="F284" t="b">
        <v>0</v>
      </c>
      <c r="G284" t="b">
        <v>1</v>
      </c>
      <c r="H284" t="s">
        <v>43</v>
      </c>
      <c r="I284" t="s">
        <v>26</v>
      </c>
      <c r="J284" t="s">
        <v>45</v>
      </c>
      <c r="K284" t="s">
        <v>39</v>
      </c>
      <c r="L284" t="s">
        <v>29</v>
      </c>
      <c r="M284" t="s">
        <v>28</v>
      </c>
      <c r="N284" t="s">
        <v>39</v>
      </c>
      <c r="O284" t="b">
        <v>0</v>
      </c>
      <c r="P284" t="b">
        <v>0</v>
      </c>
      <c r="Q284">
        <v>5.0999999999999996</v>
      </c>
      <c r="R284" t="b">
        <v>1</v>
      </c>
      <c r="S284" t="s">
        <v>64</v>
      </c>
      <c r="T284">
        <v>4.5999999999999996</v>
      </c>
      <c r="U284">
        <v>47.53</v>
      </c>
      <c r="V284" t="b">
        <v>1</v>
      </c>
      <c r="W284" t="s">
        <v>41</v>
      </c>
    </row>
    <row r="285" spans="1:23" x14ac:dyDescent="0.25">
      <c r="A285" t="s">
        <v>61</v>
      </c>
      <c r="B285" t="s">
        <v>76</v>
      </c>
      <c r="C285">
        <v>76.55</v>
      </c>
      <c r="D285">
        <v>75</v>
      </c>
      <c r="E285" t="b">
        <v>0</v>
      </c>
      <c r="F285" t="b">
        <v>1</v>
      </c>
      <c r="G285" t="b">
        <v>0</v>
      </c>
      <c r="H285" t="s">
        <v>25</v>
      </c>
      <c r="I285" t="s">
        <v>67</v>
      </c>
      <c r="J285" t="s">
        <v>54</v>
      </c>
      <c r="K285" t="s">
        <v>46</v>
      </c>
      <c r="L285" t="s">
        <v>37</v>
      </c>
      <c r="M285" t="s">
        <v>28</v>
      </c>
      <c r="N285" t="s">
        <v>39</v>
      </c>
      <c r="O285" t="b">
        <v>0</v>
      </c>
      <c r="P285" t="b">
        <v>0</v>
      </c>
      <c r="Q285">
        <v>7.6</v>
      </c>
      <c r="R285" t="b">
        <v>0</v>
      </c>
      <c r="T285">
        <v>0</v>
      </c>
      <c r="U285">
        <v>75.150000000000006</v>
      </c>
      <c r="V285" t="b">
        <v>1</v>
      </c>
      <c r="W285" t="s">
        <v>31</v>
      </c>
    </row>
    <row r="286" spans="1:23" x14ac:dyDescent="0.25">
      <c r="A286" t="s">
        <v>68</v>
      </c>
      <c r="B286" t="s">
        <v>49</v>
      </c>
      <c r="C286">
        <v>62.98</v>
      </c>
      <c r="D286">
        <v>199</v>
      </c>
      <c r="E286" t="b">
        <v>0</v>
      </c>
      <c r="F286" t="b">
        <v>1</v>
      </c>
      <c r="G286" t="b">
        <v>0</v>
      </c>
      <c r="H286" t="s">
        <v>25</v>
      </c>
      <c r="I286" t="s">
        <v>26</v>
      </c>
      <c r="J286" t="s">
        <v>50</v>
      </c>
      <c r="K286" t="s">
        <v>37</v>
      </c>
      <c r="L286" t="s">
        <v>69</v>
      </c>
      <c r="M286" t="s">
        <v>39</v>
      </c>
      <c r="N286" t="s">
        <v>46</v>
      </c>
      <c r="O286" t="b">
        <v>0</v>
      </c>
      <c r="P286" t="b">
        <v>0</v>
      </c>
      <c r="Q286">
        <v>5.2</v>
      </c>
      <c r="R286" t="b">
        <v>1</v>
      </c>
      <c r="S286" t="s">
        <v>75</v>
      </c>
      <c r="T286">
        <v>17.2</v>
      </c>
      <c r="U286">
        <v>63.65</v>
      </c>
      <c r="V286" t="b">
        <v>1</v>
      </c>
      <c r="W286" t="s">
        <v>41</v>
      </c>
    </row>
    <row r="287" spans="1:23" x14ac:dyDescent="0.25">
      <c r="A287" t="s">
        <v>68</v>
      </c>
      <c r="B287" t="s">
        <v>59</v>
      </c>
      <c r="C287">
        <v>79.290000000000006</v>
      </c>
      <c r="D287">
        <v>443</v>
      </c>
      <c r="E287" t="b">
        <v>1</v>
      </c>
      <c r="F287" t="b">
        <v>1</v>
      </c>
      <c r="G287" t="b">
        <v>0</v>
      </c>
      <c r="H287" t="s">
        <v>25</v>
      </c>
      <c r="I287" t="s">
        <v>26</v>
      </c>
      <c r="J287" t="s">
        <v>36</v>
      </c>
      <c r="K287" t="s">
        <v>46</v>
      </c>
      <c r="L287" t="s">
        <v>29</v>
      </c>
      <c r="M287" t="s">
        <v>46</v>
      </c>
      <c r="N287" t="s">
        <v>46</v>
      </c>
      <c r="P287" t="b">
        <v>0</v>
      </c>
      <c r="Q287">
        <v>9.5</v>
      </c>
      <c r="R287" t="b">
        <v>0</v>
      </c>
      <c r="T287">
        <v>0</v>
      </c>
      <c r="U287">
        <v>90.43</v>
      </c>
      <c r="V287" t="b">
        <v>1</v>
      </c>
      <c r="W287" t="s">
        <v>58</v>
      </c>
    </row>
    <row r="288" spans="1:23" x14ac:dyDescent="0.25">
      <c r="A288" t="s">
        <v>74</v>
      </c>
      <c r="B288" t="s">
        <v>24</v>
      </c>
      <c r="C288">
        <v>95.15</v>
      </c>
      <c r="D288">
        <v>628</v>
      </c>
      <c r="E288" t="b">
        <v>0</v>
      </c>
      <c r="F288" t="b">
        <v>1</v>
      </c>
      <c r="G288" t="b">
        <v>1</v>
      </c>
      <c r="H288" t="s">
        <v>43</v>
      </c>
      <c r="I288" t="s">
        <v>63</v>
      </c>
      <c r="J288" t="s">
        <v>45</v>
      </c>
      <c r="K288" t="s">
        <v>28</v>
      </c>
      <c r="L288" t="s">
        <v>29</v>
      </c>
      <c r="M288" t="s">
        <v>47</v>
      </c>
      <c r="N288" t="s">
        <v>39</v>
      </c>
      <c r="O288" t="b">
        <v>1</v>
      </c>
      <c r="P288" t="b">
        <v>0</v>
      </c>
      <c r="Q288">
        <v>9.6</v>
      </c>
      <c r="R288" t="b">
        <v>0</v>
      </c>
      <c r="T288">
        <v>0</v>
      </c>
      <c r="U288">
        <v>95.32</v>
      </c>
      <c r="V288" t="b">
        <v>1</v>
      </c>
      <c r="W288" t="s">
        <v>58</v>
      </c>
    </row>
    <row r="289" spans="1:23" x14ac:dyDescent="0.25">
      <c r="A289" t="s">
        <v>74</v>
      </c>
      <c r="B289" t="s">
        <v>62</v>
      </c>
      <c r="C289">
        <v>70.069999999999993</v>
      </c>
      <c r="D289">
        <v>796</v>
      </c>
      <c r="E289" t="b">
        <v>1</v>
      </c>
      <c r="F289" t="b">
        <v>1</v>
      </c>
      <c r="G289" t="b">
        <v>0</v>
      </c>
      <c r="H289" t="s">
        <v>53</v>
      </c>
      <c r="I289" t="s">
        <v>63</v>
      </c>
      <c r="J289" t="s">
        <v>50</v>
      </c>
      <c r="K289" t="s">
        <v>28</v>
      </c>
      <c r="L289" t="s">
        <v>38</v>
      </c>
      <c r="M289" t="s">
        <v>28</v>
      </c>
      <c r="N289" t="s">
        <v>46</v>
      </c>
      <c r="O289" t="b">
        <v>1</v>
      </c>
      <c r="P289" t="b">
        <v>0</v>
      </c>
      <c r="Q289">
        <v>10</v>
      </c>
      <c r="R289" t="b">
        <v>0</v>
      </c>
      <c r="T289">
        <v>0</v>
      </c>
      <c r="U289">
        <v>64.77</v>
      </c>
      <c r="V289" t="b">
        <v>0</v>
      </c>
      <c r="W289" t="s">
        <v>58</v>
      </c>
    </row>
    <row r="290" spans="1:23" x14ac:dyDescent="0.25">
      <c r="A290" t="s">
        <v>68</v>
      </c>
      <c r="B290" t="s">
        <v>24</v>
      </c>
      <c r="C290">
        <v>89.45</v>
      </c>
      <c r="D290">
        <v>372</v>
      </c>
      <c r="E290" t="b">
        <v>1</v>
      </c>
      <c r="F290" t="b">
        <v>0</v>
      </c>
      <c r="G290" t="b">
        <v>1</v>
      </c>
      <c r="H290" t="s">
        <v>34</v>
      </c>
      <c r="I290" t="s">
        <v>35</v>
      </c>
      <c r="J290" t="s">
        <v>54</v>
      </c>
      <c r="K290" t="s">
        <v>28</v>
      </c>
      <c r="L290" t="s">
        <v>69</v>
      </c>
      <c r="M290" t="s">
        <v>39</v>
      </c>
      <c r="N290" t="s">
        <v>46</v>
      </c>
      <c r="P290" t="b">
        <v>0</v>
      </c>
      <c r="Q290">
        <v>10</v>
      </c>
      <c r="R290" t="b">
        <v>1</v>
      </c>
      <c r="S290" t="s">
        <v>52</v>
      </c>
      <c r="T290">
        <v>18.399999999999999</v>
      </c>
      <c r="U290">
        <v>85.31</v>
      </c>
      <c r="V290" t="b">
        <v>1</v>
      </c>
      <c r="W290" t="s">
        <v>31</v>
      </c>
    </row>
    <row r="291" spans="1:23" x14ac:dyDescent="0.25">
      <c r="A291" t="s">
        <v>68</v>
      </c>
      <c r="B291" t="s">
        <v>73</v>
      </c>
      <c r="C291">
        <v>58.67</v>
      </c>
      <c r="D291">
        <v>212</v>
      </c>
      <c r="E291" t="b">
        <v>0</v>
      </c>
      <c r="F291" t="b">
        <v>0</v>
      </c>
      <c r="G291" t="b">
        <v>0</v>
      </c>
      <c r="H291" t="s">
        <v>25</v>
      </c>
      <c r="I291" t="s">
        <v>26</v>
      </c>
      <c r="J291" t="s">
        <v>54</v>
      </c>
      <c r="K291" t="s">
        <v>39</v>
      </c>
      <c r="L291" t="s">
        <v>38</v>
      </c>
      <c r="M291" t="s">
        <v>28</v>
      </c>
      <c r="O291" t="b">
        <v>1</v>
      </c>
      <c r="P291" t="b">
        <v>0</v>
      </c>
      <c r="Q291">
        <v>8.6</v>
      </c>
      <c r="R291" t="b">
        <v>0</v>
      </c>
      <c r="T291">
        <v>0</v>
      </c>
      <c r="U291">
        <v>73.37</v>
      </c>
      <c r="V291" t="b">
        <v>1</v>
      </c>
      <c r="W291" t="s">
        <v>58</v>
      </c>
    </row>
    <row r="292" spans="1:23" x14ac:dyDescent="0.25">
      <c r="A292" t="s">
        <v>74</v>
      </c>
      <c r="B292" t="s">
        <v>70</v>
      </c>
      <c r="C292">
        <v>72.13</v>
      </c>
      <c r="D292">
        <v>287</v>
      </c>
      <c r="E292" t="b">
        <v>1</v>
      </c>
      <c r="F292" t="b">
        <v>1</v>
      </c>
      <c r="G292" t="b">
        <v>1</v>
      </c>
      <c r="H292" t="s">
        <v>25</v>
      </c>
      <c r="I292" t="s">
        <v>44</v>
      </c>
      <c r="J292" t="s">
        <v>45</v>
      </c>
      <c r="K292" t="s">
        <v>37</v>
      </c>
      <c r="L292" t="s">
        <v>69</v>
      </c>
      <c r="M292" t="s">
        <v>28</v>
      </c>
      <c r="N292" t="s">
        <v>39</v>
      </c>
      <c r="P292" t="b">
        <v>0</v>
      </c>
      <c r="Q292">
        <v>9.6</v>
      </c>
      <c r="R292" t="b">
        <v>0</v>
      </c>
      <c r="T292">
        <v>0</v>
      </c>
      <c r="U292">
        <v>61.54</v>
      </c>
      <c r="V292" t="b">
        <v>0</v>
      </c>
      <c r="W292" t="s">
        <v>58</v>
      </c>
    </row>
    <row r="293" spans="1:23" x14ac:dyDescent="0.25">
      <c r="A293" t="s">
        <v>61</v>
      </c>
      <c r="B293" t="s">
        <v>49</v>
      </c>
      <c r="C293">
        <v>73.069999999999993</v>
      </c>
      <c r="D293">
        <v>573</v>
      </c>
      <c r="E293" t="b">
        <v>0</v>
      </c>
      <c r="F293" t="b">
        <v>0</v>
      </c>
      <c r="G293" t="b">
        <v>1</v>
      </c>
      <c r="H293" t="s">
        <v>34</v>
      </c>
      <c r="I293" t="s">
        <v>63</v>
      </c>
      <c r="J293" t="s">
        <v>50</v>
      </c>
      <c r="K293" t="s">
        <v>46</v>
      </c>
      <c r="L293" t="s">
        <v>38</v>
      </c>
      <c r="M293" t="s">
        <v>28</v>
      </c>
      <c r="N293" t="s">
        <v>28</v>
      </c>
      <c r="P293" t="b">
        <v>0</v>
      </c>
      <c r="Q293">
        <v>9</v>
      </c>
      <c r="R293" t="b">
        <v>1</v>
      </c>
      <c r="S293" t="s">
        <v>52</v>
      </c>
      <c r="T293">
        <v>30</v>
      </c>
      <c r="U293">
        <v>79.33</v>
      </c>
      <c r="V293" t="b">
        <v>1</v>
      </c>
      <c r="W293" t="s">
        <v>31</v>
      </c>
    </row>
    <row r="294" spans="1:23" x14ac:dyDescent="0.25">
      <c r="A294" t="s">
        <v>23</v>
      </c>
      <c r="B294" t="s">
        <v>33</v>
      </c>
      <c r="C294">
        <v>77.31</v>
      </c>
      <c r="D294">
        <v>415</v>
      </c>
      <c r="E294" t="b">
        <v>1</v>
      </c>
      <c r="F294" t="b">
        <v>0</v>
      </c>
      <c r="G294" t="b">
        <v>0</v>
      </c>
      <c r="H294" t="s">
        <v>43</v>
      </c>
      <c r="I294" t="s">
        <v>26</v>
      </c>
      <c r="J294" t="s">
        <v>45</v>
      </c>
      <c r="K294" t="s">
        <v>46</v>
      </c>
      <c r="L294" t="s">
        <v>38</v>
      </c>
      <c r="M294" t="s">
        <v>39</v>
      </c>
      <c r="N294" t="s">
        <v>28</v>
      </c>
      <c r="P294" t="b">
        <v>0</v>
      </c>
      <c r="Q294">
        <v>9.8000000000000007</v>
      </c>
      <c r="R294" t="b">
        <v>1</v>
      </c>
      <c r="S294" t="s">
        <v>48</v>
      </c>
      <c r="T294">
        <v>35.5</v>
      </c>
      <c r="U294">
        <v>87.74</v>
      </c>
      <c r="V294" t="b">
        <v>1</v>
      </c>
      <c r="W294" t="s">
        <v>31</v>
      </c>
    </row>
    <row r="295" spans="1:23" x14ac:dyDescent="0.25">
      <c r="A295" t="s">
        <v>32</v>
      </c>
      <c r="B295" t="s">
        <v>49</v>
      </c>
      <c r="C295">
        <v>65.88</v>
      </c>
      <c r="D295">
        <v>91</v>
      </c>
      <c r="E295" t="b">
        <v>0</v>
      </c>
      <c r="F295" t="b">
        <v>1</v>
      </c>
      <c r="G295" t="b">
        <v>1</v>
      </c>
      <c r="H295" t="s">
        <v>43</v>
      </c>
      <c r="I295" t="s">
        <v>67</v>
      </c>
      <c r="J295" t="s">
        <v>36</v>
      </c>
      <c r="K295" t="s">
        <v>46</v>
      </c>
      <c r="L295" t="s">
        <v>51</v>
      </c>
      <c r="M295" t="s">
        <v>39</v>
      </c>
      <c r="N295" t="s">
        <v>46</v>
      </c>
      <c r="O295" t="b">
        <v>1</v>
      </c>
      <c r="P295" t="b">
        <v>1</v>
      </c>
      <c r="Q295">
        <v>7.9</v>
      </c>
      <c r="R295" t="b">
        <v>1</v>
      </c>
      <c r="S295" t="s">
        <v>64</v>
      </c>
      <c r="T295">
        <v>18.8</v>
      </c>
      <c r="U295">
        <v>68.209999999999994</v>
      </c>
      <c r="V295" t="b">
        <v>1</v>
      </c>
      <c r="W295" t="s">
        <v>41</v>
      </c>
    </row>
    <row r="296" spans="1:23" x14ac:dyDescent="0.25">
      <c r="A296" t="s">
        <v>32</v>
      </c>
      <c r="B296" t="s">
        <v>73</v>
      </c>
      <c r="C296">
        <v>53.13</v>
      </c>
      <c r="D296">
        <v>275</v>
      </c>
      <c r="E296" t="b">
        <v>0</v>
      </c>
      <c r="F296" t="b">
        <v>0</v>
      </c>
      <c r="G296" t="b">
        <v>1</v>
      </c>
      <c r="H296" t="s">
        <v>25</v>
      </c>
      <c r="I296" t="s">
        <v>57</v>
      </c>
      <c r="J296" t="s">
        <v>54</v>
      </c>
      <c r="K296" t="s">
        <v>28</v>
      </c>
      <c r="L296" t="s">
        <v>29</v>
      </c>
      <c r="M296" t="s">
        <v>28</v>
      </c>
      <c r="N296" t="s">
        <v>46</v>
      </c>
      <c r="O296" t="b">
        <v>1</v>
      </c>
      <c r="P296" t="b">
        <v>0</v>
      </c>
      <c r="Q296">
        <v>7.9</v>
      </c>
      <c r="R296" t="b">
        <v>1</v>
      </c>
      <c r="S296" t="s">
        <v>75</v>
      </c>
      <c r="T296">
        <v>14.8</v>
      </c>
      <c r="U296">
        <v>66.22</v>
      </c>
      <c r="V296" t="b">
        <v>1</v>
      </c>
      <c r="W296" t="s">
        <v>41</v>
      </c>
    </row>
    <row r="297" spans="1:23" x14ac:dyDescent="0.25">
      <c r="A297" t="s">
        <v>74</v>
      </c>
      <c r="B297" t="s">
        <v>62</v>
      </c>
      <c r="C297">
        <v>71.23</v>
      </c>
      <c r="D297">
        <v>197</v>
      </c>
      <c r="E297" t="b">
        <v>1</v>
      </c>
      <c r="F297" t="b">
        <v>1</v>
      </c>
      <c r="G297" t="b">
        <v>0</v>
      </c>
      <c r="H297" t="s">
        <v>53</v>
      </c>
      <c r="I297" t="s">
        <v>26</v>
      </c>
      <c r="J297" t="s">
        <v>45</v>
      </c>
      <c r="K297" t="s">
        <v>28</v>
      </c>
      <c r="L297" t="s">
        <v>69</v>
      </c>
      <c r="M297" t="s">
        <v>39</v>
      </c>
      <c r="O297" t="b">
        <v>1</v>
      </c>
      <c r="P297" t="b">
        <v>1</v>
      </c>
      <c r="Q297">
        <v>10</v>
      </c>
      <c r="R297" t="b">
        <v>1</v>
      </c>
      <c r="S297" t="s">
        <v>30</v>
      </c>
      <c r="T297">
        <v>44.4</v>
      </c>
      <c r="U297">
        <v>70.760000000000005</v>
      </c>
      <c r="V297" t="b">
        <v>0</v>
      </c>
      <c r="W297" t="s">
        <v>31</v>
      </c>
    </row>
    <row r="298" spans="1:23" x14ac:dyDescent="0.25">
      <c r="A298" t="s">
        <v>32</v>
      </c>
      <c r="B298" t="s">
        <v>73</v>
      </c>
      <c r="C298">
        <v>69.92</v>
      </c>
      <c r="D298">
        <v>246</v>
      </c>
      <c r="E298" t="b">
        <v>1</v>
      </c>
      <c r="F298" t="b">
        <v>0</v>
      </c>
      <c r="G298" t="b">
        <v>0</v>
      </c>
      <c r="H298" t="s">
        <v>43</v>
      </c>
      <c r="I298" t="s">
        <v>67</v>
      </c>
      <c r="J298" t="s">
        <v>27</v>
      </c>
      <c r="K298" t="s">
        <v>39</v>
      </c>
      <c r="L298" t="s">
        <v>69</v>
      </c>
      <c r="M298" t="s">
        <v>28</v>
      </c>
      <c r="O298" t="b">
        <v>1</v>
      </c>
      <c r="P298" t="b">
        <v>0</v>
      </c>
      <c r="Q298">
        <v>10</v>
      </c>
      <c r="R298" t="b">
        <v>0</v>
      </c>
      <c r="T298">
        <v>0</v>
      </c>
      <c r="U298">
        <v>58.55</v>
      </c>
      <c r="V298" t="b">
        <v>0</v>
      </c>
      <c r="W298" t="s">
        <v>58</v>
      </c>
    </row>
    <row r="299" spans="1:23" x14ac:dyDescent="0.25">
      <c r="A299" t="s">
        <v>23</v>
      </c>
      <c r="B299" t="s">
        <v>24</v>
      </c>
      <c r="C299">
        <v>96.82</v>
      </c>
      <c r="D299">
        <v>539</v>
      </c>
      <c r="E299" t="b">
        <v>0</v>
      </c>
      <c r="F299" t="b">
        <v>1</v>
      </c>
      <c r="G299" t="b">
        <v>1</v>
      </c>
      <c r="H299" t="s">
        <v>25</v>
      </c>
      <c r="I299" t="s">
        <v>44</v>
      </c>
      <c r="J299" t="s">
        <v>27</v>
      </c>
      <c r="K299" t="s">
        <v>46</v>
      </c>
      <c r="L299" t="s">
        <v>51</v>
      </c>
      <c r="M299" t="s">
        <v>28</v>
      </c>
      <c r="N299" t="s">
        <v>46</v>
      </c>
      <c r="P299" t="b">
        <v>1</v>
      </c>
      <c r="Q299">
        <v>10</v>
      </c>
      <c r="R299" t="b">
        <v>0</v>
      </c>
      <c r="T299">
        <v>0</v>
      </c>
      <c r="U299">
        <v>89.24</v>
      </c>
      <c r="V299" t="b">
        <v>1</v>
      </c>
      <c r="W299" t="s">
        <v>58</v>
      </c>
    </row>
    <row r="300" spans="1:23" x14ac:dyDescent="0.25">
      <c r="A300" t="s">
        <v>32</v>
      </c>
      <c r="B300" t="s">
        <v>62</v>
      </c>
      <c r="C300">
        <v>58.9</v>
      </c>
      <c r="D300">
        <v>125</v>
      </c>
      <c r="E300" t="b">
        <v>0</v>
      </c>
      <c r="F300" t="b">
        <v>0</v>
      </c>
      <c r="G300" t="b">
        <v>1</v>
      </c>
      <c r="H300" t="s">
        <v>25</v>
      </c>
      <c r="I300" t="s">
        <v>63</v>
      </c>
      <c r="J300" t="s">
        <v>45</v>
      </c>
      <c r="K300" t="s">
        <v>37</v>
      </c>
      <c r="L300" t="s">
        <v>37</v>
      </c>
      <c r="M300" t="s">
        <v>46</v>
      </c>
      <c r="N300" t="s">
        <v>46</v>
      </c>
      <c r="O300" t="b">
        <v>0</v>
      </c>
      <c r="P300" t="b">
        <v>1</v>
      </c>
      <c r="Q300">
        <v>5</v>
      </c>
      <c r="R300" t="b">
        <v>1</v>
      </c>
      <c r="S300" t="s">
        <v>40</v>
      </c>
      <c r="T300">
        <v>24.1</v>
      </c>
      <c r="U300">
        <v>68.05</v>
      </c>
      <c r="V300" t="b">
        <v>1</v>
      </c>
      <c r="W300" t="s">
        <v>41</v>
      </c>
    </row>
    <row r="301" spans="1:23" x14ac:dyDescent="0.25">
      <c r="A301" t="s">
        <v>68</v>
      </c>
      <c r="B301" t="s">
        <v>60</v>
      </c>
      <c r="C301">
        <v>44.99</v>
      </c>
      <c r="D301">
        <v>405</v>
      </c>
      <c r="E301" t="b">
        <v>0</v>
      </c>
      <c r="F301" t="b">
        <v>1</v>
      </c>
      <c r="G301" t="b">
        <v>1</v>
      </c>
      <c r="H301" t="s">
        <v>53</v>
      </c>
      <c r="I301" t="s">
        <v>63</v>
      </c>
      <c r="J301" t="s">
        <v>45</v>
      </c>
      <c r="K301" t="s">
        <v>37</v>
      </c>
      <c r="L301" t="s">
        <v>37</v>
      </c>
      <c r="M301" t="s">
        <v>47</v>
      </c>
      <c r="N301" t="s">
        <v>28</v>
      </c>
      <c r="O301" t="b">
        <v>0</v>
      </c>
      <c r="P301" t="b">
        <v>1</v>
      </c>
      <c r="Q301">
        <v>1.8</v>
      </c>
      <c r="R301" t="b">
        <v>1</v>
      </c>
      <c r="S301" t="s">
        <v>30</v>
      </c>
      <c r="T301">
        <v>32.700000000000003</v>
      </c>
      <c r="U301">
        <v>42.14</v>
      </c>
      <c r="V301" t="b">
        <v>0</v>
      </c>
      <c r="W301" t="s">
        <v>72</v>
      </c>
    </row>
    <row r="302" spans="1:23" x14ac:dyDescent="0.25">
      <c r="A302" t="s">
        <v>74</v>
      </c>
      <c r="B302" t="s">
        <v>70</v>
      </c>
      <c r="C302">
        <v>81.25</v>
      </c>
      <c r="D302">
        <v>446</v>
      </c>
      <c r="E302" t="b">
        <v>1</v>
      </c>
      <c r="F302" t="b">
        <v>1</v>
      </c>
      <c r="G302" t="b">
        <v>1</v>
      </c>
      <c r="H302" t="s">
        <v>43</v>
      </c>
      <c r="I302" t="s">
        <v>26</v>
      </c>
      <c r="J302" t="s">
        <v>50</v>
      </c>
      <c r="K302" t="s">
        <v>39</v>
      </c>
      <c r="L302" t="s">
        <v>38</v>
      </c>
      <c r="M302" t="s">
        <v>39</v>
      </c>
      <c r="N302" t="s">
        <v>28</v>
      </c>
      <c r="O302" t="b">
        <v>1</v>
      </c>
      <c r="P302" t="b">
        <v>1</v>
      </c>
      <c r="Q302">
        <v>10</v>
      </c>
      <c r="R302" t="b">
        <v>1</v>
      </c>
      <c r="S302" t="s">
        <v>30</v>
      </c>
      <c r="T302">
        <v>28.5</v>
      </c>
      <c r="U302">
        <v>76.94</v>
      </c>
      <c r="V302" t="b">
        <v>0</v>
      </c>
      <c r="W302" t="s">
        <v>31</v>
      </c>
    </row>
    <row r="303" spans="1:23" x14ac:dyDescent="0.25">
      <c r="A303" t="s">
        <v>61</v>
      </c>
      <c r="B303" t="s">
        <v>62</v>
      </c>
      <c r="C303">
        <v>62.98</v>
      </c>
      <c r="D303">
        <v>268</v>
      </c>
      <c r="E303" t="b">
        <v>1</v>
      </c>
      <c r="F303" t="b">
        <v>0</v>
      </c>
      <c r="G303" t="b">
        <v>0</v>
      </c>
      <c r="H303" t="s">
        <v>25</v>
      </c>
      <c r="I303" t="s">
        <v>67</v>
      </c>
      <c r="J303" t="s">
        <v>50</v>
      </c>
      <c r="K303" t="s">
        <v>37</v>
      </c>
      <c r="L303" t="s">
        <v>38</v>
      </c>
      <c r="M303" t="s">
        <v>39</v>
      </c>
      <c r="N303" t="s">
        <v>28</v>
      </c>
      <c r="P303" t="b">
        <v>0</v>
      </c>
      <c r="Q303">
        <v>8.1999999999999993</v>
      </c>
      <c r="R303" t="b">
        <v>1</v>
      </c>
      <c r="S303" t="s">
        <v>48</v>
      </c>
      <c r="T303">
        <v>36.1</v>
      </c>
      <c r="U303">
        <v>61.84</v>
      </c>
      <c r="V303" t="b">
        <v>0</v>
      </c>
      <c r="W303" t="s">
        <v>31</v>
      </c>
    </row>
    <row r="304" spans="1:23" x14ac:dyDescent="0.25">
      <c r="A304" t="s">
        <v>74</v>
      </c>
      <c r="B304" t="s">
        <v>76</v>
      </c>
      <c r="C304">
        <v>88.12</v>
      </c>
      <c r="D304">
        <v>514</v>
      </c>
      <c r="E304" t="b">
        <v>0</v>
      </c>
      <c r="F304" t="b">
        <v>0</v>
      </c>
      <c r="G304" t="b">
        <v>1</v>
      </c>
      <c r="H304" t="s">
        <v>25</v>
      </c>
      <c r="I304" t="s">
        <v>57</v>
      </c>
      <c r="J304" t="s">
        <v>45</v>
      </c>
      <c r="K304" t="s">
        <v>39</v>
      </c>
      <c r="L304" t="s">
        <v>29</v>
      </c>
      <c r="M304" t="s">
        <v>47</v>
      </c>
      <c r="N304" t="s">
        <v>46</v>
      </c>
      <c r="O304" t="b">
        <v>1</v>
      </c>
      <c r="P304" t="b">
        <v>0</v>
      </c>
      <c r="Q304">
        <v>8.8000000000000007</v>
      </c>
      <c r="R304" t="b">
        <v>1</v>
      </c>
      <c r="S304" t="s">
        <v>65</v>
      </c>
      <c r="T304">
        <v>40.799999999999997</v>
      </c>
      <c r="U304">
        <v>100</v>
      </c>
      <c r="V304" t="b">
        <v>1</v>
      </c>
      <c r="W304" t="s">
        <v>31</v>
      </c>
    </row>
    <row r="305" spans="1:23" x14ac:dyDescent="0.25">
      <c r="A305" t="s">
        <v>32</v>
      </c>
      <c r="B305" t="s">
        <v>24</v>
      </c>
      <c r="C305">
        <v>85.08</v>
      </c>
      <c r="D305">
        <v>661</v>
      </c>
      <c r="E305" t="b">
        <v>0</v>
      </c>
      <c r="F305" t="b">
        <v>0</v>
      </c>
      <c r="G305" t="b">
        <v>1</v>
      </c>
      <c r="H305" t="s">
        <v>34</v>
      </c>
      <c r="I305" t="s">
        <v>44</v>
      </c>
      <c r="J305" t="s">
        <v>45</v>
      </c>
      <c r="K305" t="s">
        <v>46</v>
      </c>
      <c r="L305" t="s">
        <v>29</v>
      </c>
      <c r="M305" t="s">
        <v>47</v>
      </c>
      <c r="N305" t="s">
        <v>28</v>
      </c>
      <c r="P305" t="b">
        <v>1</v>
      </c>
      <c r="Q305">
        <v>7.9</v>
      </c>
      <c r="R305" t="b">
        <v>1</v>
      </c>
      <c r="S305" t="s">
        <v>30</v>
      </c>
      <c r="T305">
        <v>33.700000000000003</v>
      </c>
      <c r="U305">
        <v>74.87</v>
      </c>
      <c r="V305" t="b">
        <v>1</v>
      </c>
      <c r="W305" t="s">
        <v>41</v>
      </c>
    </row>
    <row r="306" spans="1:23" x14ac:dyDescent="0.25">
      <c r="A306" t="s">
        <v>61</v>
      </c>
      <c r="B306" t="s">
        <v>66</v>
      </c>
      <c r="C306">
        <v>65.52</v>
      </c>
      <c r="D306">
        <v>459</v>
      </c>
      <c r="E306" t="b">
        <v>0</v>
      </c>
      <c r="F306" t="b">
        <v>1</v>
      </c>
      <c r="G306" t="b">
        <v>0</v>
      </c>
      <c r="H306" t="s">
        <v>25</v>
      </c>
      <c r="I306" t="s">
        <v>44</v>
      </c>
      <c r="J306" t="s">
        <v>50</v>
      </c>
      <c r="K306" t="s">
        <v>28</v>
      </c>
      <c r="L306" t="s">
        <v>38</v>
      </c>
      <c r="M306" t="s">
        <v>46</v>
      </c>
      <c r="N306" t="s">
        <v>46</v>
      </c>
      <c r="O306" t="b">
        <v>0</v>
      </c>
      <c r="P306" t="b">
        <v>1</v>
      </c>
      <c r="Q306">
        <v>6.5</v>
      </c>
      <c r="R306" t="b">
        <v>1</v>
      </c>
      <c r="S306" t="s">
        <v>48</v>
      </c>
      <c r="T306">
        <v>15.5</v>
      </c>
      <c r="U306">
        <v>66.39</v>
      </c>
      <c r="V306" t="b">
        <v>1</v>
      </c>
      <c r="W306" t="s">
        <v>41</v>
      </c>
    </row>
    <row r="307" spans="1:23" x14ac:dyDescent="0.25">
      <c r="A307" t="s">
        <v>32</v>
      </c>
      <c r="B307" t="s">
        <v>59</v>
      </c>
      <c r="C307">
        <v>75.239999999999995</v>
      </c>
      <c r="D307">
        <v>234</v>
      </c>
      <c r="E307" t="b">
        <v>1</v>
      </c>
      <c r="F307" t="b">
        <v>1</v>
      </c>
      <c r="G307" t="b">
        <v>1</v>
      </c>
      <c r="H307" t="s">
        <v>25</v>
      </c>
      <c r="I307" t="s">
        <v>57</v>
      </c>
      <c r="J307" t="s">
        <v>50</v>
      </c>
      <c r="K307" t="s">
        <v>39</v>
      </c>
      <c r="L307" t="s">
        <v>29</v>
      </c>
      <c r="M307" t="s">
        <v>28</v>
      </c>
      <c r="N307" t="s">
        <v>39</v>
      </c>
      <c r="P307" t="b">
        <v>0</v>
      </c>
      <c r="Q307">
        <v>8.6</v>
      </c>
      <c r="R307" t="b">
        <v>0</v>
      </c>
      <c r="T307">
        <v>0</v>
      </c>
      <c r="U307">
        <v>88.62</v>
      </c>
      <c r="V307" t="b">
        <v>1</v>
      </c>
      <c r="W307" t="s">
        <v>58</v>
      </c>
    </row>
    <row r="308" spans="1:23" x14ac:dyDescent="0.25">
      <c r="A308" t="s">
        <v>68</v>
      </c>
      <c r="B308" t="s">
        <v>59</v>
      </c>
      <c r="C308">
        <v>91.12</v>
      </c>
      <c r="D308">
        <v>389</v>
      </c>
      <c r="E308" t="b">
        <v>0</v>
      </c>
      <c r="F308" t="b">
        <v>1</v>
      </c>
      <c r="G308" t="b">
        <v>0</v>
      </c>
      <c r="H308" t="s">
        <v>34</v>
      </c>
      <c r="I308" t="s">
        <v>35</v>
      </c>
      <c r="J308" t="s">
        <v>36</v>
      </c>
      <c r="K308" t="s">
        <v>46</v>
      </c>
      <c r="L308" t="s">
        <v>37</v>
      </c>
      <c r="M308" t="s">
        <v>39</v>
      </c>
      <c r="O308" t="b">
        <v>0</v>
      </c>
      <c r="P308" t="b">
        <v>0</v>
      </c>
      <c r="Q308">
        <v>7.5</v>
      </c>
      <c r="R308" t="b">
        <v>1</v>
      </c>
      <c r="S308" t="s">
        <v>48</v>
      </c>
      <c r="T308">
        <v>15.3</v>
      </c>
      <c r="U308">
        <v>99.49</v>
      </c>
      <c r="V308" t="b">
        <v>0</v>
      </c>
      <c r="W308" t="s">
        <v>41</v>
      </c>
    </row>
    <row r="309" spans="1:23" x14ac:dyDescent="0.25">
      <c r="A309" t="s">
        <v>23</v>
      </c>
      <c r="B309" t="s">
        <v>71</v>
      </c>
      <c r="C309">
        <v>46.85</v>
      </c>
      <c r="D309">
        <v>568</v>
      </c>
      <c r="E309" t="b">
        <v>1</v>
      </c>
      <c r="F309" t="b">
        <v>1</v>
      </c>
      <c r="G309" t="b">
        <v>0</v>
      </c>
      <c r="H309" t="s">
        <v>34</v>
      </c>
      <c r="I309" t="s">
        <v>35</v>
      </c>
      <c r="J309" t="s">
        <v>45</v>
      </c>
      <c r="K309" t="s">
        <v>28</v>
      </c>
      <c r="L309" t="s">
        <v>38</v>
      </c>
      <c r="M309" t="s">
        <v>46</v>
      </c>
      <c r="N309" t="s">
        <v>28</v>
      </c>
      <c r="O309" t="b">
        <v>1</v>
      </c>
      <c r="P309" t="b">
        <v>0</v>
      </c>
      <c r="Q309">
        <v>7.3</v>
      </c>
      <c r="R309" t="b">
        <v>1</v>
      </c>
      <c r="S309" t="s">
        <v>30</v>
      </c>
      <c r="T309">
        <v>17.3</v>
      </c>
      <c r="U309">
        <v>36.869999999999997</v>
      </c>
      <c r="V309" t="b">
        <v>0</v>
      </c>
      <c r="W309" t="s">
        <v>41</v>
      </c>
    </row>
    <row r="310" spans="1:23" x14ac:dyDescent="0.25">
      <c r="A310" t="s">
        <v>68</v>
      </c>
      <c r="B310" t="s">
        <v>70</v>
      </c>
      <c r="C310">
        <v>90.92</v>
      </c>
      <c r="D310">
        <v>560</v>
      </c>
      <c r="E310" t="b">
        <v>0</v>
      </c>
      <c r="F310" t="b">
        <v>0</v>
      </c>
      <c r="G310" t="b">
        <v>0</v>
      </c>
      <c r="H310" t="s">
        <v>53</v>
      </c>
      <c r="I310" t="s">
        <v>67</v>
      </c>
      <c r="J310" t="s">
        <v>27</v>
      </c>
      <c r="K310" t="s">
        <v>37</v>
      </c>
      <c r="L310" t="s">
        <v>37</v>
      </c>
      <c r="M310" t="s">
        <v>39</v>
      </c>
      <c r="N310" t="s">
        <v>46</v>
      </c>
      <c r="O310" t="b">
        <v>1</v>
      </c>
      <c r="P310" t="b">
        <v>1</v>
      </c>
      <c r="Q310">
        <v>10</v>
      </c>
      <c r="R310" t="b">
        <v>1</v>
      </c>
      <c r="S310" t="s">
        <v>64</v>
      </c>
      <c r="T310">
        <v>23</v>
      </c>
      <c r="U310">
        <v>79.09</v>
      </c>
      <c r="V310" t="b">
        <v>0</v>
      </c>
      <c r="W310" t="s">
        <v>31</v>
      </c>
    </row>
    <row r="311" spans="1:23" x14ac:dyDescent="0.25">
      <c r="A311" t="s">
        <v>68</v>
      </c>
      <c r="B311" t="s">
        <v>42</v>
      </c>
      <c r="C311">
        <v>83.18</v>
      </c>
      <c r="D311">
        <v>420</v>
      </c>
      <c r="E311" t="b">
        <v>0</v>
      </c>
      <c r="F311" t="b">
        <v>1</v>
      </c>
      <c r="G311" t="b">
        <v>1</v>
      </c>
      <c r="H311" t="s">
        <v>43</v>
      </c>
      <c r="I311" t="s">
        <v>44</v>
      </c>
      <c r="J311" t="s">
        <v>50</v>
      </c>
      <c r="K311" t="s">
        <v>37</v>
      </c>
      <c r="L311" t="s">
        <v>37</v>
      </c>
      <c r="M311" t="s">
        <v>47</v>
      </c>
      <c r="P311" t="b">
        <v>0</v>
      </c>
      <c r="Q311">
        <v>6.5</v>
      </c>
      <c r="R311" t="b">
        <v>1</v>
      </c>
      <c r="S311" t="s">
        <v>65</v>
      </c>
      <c r="T311">
        <v>3.4</v>
      </c>
      <c r="U311">
        <v>78.989999999999995</v>
      </c>
      <c r="V311" t="b">
        <v>1</v>
      </c>
      <c r="W311" t="s">
        <v>41</v>
      </c>
    </row>
    <row r="312" spans="1:23" x14ac:dyDescent="0.25">
      <c r="A312" t="s">
        <v>61</v>
      </c>
      <c r="B312" t="s">
        <v>66</v>
      </c>
      <c r="C312">
        <v>62.01</v>
      </c>
      <c r="D312">
        <v>336</v>
      </c>
      <c r="E312" t="b">
        <v>0</v>
      </c>
      <c r="F312" t="b">
        <v>0</v>
      </c>
      <c r="G312" t="b">
        <v>1</v>
      </c>
      <c r="H312" t="s">
        <v>43</v>
      </c>
      <c r="I312" t="s">
        <v>67</v>
      </c>
      <c r="J312" t="s">
        <v>36</v>
      </c>
      <c r="K312" t="s">
        <v>46</v>
      </c>
      <c r="L312" t="s">
        <v>38</v>
      </c>
      <c r="M312" t="s">
        <v>47</v>
      </c>
      <c r="N312" t="s">
        <v>39</v>
      </c>
      <c r="P312" t="b">
        <v>1</v>
      </c>
      <c r="Q312">
        <v>7.2</v>
      </c>
      <c r="R312" t="b">
        <v>1</v>
      </c>
      <c r="S312" t="s">
        <v>55</v>
      </c>
      <c r="T312">
        <v>30.5</v>
      </c>
      <c r="U312">
        <v>66.489999999999995</v>
      </c>
      <c r="V312" t="b">
        <v>1</v>
      </c>
      <c r="W312" t="s">
        <v>41</v>
      </c>
    </row>
    <row r="313" spans="1:23" x14ac:dyDescent="0.25">
      <c r="A313" t="s">
        <v>32</v>
      </c>
      <c r="B313" t="s">
        <v>73</v>
      </c>
      <c r="C313">
        <v>63.01</v>
      </c>
      <c r="D313">
        <v>692</v>
      </c>
      <c r="E313" t="b">
        <v>0</v>
      </c>
      <c r="F313" t="b">
        <v>1</v>
      </c>
      <c r="G313" t="b">
        <v>1</v>
      </c>
      <c r="H313" t="s">
        <v>53</v>
      </c>
      <c r="I313" t="s">
        <v>44</v>
      </c>
      <c r="J313" t="s">
        <v>45</v>
      </c>
      <c r="K313" t="s">
        <v>37</v>
      </c>
      <c r="L313" t="s">
        <v>51</v>
      </c>
      <c r="M313" t="s">
        <v>47</v>
      </c>
      <c r="O313" t="b">
        <v>1</v>
      </c>
      <c r="P313" t="b">
        <v>0</v>
      </c>
      <c r="Q313">
        <v>6</v>
      </c>
      <c r="R313" t="b">
        <v>1</v>
      </c>
      <c r="S313" t="s">
        <v>30</v>
      </c>
      <c r="T313">
        <v>11.7</v>
      </c>
      <c r="U313">
        <v>60.97</v>
      </c>
      <c r="V313" t="b">
        <v>1</v>
      </c>
      <c r="W313" t="s">
        <v>41</v>
      </c>
    </row>
    <row r="314" spans="1:23" x14ac:dyDescent="0.25">
      <c r="A314" t="s">
        <v>23</v>
      </c>
      <c r="B314" t="s">
        <v>49</v>
      </c>
      <c r="C314">
        <v>78.53</v>
      </c>
      <c r="D314">
        <v>115</v>
      </c>
      <c r="E314" t="b">
        <v>0</v>
      </c>
      <c r="F314" t="b">
        <v>0</v>
      </c>
      <c r="G314" t="b">
        <v>1</v>
      </c>
      <c r="H314" t="s">
        <v>53</v>
      </c>
      <c r="I314" t="s">
        <v>67</v>
      </c>
      <c r="J314" t="s">
        <v>54</v>
      </c>
      <c r="K314" t="s">
        <v>28</v>
      </c>
      <c r="L314" t="s">
        <v>51</v>
      </c>
      <c r="M314" t="s">
        <v>47</v>
      </c>
      <c r="N314" t="s">
        <v>39</v>
      </c>
      <c r="O314" t="b">
        <v>0</v>
      </c>
      <c r="P314" t="b">
        <v>0</v>
      </c>
      <c r="Q314">
        <v>6.7</v>
      </c>
      <c r="R314" t="b">
        <v>1</v>
      </c>
      <c r="S314" t="s">
        <v>30</v>
      </c>
      <c r="T314">
        <v>26.8</v>
      </c>
      <c r="U314">
        <v>93.14</v>
      </c>
      <c r="V314" t="b">
        <v>0</v>
      </c>
      <c r="W314" t="s">
        <v>41</v>
      </c>
    </row>
    <row r="315" spans="1:23" x14ac:dyDescent="0.25">
      <c r="A315" t="s">
        <v>23</v>
      </c>
      <c r="B315" t="s">
        <v>66</v>
      </c>
      <c r="C315">
        <v>65.34</v>
      </c>
      <c r="D315">
        <v>672</v>
      </c>
      <c r="E315" t="b">
        <v>0</v>
      </c>
      <c r="F315" t="b">
        <v>1</v>
      </c>
      <c r="G315" t="b">
        <v>0</v>
      </c>
      <c r="H315" t="s">
        <v>43</v>
      </c>
      <c r="I315" t="s">
        <v>57</v>
      </c>
      <c r="J315" t="s">
        <v>36</v>
      </c>
      <c r="K315" t="s">
        <v>46</v>
      </c>
      <c r="L315" t="s">
        <v>29</v>
      </c>
      <c r="M315" t="s">
        <v>28</v>
      </c>
      <c r="N315" t="s">
        <v>39</v>
      </c>
      <c r="O315" t="b">
        <v>1</v>
      </c>
      <c r="P315" t="b">
        <v>1</v>
      </c>
      <c r="Q315">
        <v>8.6999999999999993</v>
      </c>
      <c r="R315" t="b">
        <v>0</v>
      </c>
      <c r="T315">
        <v>0</v>
      </c>
      <c r="U315">
        <v>42.91</v>
      </c>
      <c r="V315" t="b">
        <v>0</v>
      </c>
      <c r="W315" t="s">
        <v>58</v>
      </c>
    </row>
    <row r="316" spans="1:23" x14ac:dyDescent="0.25">
      <c r="A316" t="s">
        <v>32</v>
      </c>
      <c r="B316" t="s">
        <v>71</v>
      </c>
      <c r="C316">
        <v>41.61</v>
      </c>
      <c r="D316">
        <v>67</v>
      </c>
      <c r="E316" t="b">
        <v>0</v>
      </c>
      <c r="F316" t="b">
        <v>0</v>
      </c>
      <c r="G316" t="b">
        <v>1</v>
      </c>
      <c r="H316" t="s">
        <v>53</v>
      </c>
      <c r="I316" t="s">
        <v>57</v>
      </c>
      <c r="J316" t="s">
        <v>36</v>
      </c>
      <c r="K316" t="s">
        <v>37</v>
      </c>
      <c r="L316" t="s">
        <v>37</v>
      </c>
      <c r="M316" t="s">
        <v>47</v>
      </c>
      <c r="N316" t="s">
        <v>28</v>
      </c>
      <c r="O316" t="b">
        <v>1</v>
      </c>
      <c r="P316" t="b">
        <v>0</v>
      </c>
      <c r="Q316">
        <v>5</v>
      </c>
      <c r="R316" t="b">
        <v>1</v>
      </c>
      <c r="S316" t="s">
        <v>52</v>
      </c>
      <c r="T316">
        <v>18.8</v>
      </c>
      <c r="U316">
        <v>36.71</v>
      </c>
      <c r="V316" t="b">
        <v>1</v>
      </c>
      <c r="W316" t="s">
        <v>41</v>
      </c>
    </row>
    <row r="317" spans="1:23" x14ac:dyDescent="0.25">
      <c r="A317" t="s">
        <v>23</v>
      </c>
      <c r="B317" t="s">
        <v>24</v>
      </c>
      <c r="C317">
        <v>90.44</v>
      </c>
      <c r="D317">
        <v>188</v>
      </c>
      <c r="E317" t="b">
        <v>0</v>
      </c>
      <c r="F317" t="b">
        <v>1</v>
      </c>
      <c r="G317" t="b">
        <v>1</v>
      </c>
      <c r="H317" t="s">
        <v>43</v>
      </c>
      <c r="I317" t="s">
        <v>67</v>
      </c>
      <c r="J317" t="s">
        <v>27</v>
      </c>
      <c r="K317" t="s">
        <v>28</v>
      </c>
      <c r="L317" t="s">
        <v>37</v>
      </c>
      <c r="M317" t="s">
        <v>47</v>
      </c>
      <c r="N317" t="s">
        <v>46</v>
      </c>
      <c r="O317" t="b">
        <v>1</v>
      </c>
      <c r="P317" t="b">
        <v>1</v>
      </c>
      <c r="Q317">
        <v>9.8000000000000007</v>
      </c>
      <c r="R317" t="b">
        <v>0</v>
      </c>
      <c r="T317">
        <v>0</v>
      </c>
      <c r="U317">
        <v>93.15</v>
      </c>
      <c r="V317" t="b">
        <v>1</v>
      </c>
      <c r="W317" t="s">
        <v>58</v>
      </c>
    </row>
    <row r="318" spans="1:23" x14ac:dyDescent="0.25">
      <c r="A318" t="s">
        <v>23</v>
      </c>
      <c r="B318" t="s">
        <v>60</v>
      </c>
      <c r="C318">
        <v>51.29</v>
      </c>
      <c r="D318">
        <v>517</v>
      </c>
      <c r="E318" t="b">
        <v>1</v>
      </c>
      <c r="F318" t="b">
        <v>0</v>
      </c>
      <c r="G318" t="b">
        <v>0</v>
      </c>
      <c r="H318" t="s">
        <v>34</v>
      </c>
      <c r="I318" t="s">
        <v>26</v>
      </c>
      <c r="J318" t="s">
        <v>54</v>
      </c>
      <c r="K318" t="s">
        <v>39</v>
      </c>
      <c r="L318" t="s">
        <v>51</v>
      </c>
      <c r="M318" t="s">
        <v>46</v>
      </c>
      <c r="N318" t="s">
        <v>46</v>
      </c>
      <c r="P318" t="b">
        <v>1</v>
      </c>
      <c r="Q318">
        <v>6</v>
      </c>
      <c r="R318" t="b">
        <v>1</v>
      </c>
      <c r="S318" t="s">
        <v>52</v>
      </c>
      <c r="T318">
        <v>32.9</v>
      </c>
      <c r="U318">
        <v>56.15</v>
      </c>
      <c r="V318" t="b">
        <v>1</v>
      </c>
      <c r="W318" t="s">
        <v>41</v>
      </c>
    </row>
    <row r="319" spans="1:23" x14ac:dyDescent="0.25">
      <c r="A319" t="s">
        <v>56</v>
      </c>
      <c r="B319" t="s">
        <v>33</v>
      </c>
      <c r="C319">
        <v>87.6</v>
      </c>
      <c r="D319">
        <v>737</v>
      </c>
      <c r="E319" t="b">
        <v>0</v>
      </c>
      <c r="F319" t="b">
        <v>0</v>
      </c>
      <c r="G319" t="b">
        <v>1</v>
      </c>
      <c r="H319" t="s">
        <v>43</v>
      </c>
      <c r="I319" t="s">
        <v>44</v>
      </c>
      <c r="J319" t="s">
        <v>50</v>
      </c>
      <c r="K319" t="s">
        <v>39</v>
      </c>
      <c r="L319" t="s">
        <v>29</v>
      </c>
      <c r="M319" t="s">
        <v>39</v>
      </c>
      <c r="N319" t="s">
        <v>28</v>
      </c>
      <c r="O319" t="b">
        <v>0</v>
      </c>
      <c r="P319" t="b">
        <v>1</v>
      </c>
      <c r="Q319">
        <v>7</v>
      </c>
      <c r="R319" t="b">
        <v>1</v>
      </c>
      <c r="S319" t="s">
        <v>64</v>
      </c>
      <c r="T319">
        <v>32.1</v>
      </c>
      <c r="U319">
        <v>76.3</v>
      </c>
      <c r="V319" t="b">
        <v>1</v>
      </c>
      <c r="W319" t="s">
        <v>41</v>
      </c>
    </row>
    <row r="320" spans="1:23" x14ac:dyDescent="0.25">
      <c r="A320" t="s">
        <v>74</v>
      </c>
      <c r="B320" t="s">
        <v>59</v>
      </c>
      <c r="C320">
        <v>87.63</v>
      </c>
      <c r="D320">
        <v>529</v>
      </c>
      <c r="E320" t="b">
        <v>1</v>
      </c>
      <c r="F320" t="b">
        <v>0</v>
      </c>
      <c r="G320" t="b">
        <v>0</v>
      </c>
      <c r="H320" t="s">
        <v>34</v>
      </c>
      <c r="I320" t="s">
        <v>67</v>
      </c>
      <c r="J320" t="s">
        <v>50</v>
      </c>
      <c r="K320" t="s">
        <v>39</v>
      </c>
      <c r="L320" t="s">
        <v>29</v>
      </c>
      <c r="M320" t="s">
        <v>47</v>
      </c>
      <c r="N320" t="s">
        <v>28</v>
      </c>
      <c r="P320" t="b">
        <v>1</v>
      </c>
      <c r="Q320">
        <v>9.1999999999999993</v>
      </c>
      <c r="R320" t="b">
        <v>1</v>
      </c>
      <c r="S320" t="s">
        <v>30</v>
      </c>
      <c r="T320">
        <v>10.5</v>
      </c>
      <c r="U320">
        <v>78.48</v>
      </c>
      <c r="V320" t="b">
        <v>1</v>
      </c>
      <c r="W320" t="s">
        <v>31</v>
      </c>
    </row>
    <row r="321" spans="1:23" x14ac:dyDescent="0.25">
      <c r="A321" t="s">
        <v>61</v>
      </c>
      <c r="B321" t="s">
        <v>60</v>
      </c>
      <c r="C321">
        <v>49.12</v>
      </c>
      <c r="D321">
        <v>218</v>
      </c>
      <c r="E321" t="b">
        <v>1</v>
      </c>
      <c r="F321" t="b">
        <v>1</v>
      </c>
      <c r="G321" t="b">
        <v>0</v>
      </c>
      <c r="H321" t="s">
        <v>34</v>
      </c>
      <c r="I321" t="s">
        <v>44</v>
      </c>
      <c r="J321" t="s">
        <v>27</v>
      </c>
      <c r="K321" t="s">
        <v>37</v>
      </c>
      <c r="L321" t="s">
        <v>69</v>
      </c>
      <c r="M321" t="s">
        <v>47</v>
      </c>
      <c r="N321" t="s">
        <v>39</v>
      </c>
      <c r="O321" t="b">
        <v>0</v>
      </c>
      <c r="P321" t="b">
        <v>1</v>
      </c>
      <c r="Q321">
        <v>3.8</v>
      </c>
      <c r="R321" t="b">
        <v>1</v>
      </c>
      <c r="S321" t="s">
        <v>30</v>
      </c>
      <c r="T321">
        <v>17.100000000000001</v>
      </c>
      <c r="U321">
        <v>44.32</v>
      </c>
      <c r="V321" t="b">
        <v>1</v>
      </c>
      <c r="W321" t="s">
        <v>72</v>
      </c>
    </row>
    <row r="322" spans="1:23" x14ac:dyDescent="0.25">
      <c r="A322" t="s">
        <v>23</v>
      </c>
      <c r="B322" t="s">
        <v>49</v>
      </c>
      <c r="C322">
        <v>66.459999999999994</v>
      </c>
      <c r="D322">
        <v>71</v>
      </c>
      <c r="E322" t="b">
        <v>1</v>
      </c>
      <c r="F322" t="b">
        <v>1</v>
      </c>
      <c r="G322" t="b">
        <v>1</v>
      </c>
      <c r="H322" t="s">
        <v>53</v>
      </c>
      <c r="I322" t="s">
        <v>63</v>
      </c>
      <c r="J322" t="s">
        <v>54</v>
      </c>
      <c r="K322" t="s">
        <v>28</v>
      </c>
      <c r="L322" t="s">
        <v>37</v>
      </c>
      <c r="M322" t="s">
        <v>28</v>
      </c>
      <c r="N322" t="s">
        <v>46</v>
      </c>
      <c r="O322" t="b">
        <v>1</v>
      </c>
      <c r="P322" t="b">
        <v>0</v>
      </c>
      <c r="Q322">
        <v>10</v>
      </c>
      <c r="R322" t="b">
        <v>0</v>
      </c>
      <c r="T322">
        <v>0</v>
      </c>
      <c r="U322">
        <v>74.77</v>
      </c>
      <c r="V322" t="b">
        <v>0</v>
      </c>
      <c r="W322" t="s">
        <v>58</v>
      </c>
    </row>
    <row r="323" spans="1:23" x14ac:dyDescent="0.25">
      <c r="A323" t="s">
        <v>23</v>
      </c>
      <c r="B323" t="s">
        <v>24</v>
      </c>
      <c r="C323">
        <v>94.83</v>
      </c>
      <c r="D323">
        <v>413</v>
      </c>
      <c r="E323" t="b">
        <v>0</v>
      </c>
      <c r="F323" t="b">
        <v>0</v>
      </c>
      <c r="G323" t="b">
        <v>0</v>
      </c>
      <c r="H323" t="s">
        <v>34</v>
      </c>
      <c r="I323" t="s">
        <v>67</v>
      </c>
      <c r="J323" t="s">
        <v>36</v>
      </c>
      <c r="K323" t="s">
        <v>39</v>
      </c>
      <c r="L323" t="s">
        <v>69</v>
      </c>
      <c r="M323" t="s">
        <v>47</v>
      </c>
      <c r="P323" t="b">
        <v>1</v>
      </c>
      <c r="Q323">
        <v>9.4</v>
      </c>
      <c r="R323" t="b">
        <v>1</v>
      </c>
      <c r="S323" t="s">
        <v>30</v>
      </c>
      <c r="T323">
        <v>29.8</v>
      </c>
      <c r="U323">
        <v>100</v>
      </c>
      <c r="V323" t="b">
        <v>1</v>
      </c>
      <c r="W323" t="s">
        <v>31</v>
      </c>
    </row>
    <row r="324" spans="1:23" x14ac:dyDescent="0.25">
      <c r="A324" t="s">
        <v>23</v>
      </c>
      <c r="B324" t="s">
        <v>49</v>
      </c>
      <c r="C324">
        <v>71.05</v>
      </c>
      <c r="D324">
        <v>516</v>
      </c>
      <c r="E324" t="b">
        <v>1</v>
      </c>
      <c r="F324" t="b">
        <v>0</v>
      </c>
      <c r="G324" t="b">
        <v>1</v>
      </c>
      <c r="H324" t="s">
        <v>43</v>
      </c>
      <c r="I324" t="s">
        <v>26</v>
      </c>
      <c r="J324" t="s">
        <v>45</v>
      </c>
      <c r="K324" t="s">
        <v>39</v>
      </c>
      <c r="L324" t="s">
        <v>51</v>
      </c>
      <c r="M324" t="s">
        <v>39</v>
      </c>
      <c r="P324" t="b">
        <v>0</v>
      </c>
      <c r="Q324">
        <v>7.8</v>
      </c>
      <c r="R324" t="b">
        <v>1</v>
      </c>
      <c r="S324" t="s">
        <v>64</v>
      </c>
      <c r="T324">
        <v>38.799999999999997</v>
      </c>
      <c r="U324">
        <v>72.58</v>
      </c>
      <c r="V324" t="b">
        <v>1</v>
      </c>
      <c r="W324" t="s">
        <v>41</v>
      </c>
    </row>
    <row r="325" spans="1:23" x14ac:dyDescent="0.25">
      <c r="A325" t="s">
        <v>61</v>
      </c>
      <c r="B325" t="s">
        <v>49</v>
      </c>
      <c r="C325">
        <v>71.760000000000005</v>
      </c>
      <c r="D325">
        <v>525</v>
      </c>
      <c r="E325" t="b">
        <v>1</v>
      </c>
      <c r="F325" t="b">
        <v>1</v>
      </c>
      <c r="G325" t="b">
        <v>1</v>
      </c>
      <c r="H325" t="s">
        <v>25</v>
      </c>
      <c r="I325" t="s">
        <v>63</v>
      </c>
      <c r="J325" t="s">
        <v>36</v>
      </c>
      <c r="K325" t="s">
        <v>46</v>
      </c>
      <c r="L325" t="s">
        <v>51</v>
      </c>
      <c r="M325" t="s">
        <v>39</v>
      </c>
      <c r="N325" t="s">
        <v>39</v>
      </c>
      <c r="O325" t="b">
        <v>1</v>
      </c>
      <c r="P325" t="b">
        <v>0</v>
      </c>
      <c r="Q325">
        <v>9.6999999999999993</v>
      </c>
      <c r="R325" t="b">
        <v>0</v>
      </c>
      <c r="T325">
        <v>0</v>
      </c>
      <c r="U325">
        <v>74.069999999999993</v>
      </c>
      <c r="V325" t="b">
        <v>0</v>
      </c>
      <c r="W325" t="s">
        <v>58</v>
      </c>
    </row>
    <row r="326" spans="1:23" x14ac:dyDescent="0.25">
      <c r="A326" t="s">
        <v>74</v>
      </c>
      <c r="B326" t="s">
        <v>71</v>
      </c>
      <c r="C326">
        <v>58.76</v>
      </c>
      <c r="D326">
        <v>253</v>
      </c>
      <c r="E326" t="b">
        <v>0</v>
      </c>
      <c r="F326" t="b">
        <v>1</v>
      </c>
      <c r="G326" t="b">
        <v>1</v>
      </c>
      <c r="H326" t="s">
        <v>53</v>
      </c>
      <c r="I326" t="s">
        <v>63</v>
      </c>
      <c r="J326" t="s">
        <v>50</v>
      </c>
      <c r="K326" t="s">
        <v>46</v>
      </c>
      <c r="L326" t="s">
        <v>51</v>
      </c>
      <c r="M326" t="s">
        <v>47</v>
      </c>
      <c r="N326" t="s">
        <v>39</v>
      </c>
      <c r="P326" t="b">
        <v>1</v>
      </c>
      <c r="Q326">
        <v>5.0999999999999996</v>
      </c>
      <c r="R326" t="b">
        <v>1</v>
      </c>
      <c r="S326" t="s">
        <v>30</v>
      </c>
      <c r="T326">
        <v>21.5</v>
      </c>
      <c r="U326">
        <v>46.77</v>
      </c>
      <c r="V326" t="b">
        <v>1</v>
      </c>
      <c r="W326" t="s">
        <v>41</v>
      </c>
    </row>
    <row r="327" spans="1:23" x14ac:dyDescent="0.25">
      <c r="A327" t="s">
        <v>56</v>
      </c>
      <c r="B327" t="s">
        <v>24</v>
      </c>
      <c r="C327">
        <v>87.14</v>
      </c>
      <c r="D327">
        <v>258</v>
      </c>
      <c r="E327" t="b">
        <v>0</v>
      </c>
      <c r="F327" t="b">
        <v>1</v>
      </c>
      <c r="G327" t="b">
        <v>0</v>
      </c>
      <c r="H327" t="s">
        <v>43</v>
      </c>
      <c r="I327" t="s">
        <v>35</v>
      </c>
      <c r="J327" t="s">
        <v>45</v>
      </c>
      <c r="K327" t="s">
        <v>28</v>
      </c>
      <c r="L327" t="s">
        <v>37</v>
      </c>
      <c r="M327" t="s">
        <v>28</v>
      </c>
      <c r="P327" t="b">
        <v>1</v>
      </c>
      <c r="Q327">
        <v>9.6999999999999993</v>
      </c>
      <c r="R327" t="b">
        <v>0</v>
      </c>
      <c r="T327">
        <v>0</v>
      </c>
      <c r="U327">
        <v>88.42</v>
      </c>
      <c r="V327" t="b">
        <v>1</v>
      </c>
      <c r="W327" t="s">
        <v>58</v>
      </c>
    </row>
    <row r="328" spans="1:23" x14ac:dyDescent="0.25">
      <c r="A328" t="s">
        <v>61</v>
      </c>
      <c r="B328" t="s">
        <v>60</v>
      </c>
      <c r="C328">
        <v>43.21</v>
      </c>
      <c r="D328">
        <v>87</v>
      </c>
      <c r="E328" t="b">
        <v>0</v>
      </c>
      <c r="F328" t="b">
        <v>1</v>
      </c>
      <c r="G328" t="b">
        <v>0</v>
      </c>
      <c r="H328" t="s">
        <v>25</v>
      </c>
      <c r="I328" t="s">
        <v>26</v>
      </c>
      <c r="J328" t="s">
        <v>27</v>
      </c>
      <c r="K328" t="s">
        <v>28</v>
      </c>
      <c r="L328" t="s">
        <v>38</v>
      </c>
      <c r="M328" t="s">
        <v>47</v>
      </c>
      <c r="N328" t="s">
        <v>46</v>
      </c>
      <c r="O328" t="b">
        <v>1</v>
      </c>
      <c r="P328" t="b">
        <v>1</v>
      </c>
      <c r="Q328">
        <v>5.4</v>
      </c>
      <c r="R328" t="b">
        <v>1</v>
      </c>
      <c r="S328" t="s">
        <v>30</v>
      </c>
      <c r="T328">
        <v>5.2</v>
      </c>
      <c r="U328">
        <v>28.68</v>
      </c>
      <c r="V328" t="b">
        <v>0</v>
      </c>
      <c r="W328" t="s">
        <v>41</v>
      </c>
    </row>
    <row r="329" spans="1:23" x14ac:dyDescent="0.25">
      <c r="A329" t="s">
        <v>56</v>
      </c>
      <c r="B329" t="s">
        <v>24</v>
      </c>
      <c r="C329">
        <v>92.7</v>
      </c>
      <c r="D329">
        <v>77</v>
      </c>
      <c r="E329" t="b">
        <v>1</v>
      </c>
      <c r="F329" t="b">
        <v>0</v>
      </c>
      <c r="G329" t="b">
        <v>1</v>
      </c>
      <c r="H329" t="s">
        <v>25</v>
      </c>
      <c r="I329" t="s">
        <v>63</v>
      </c>
      <c r="J329" t="s">
        <v>36</v>
      </c>
      <c r="K329" t="s">
        <v>37</v>
      </c>
      <c r="L329" t="s">
        <v>29</v>
      </c>
      <c r="M329" t="s">
        <v>46</v>
      </c>
      <c r="N329" t="s">
        <v>46</v>
      </c>
      <c r="O329" t="b">
        <v>1</v>
      </c>
      <c r="P329" t="b">
        <v>1</v>
      </c>
      <c r="Q329">
        <v>10</v>
      </c>
      <c r="R329" t="b">
        <v>0</v>
      </c>
      <c r="T329">
        <v>0</v>
      </c>
      <c r="U329">
        <v>90.29</v>
      </c>
      <c r="V329" t="b">
        <v>1</v>
      </c>
      <c r="W329" t="s">
        <v>58</v>
      </c>
    </row>
    <row r="330" spans="1:23" x14ac:dyDescent="0.25">
      <c r="A330" t="s">
        <v>68</v>
      </c>
      <c r="B330" t="s">
        <v>33</v>
      </c>
      <c r="C330">
        <v>76.02</v>
      </c>
      <c r="D330">
        <v>674</v>
      </c>
      <c r="E330" t="b">
        <v>1</v>
      </c>
      <c r="F330" t="b">
        <v>1</v>
      </c>
      <c r="G330" t="b">
        <v>1</v>
      </c>
      <c r="H330" t="s">
        <v>53</v>
      </c>
      <c r="I330" t="s">
        <v>44</v>
      </c>
      <c r="J330" t="s">
        <v>45</v>
      </c>
      <c r="K330" t="s">
        <v>37</v>
      </c>
      <c r="L330" t="s">
        <v>69</v>
      </c>
      <c r="M330" t="s">
        <v>46</v>
      </c>
      <c r="N330" t="s">
        <v>28</v>
      </c>
      <c r="P330" t="b">
        <v>0</v>
      </c>
      <c r="Q330">
        <v>9.4</v>
      </c>
      <c r="R330" t="b">
        <v>0</v>
      </c>
      <c r="T330">
        <v>0</v>
      </c>
      <c r="U330">
        <v>78.489999999999995</v>
      </c>
      <c r="V330" t="b">
        <v>1</v>
      </c>
      <c r="W330" t="s">
        <v>58</v>
      </c>
    </row>
    <row r="331" spans="1:23" x14ac:dyDescent="0.25">
      <c r="A331" t="s">
        <v>23</v>
      </c>
      <c r="B331" t="s">
        <v>62</v>
      </c>
      <c r="C331">
        <v>54.73</v>
      </c>
      <c r="D331">
        <v>493</v>
      </c>
      <c r="E331" t="b">
        <v>1</v>
      </c>
      <c r="F331" t="b">
        <v>0</v>
      </c>
      <c r="G331" t="b">
        <v>1</v>
      </c>
      <c r="H331" t="s">
        <v>53</v>
      </c>
      <c r="I331" t="s">
        <v>44</v>
      </c>
      <c r="J331" t="s">
        <v>45</v>
      </c>
      <c r="K331" t="s">
        <v>46</v>
      </c>
      <c r="L331" t="s">
        <v>37</v>
      </c>
      <c r="M331" t="s">
        <v>46</v>
      </c>
      <c r="N331" t="s">
        <v>46</v>
      </c>
      <c r="O331" t="b">
        <v>1</v>
      </c>
      <c r="P331" t="b">
        <v>1</v>
      </c>
      <c r="Q331">
        <v>8.6</v>
      </c>
      <c r="R331" t="b">
        <v>0</v>
      </c>
      <c r="T331">
        <v>0</v>
      </c>
      <c r="U331">
        <v>60.38</v>
      </c>
      <c r="V331" t="b">
        <v>0</v>
      </c>
      <c r="W331" t="s">
        <v>58</v>
      </c>
    </row>
    <row r="332" spans="1:23" x14ac:dyDescent="0.25">
      <c r="A332" t="s">
        <v>61</v>
      </c>
      <c r="B332" t="s">
        <v>76</v>
      </c>
      <c r="C332">
        <v>87.91</v>
      </c>
      <c r="D332">
        <v>378</v>
      </c>
      <c r="E332" t="b">
        <v>0</v>
      </c>
      <c r="F332" t="b">
        <v>1</v>
      </c>
      <c r="G332" t="b">
        <v>1</v>
      </c>
      <c r="H332" t="s">
        <v>25</v>
      </c>
      <c r="I332" t="s">
        <v>35</v>
      </c>
      <c r="J332" t="s">
        <v>36</v>
      </c>
      <c r="K332" t="s">
        <v>28</v>
      </c>
      <c r="L332" t="s">
        <v>38</v>
      </c>
      <c r="M332" t="s">
        <v>28</v>
      </c>
      <c r="N332" t="s">
        <v>46</v>
      </c>
      <c r="P332" t="b">
        <v>0</v>
      </c>
      <c r="Q332">
        <v>10</v>
      </c>
      <c r="R332" t="b">
        <v>0</v>
      </c>
      <c r="T332">
        <v>0</v>
      </c>
      <c r="U332">
        <v>84.86</v>
      </c>
      <c r="V332" t="b">
        <v>1</v>
      </c>
      <c r="W332" t="s">
        <v>58</v>
      </c>
    </row>
    <row r="333" spans="1:23" x14ac:dyDescent="0.25">
      <c r="A333" t="s">
        <v>23</v>
      </c>
      <c r="B333" t="s">
        <v>62</v>
      </c>
      <c r="C333">
        <v>52.66</v>
      </c>
      <c r="D333">
        <v>589</v>
      </c>
      <c r="E333" t="b">
        <v>0</v>
      </c>
      <c r="F333" t="b">
        <v>1</v>
      </c>
      <c r="G333" t="b">
        <v>1</v>
      </c>
      <c r="H333" t="s">
        <v>34</v>
      </c>
      <c r="I333" t="s">
        <v>44</v>
      </c>
      <c r="J333" t="s">
        <v>36</v>
      </c>
      <c r="K333" t="s">
        <v>39</v>
      </c>
      <c r="L333" t="s">
        <v>29</v>
      </c>
      <c r="M333" t="s">
        <v>46</v>
      </c>
      <c r="N333" t="s">
        <v>46</v>
      </c>
      <c r="O333" t="b">
        <v>1</v>
      </c>
      <c r="P333" t="b">
        <v>0</v>
      </c>
      <c r="Q333">
        <v>6.5</v>
      </c>
      <c r="R333" t="b">
        <v>1</v>
      </c>
      <c r="S333" t="s">
        <v>40</v>
      </c>
      <c r="T333">
        <v>11.4</v>
      </c>
      <c r="U333">
        <v>61.2</v>
      </c>
      <c r="V333" t="b">
        <v>1</v>
      </c>
      <c r="W333" t="s">
        <v>41</v>
      </c>
    </row>
    <row r="334" spans="1:23" x14ac:dyDescent="0.25">
      <c r="A334" t="s">
        <v>56</v>
      </c>
      <c r="B334" t="s">
        <v>76</v>
      </c>
      <c r="C334">
        <v>87.5</v>
      </c>
      <c r="D334">
        <v>214</v>
      </c>
      <c r="E334" t="b">
        <v>0</v>
      </c>
      <c r="F334" t="b">
        <v>1</v>
      </c>
      <c r="G334" t="b">
        <v>1</v>
      </c>
      <c r="H334" t="s">
        <v>25</v>
      </c>
      <c r="I334" t="s">
        <v>44</v>
      </c>
      <c r="J334" t="s">
        <v>54</v>
      </c>
      <c r="K334" t="s">
        <v>28</v>
      </c>
      <c r="L334" t="s">
        <v>37</v>
      </c>
      <c r="M334" t="s">
        <v>46</v>
      </c>
      <c r="P334" t="b">
        <v>0</v>
      </c>
      <c r="Q334">
        <v>9</v>
      </c>
      <c r="R334" t="b">
        <v>0</v>
      </c>
      <c r="T334">
        <v>0</v>
      </c>
      <c r="U334">
        <v>82.12</v>
      </c>
      <c r="V334" t="b">
        <v>1</v>
      </c>
      <c r="W334" t="s">
        <v>58</v>
      </c>
    </row>
    <row r="335" spans="1:23" x14ac:dyDescent="0.25">
      <c r="A335" t="s">
        <v>56</v>
      </c>
      <c r="B335" t="s">
        <v>66</v>
      </c>
      <c r="C335">
        <v>75.36</v>
      </c>
      <c r="D335">
        <v>495</v>
      </c>
      <c r="E335" t="b">
        <v>1</v>
      </c>
      <c r="F335" t="b">
        <v>0</v>
      </c>
      <c r="G335" t="b">
        <v>0</v>
      </c>
      <c r="H335" t="s">
        <v>53</v>
      </c>
      <c r="I335" t="s">
        <v>44</v>
      </c>
      <c r="J335" t="s">
        <v>45</v>
      </c>
      <c r="K335" t="s">
        <v>39</v>
      </c>
      <c r="L335" t="s">
        <v>29</v>
      </c>
      <c r="M335" t="s">
        <v>47</v>
      </c>
      <c r="N335" t="s">
        <v>39</v>
      </c>
      <c r="O335" t="b">
        <v>0</v>
      </c>
      <c r="P335" t="b">
        <v>1</v>
      </c>
      <c r="Q335">
        <v>6.6</v>
      </c>
      <c r="R335" t="b">
        <v>1</v>
      </c>
      <c r="S335" t="s">
        <v>55</v>
      </c>
      <c r="T335">
        <v>28.5</v>
      </c>
      <c r="U335">
        <v>52.54</v>
      </c>
      <c r="V335" t="b">
        <v>1</v>
      </c>
      <c r="W335" t="s">
        <v>41</v>
      </c>
    </row>
    <row r="336" spans="1:23" x14ac:dyDescent="0.25">
      <c r="A336" t="s">
        <v>32</v>
      </c>
      <c r="B336" t="s">
        <v>66</v>
      </c>
      <c r="C336">
        <v>75.510000000000005</v>
      </c>
      <c r="D336">
        <v>772</v>
      </c>
      <c r="E336" t="b">
        <v>1</v>
      </c>
      <c r="F336" t="b">
        <v>0</v>
      </c>
      <c r="G336" t="b">
        <v>0</v>
      </c>
      <c r="H336" t="s">
        <v>34</v>
      </c>
      <c r="I336" t="s">
        <v>26</v>
      </c>
      <c r="J336" t="s">
        <v>50</v>
      </c>
      <c r="K336" t="s">
        <v>39</v>
      </c>
      <c r="L336" t="s">
        <v>69</v>
      </c>
      <c r="M336" t="s">
        <v>39</v>
      </c>
      <c r="N336" t="s">
        <v>46</v>
      </c>
      <c r="P336" t="b">
        <v>1</v>
      </c>
      <c r="Q336">
        <v>8.6999999999999993</v>
      </c>
      <c r="R336" t="b">
        <v>0</v>
      </c>
      <c r="T336">
        <v>0</v>
      </c>
      <c r="U336">
        <v>53.06</v>
      </c>
      <c r="V336" t="b">
        <v>0</v>
      </c>
      <c r="W336" t="s">
        <v>58</v>
      </c>
    </row>
    <row r="337" spans="1:23" x14ac:dyDescent="0.25">
      <c r="A337" t="s">
        <v>23</v>
      </c>
      <c r="B337" t="s">
        <v>59</v>
      </c>
      <c r="C337">
        <v>88.09</v>
      </c>
      <c r="D337">
        <v>463</v>
      </c>
      <c r="E337" t="b">
        <v>0</v>
      </c>
      <c r="F337" t="b">
        <v>0</v>
      </c>
      <c r="G337" t="b">
        <v>0</v>
      </c>
      <c r="H337" t="s">
        <v>53</v>
      </c>
      <c r="I337" t="s">
        <v>44</v>
      </c>
      <c r="J337" t="s">
        <v>54</v>
      </c>
      <c r="K337" t="s">
        <v>37</v>
      </c>
      <c r="L337" t="s">
        <v>38</v>
      </c>
      <c r="M337" t="s">
        <v>47</v>
      </c>
      <c r="N337" t="s">
        <v>39</v>
      </c>
      <c r="P337" t="b">
        <v>0</v>
      </c>
      <c r="Q337">
        <v>8.4</v>
      </c>
      <c r="R337" t="b">
        <v>1</v>
      </c>
      <c r="S337" t="s">
        <v>30</v>
      </c>
      <c r="T337">
        <v>20.6</v>
      </c>
      <c r="U337">
        <v>77.59</v>
      </c>
      <c r="V337" t="b">
        <v>1</v>
      </c>
      <c r="W337" t="s">
        <v>31</v>
      </c>
    </row>
    <row r="338" spans="1:23" x14ac:dyDescent="0.25">
      <c r="A338" t="s">
        <v>61</v>
      </c>
      <c r="B338" t="s">
        <v>42</v>
      </c>
      <c r="C338">
        <v>72.31</v>
      </c>
      <c r="D338">
        <v>71</v>
      </c>
      <c r="E338" t="b">
        <v>0</v>
      </c>
      <c r="F338" t="b">
        <v>0</v>
      </c>
      <c r="G338" t="b">
        <v>1</v>
      </c>
      <c r="H338" t="s">
        <v>34</v>
      </c>
      <c r="I338" t="s">
        <v>63</v>
      </c>
      <c r="J338" t="s">
        <v>36</v>
      </c>
      <c r="K338" t="s">
        <v>28</v>
      </c>
      <c r="L338" t="s">
        <v>69</v>
      </c>
      <c r="M338" t="s">
        <v>39</v>
      </c>
      <c r="N338" t="s">
        <v>46</v>
      </c>
      <c r="P338" t="b">
        <v>0</v>
      </c>
      <c r="Q338">
        <v>7.6</v>
      </c>
      <c r="R338" t="b">
        <v>1</v>
      </c>
      <c r="S338" t="s">
        <v>30</v>
      </c>
      <c r="T338">
        <v>2.2000000000000002</v>
      </c>
      <c r="U338">
        <v>78.680000000000007</v>
      </c>
      <c r="V338" t="b">
        <v>1</v>
      </c>
      <c r="W338" t="s">
        <v>41</v>
      </c>
    </row>
    <row r="339" spans="1:23" x14ac:dyDescent="0.25">
      <c r="A339" t="s">
        <v>56</v>
      </c>
      <c r="B339" t="s">
        <v>24</v>
      </c>
      <c r="C339">
        <v>95.28</v>
      </c>
      <c r="D339">
        <v>549</v>
      </c>
      <c r="E339" t="b">
        <v>0</v>
      </c>
      <c r="F339" t="b">
        <v>0</v>
      </c>
      <c r="G339" t="b">
        <v>1</v>
      </c>
      <c r="H339" t="s">
        <v>25</v>
      </c>
      <c r="I339" t="s">
        <v>26</v>
      </c>
      <c r="J339" t="s">
        <v>45</v>
      </c>
      <c r="K339" t="s">
        <v>46</v>
      </c>
      <c r="L339" t="s">
        <v>69</v>
      </c>
      <c r="M339" t="s">
        <v>46</v>
      </c>
      <c r="N339" t="s">
        <v>28</v>
      </c>
      <c r="O339" t="b">
        <v>0</v>
      </c>
      <c r="P339" t="b">
        <v>0</v>
      </c>
      <c r="Q339">
        <v>10</v>
      </c>
      <c r="R339" t="b">
        <v>0</v>
      </c>
      <c r="T339">
        <v>0</v>
      </c>
      <c r="U339">
        <v>97.67</v>
      </c>
      <c r="V339" t="b">
        <v>1</v>
      </c>
      <c r="W339" t="s">
        <v>58</v>
      </c>
    </row>
    <row r="340" spans="1:23" x14ac:dyDescent="0.25">
      <c r="A340" t="s">
        <v>56</v>
      </c>
      <c r="B340" t="s">
        <v>73</v>
      </c>
      <c r="C340">
        <v>67.430000000000007</v>
      </c>
      <c r="D340">
        <v>299</v>
      </c>
      <c r="E340" t="b">
        <v>1</v>
      </c>
      <c r="F340" t="b">
        <v>0</v>
      </c>
      <c r="G340" t="b">
        <v>0</v>
      </c>
      <c r="H340" t="s">
        <v>25</v>
      </c>
      <c r="I340" t="s">
        <v>44</v>
      </c>
      <c r="J340" t="s">
        <v>45</v>
      </c>
      <c r="K340" t="s">
        <v>37</v>
      </c>
      <c r="L340" t="s">
        <v>29</v>
      </c>
      <c r="M340" t="s">
        <v>28</v>
      </c>
      <c r="N340" t="s">
        <v>39</v>
      </c>
      <c r="P340" t="b">
        <v>0</v>
      </c>
      <c r="Q340">
        <v>8.4</v>
      </c>
      <c r="R340" t="b">
        <v>0</v>
      </c>
      <c r="T340">
        <v>0</v>
      </c>
      <c r="U340">
        <v>56.49</v>
      </c>
      <c r="V340" t="b">
        <v>0</v>
      </c>
      <c r="W340" t="s">
        <v>58</v>
      </c>
    </row>
    <row r="341" spans="1:23" x14ac:dyDescent="0.25">
      <c r="A341" t="s">
        <v>32</v>
      </c>
      <c r="B341" t="s">
        <v>60</v>
      </c>
      <c r="C341">
        <v>41.7</v>
      </c>
      <c r="D341">
        <v>639</v>
      </c>
      <c r="E341" t="b">
        <v>0</v>
      </c>
      <c r="F341" t="b">
        <v>0</v>
      </c>
      <c r="G341" t="b">
        <v>1</v>
      </c>
      <c r="H341" t="s">
        <v>43</v>
      </c>
      <c r="I341" t="s">
        <v>57</v>
      </c>
      <c r="J341" t="s">
        <v>36</v>
      </c>
      <c r="K341" t="s">
        <v>37</v>
      </c>
      <c r="L341" t="s">
        <v>69</v>
      </c>
      <c r="M341" t="s">
        <v>47</v>
      </c>
      <c r="P341" t="b">
        <v>0</v>
      </c>
      <c r="Q341">
        <v>4.3</v>
      </c>
      <c r="R341" t="b">
        <v>1</v>
      </c>
      <c r="S341" t="s">
        <v>75</v>
      </c>
      <c r="T341">
        <v>27.1</v>
      </c>
      <c r="U341">
        <v>49.97</v>
      </c>
      <c r="V341" t="b">
        <v>1</v>
      </c>
      <c r="W341" t="s">
        <v>72</v>
      </c>
    </row>
    <row r="342" spans="1:23" x14ac:dyDescent="0.25">
      <c r="A342" t="s">
        <v>23</v>
      </c>
      <c r="B342" t="s">
        <v>60</v>
      </c>
      <c r="C342">
        <v>59.39</v>
      </c>
      <c r="D342">
        <v>439</v>
      </c>
      <c r="E342" t="b">
        <v>1</v>
      </c>
      <c r="F342" t="b">
        <v>1</v>
      </c>
      <c r="G342" t="b">
        <v>1</v>
      </c>
      <c r="H342" t="s">
        <v>25</v>
      </c>
      <c r="I342" t="s">
        <v>35</v>
      </c>
      <c r="J342" t="s">
        <v>50</v>
      </c>
      <c r="K342" t="s">
        <v>28</v>
      </c>
      <c r="L342" t="s">
        <v>37</v>
      </c>
      <c r="M342" t="s">
        <v>47</v>
      </c>
      <c r="O342" t="b">
        <v>1</v>
      </c>
      <c r="P342" t="b">
        <v>0</v>
      </c>
      <c r="Q342">
        <v>8.3000000000000007</v>
      </c>
      <c r="R342" t="b">
        <v>1</v>
      </c>
      <c r="S342" t="s">
        <v>64</v>
      </c>
      <c r="T342">
        <v>22.5</v>
      </c>
      <c r="U342">
        <v>61.71</v>
      </c>
      <c r="V342" t="b">
        <v>0</v>
      </c>
      <c r="W342" t="s">
        <v>31</v>
      </c>
    </row>
    <row r="343" spans="1:23" x14ac:dyDescent="0.25">
      <c r="A343" t="s">
        <v>68</v>
      </c>
      <c r="B343" t="s">
        <v>76</v>
      </c>
      <c r="C343">
        <v>72.099999999999994</v>
      </c>
      <c r="D343">
        <v>572</v>
      </c>
      <c r="E343" t="b">
        <v>0</v>
      </c>
      <c r="F343" t="b">
        <v>1</v>
      </c>
      <c r="G343" t="b">
        <v>1</v>
      </c>
      <c r="H343" t="s">
        <v>34</v>
      </c>
      <c r="I343" t="s">
        <v>26</v>
      </c>
      <c r="J343" t="s">
        <v>36</v>
      </c>
      <c r="K343" t="s">
        <v>46</v>
      </c>
      <c r="L343" t="s">
        <v>51</v>
      </c>
      <c r="M343" t="s">
        <v>28</v>
      </c>
      <c r="O343" t="b">
        <v>0</v>
      </c>
      <c r="P343" t="b">
        <v>0</v>
      </c>
      <c r="Q343">
        <v>6.5</v>
      </c>
      <c r="R343" t="b">
        <v>0</v>
      </c>
      <c r="T343">
        <v>0</v>
      </c>
      <c r="U343">
        <v>71.180000000000007</v>
      </c>
      <c r="V343" t="b">
        <v>1</v>
      </c>
      <c r="W343" t="s">
        <v>31</v>
      </c>
    </row>
    <row r="344" spans="1:23" x14ac:dyDescent="0.25">
      <c r="A344" t="s">
        <v>68</v>
      </c>
      <c r="B344" t="s">
        <v>42</v>
      </c>
      <c r="C344">
        <v>80.69</v>
      </c>
      <c r="D344">
        <v>227</v>
      </c>
      <c r="E344" t="b">
        <v>1</v>
      </c>
      <c r="F344" t="b">
        <v>0</v>
      </c>
      <c r="G344" t="b">
        <v>1</v>
      </c>
      <c r="H344" t="s">
        <v>43</v>
      </c>
      <c r="I344" t="s">
        <v>35</v>
      </c>
      <c r="J344" t="s">
        <v>54</v>
      </c>
      <c r="K344" t="s">
        <v>28</v>
      </c>
      <c r="L344" t="s">
        <v>29</v>
      </c>
      <c r="M344" t="s">
        <v>47</v>
      </c>
      <c r="N344" t="s">
        <v>39</v>
      </c>
      <c r="O344" t="b">
        <v>1</v>
      </c>
      <c r="P344" t="b">
        <v>0</v>
      </c>
      <c r="Q344">
        <v>10</v>
      </c>
      <c r="R344" t="b">
        <v>0</v>
      </c>
      <c r="T344">
        <v>0</v>
      </c>
      <c r="U344">
        <v>75.48</v>
      </c>
      <c r="V344" t="b">
        <v>0</v>
      </c>
      <c r="W344" t="s">
        <v>58</v>
      </c>
    </row>
    <row r="345" spans="1:23" x14ac:dyDescent="0.25">
      <c r="A345" t="s">
        <v>56</v>
      </c>
      <c r="B345" t="s">
        <v>24</v>
      </c>
      <c r="C345">
        <v>98.39</v>
      </c>
      <c r="D345">
        <v>721</v>
      </c>
      <c r="E345" t="b">
        <v>0</v>
      </c>
      <c r="F345" t="b">
        <v>1</v>
      </c>
      <c r="G345" t="b">
        <v>1</v>
      </c>
      <c r="H345" t="s">
        <v>43</v>
      </c>
      <c r="I345" t="s">
        <v>63</v>
      </c>
      <c r="J345" t="s">
        <v>54</v>
      </c>
      <c r="K345" t="s">
        <v>46</v>
      </c>
      <c r="L345" t="s">
        <v>37</v>
      </c>
      <c r="M345" t="s">
        <v>47</v>
      </c>
      <c r="N345" t="s">
        <v>28</v>
      </c>
      <c r="O345" t="b">
        <v>1</v>
      </c>
      <c r="P345" t="b">
        <v>0</v>
      </c>
      <c r="Q345">
        <v>10</v>
      </c>
      <c r="R345" t="b">
        <v>0</v>
      </c>
      <c r="T345">
        <v>0</v>
      </c>
      <c r="U345">
        <v>100</v>
      </c>
      <c r="V345" t="b">
        <v>1</v>
      </c>
      <c r="W345" t="s">
        <v>58</v>
      </c>
    </row>
    <row r="346" spans="1:23" x14ac:dyDescent="0.25">
      <c r="A346" t="s">
        <v>56</v>
      </c>
      <c r="B346" t="s">
        <v>76</v>
      </c>
      <c r="C346">
        <v>70.92</v>
      </c>
      <c r="D346">
        <v>184</v>
      </c>
      <c r="E346" t="b">
        <v>0</v>
      </c>
      <c r="F346" t="b">
        <v>0</v>
      </c>
      <c r="G346" t="b">
        <v>1</v>
      </c>
      <c r="H346" t="s">
        <v>53</v>
      </c>
      <c r="I346" t="s">
        <v>35</v>
      </c>
      <c r="J346" t="s">
        <v>27</v>
      </c>
      <c r="K346" t="s">
        <v>39</v>
      </c>
      <c r="L346" t="s">
        <v>37</v>
      </c>
      <c r="M346" t="s">
        <v>39</v>
      </c>
      <c r="P346" t="b">
        <v>0</v>
      </c>
      <c r="Q346">
        <v>6.6</v>
      </c>
      <c r="R346" t="b">
        <v>1</v>
      </c>
      <c r="S346" t="s">
        <v>55</v>
      </c>
      <c r="T346">
        <v>11.4</v>
      </c>
      <c r="U346">
        <v>63.06</v>
      </c>
      <c r="V346" t="b">
        <v>1</v>
      </c>
      <c r="W346" t="s">
        <v>41</v>
      </c>
    </row>
    <row r="347" spans="1:23" x14ac:dyDescent="0.25">
      <c r="A347" t="s">
        <v>32</v>
      </c>
      <c r="B347" t="s">
        <v>33</v>
      </c>
      <c r="C347">
        <v>85.83</v>
      </c>
      <c r="D347">
        <v>478</v>
      </c>
      <c r="E347" t="b">
        <v>1</v>
      </c>
      <c r="F347" t="b">
        <v>1</v>
      </c>
      <c r="G347" t="b">
        <v>0</v>
      </c>
      <c r="H347" t="s">
        <v>53</v>
      </c>
      <c r="I347" t="s">
        <v>35</v>
      </c>
      <c r="J347" t="s">
        <v>36</v>
      </c>
      <c r="K347" t="s">
        <v>46</v>
      </c>
      <c r="L347" t="s">
        <v>69</v>
      </c>
      <c r="M347" t="s">
        <v>47</v>
      </c>
      <c r="N347" t="s">
        <v>28</v>
      </c>
      <c r="O347" t="b">
        <v>0</v>
      </c>
      <c r="P347" t="b">
        <v>1</v>
      </c>
      <c r="Q347">
        <v>8.4</v>
      </c>
      <c r="R347" t="b">
        <v>1</v>
      </c>
      <c r="S347" t="s">
        <v>52</v>
      </c>
      <c r="T347">
        <v>17</v>
      </c>
      <c r="U347">
        <v>76.23</v>
      </c>
      <c r="V347" t="b">
        <v>1</v>
      </c>
      <c r="W347" t="s">
        <v>31</v>
      </c>
    </row>
    <row r="348" spans="1:23" x14ac:dyDescent="0.25">
      <c r="A348" t="s">
        <v>61</v>
      </c>
      <c r="B348" t="s">
        <v>76</v>
      </c>
      <c r="C348">
        <v>87.88</v>
      </c>
      <c r="D348">
        <v>660</v>
      </c>
      <c r="E348" t="b">
        <v>1</v>
      </c>
      <c r="F348" t="b">
        <v>1</v>
      </c>
      <c r="G348" t="b">
        <v>0</v>
      </c>
      <c r="H348" t="s">
        <v>43</v>
      </c>
      <c r="I348" t="s">
        <v>26</v>
      </c>
      <c r="J348" t="s">
        <v>27</v>
      </c>
      <c r="K348" t="s">
        <v>46</v>
      </c>
      <c r="L348" t="s">
        <v>51</v>
      </c>
      <c r="M348" t="s">
        <v>28</v>
      </c>
      <c r="N348" t="s">
        <v>46</v>
      </c>
      <c r="O348" t="b">
        <v>1</v>
      </c>
      <c r="P348" t="b">
        <v>1</v>
      </c>
      <c r="Q348">
        <v>10</v>
      </c>
      <c r="R348" t="b">
        <v>0</v>
      </c>
      <c r="T348">
        <v>0</v>
      </c>
      <c r="U348">
        <v>82.38</v>
      </c>
      <c r="V348" t="b">
        <v>1</v>
      </c>
      <c r="W348" t="s">
        <v>58</v>
      </c>
    </row>
    <row r="349" spans="1:23" x14ac:dyDescent="0.25">
      <c r="A349" t="s">
        <v>61</v>
      </c>
      <c r="B349" t="s">
        <v>70</v>
      </c>
      <c r="C349">
        <v>75.75</v>
      </c>
      <c r="D349">
        <v>338</v>
      </c>
      <c r="E349" t="b">
        <v>0</v>
      </c>
      <c r="F349" t="b">
        <v>0</v>
      </c>
      <c r="G349" t="b">
        <v>0</v>
      </c>
      <c r="H349" t="s">
        <v>34</v>
      </c>
      <c r="I349" t="s">
        <v>44</v>
      </c>
      <c r="J349" t="s">
        <v>27</v>
      </c>
      <c r="K349" t="s">
        <v>46</v>
      </c>
      <c r="L349" t="s">
        <v>29</v>
      </c>
      <c r="M349" t="s">
        <v>47</v>
      </c>
      <c r="O349" t="b">
        <v>1</v>
      </c>
      <c r="P349" t="b">
        <v>0</v>
      </c>
      <c r="Q349">
        <v>9.3000000000000007</v>
      </c>
      <c r="R349" t="b">
        <v>1</v>
      </c>
      <c r="S349" t="s">
        <v>40</v>
      </c>
      <c r="T349">
        <v>24.4</v>
      </c>
      <c r="U349">
        <v>66.709999999999994</v>
      </c>
      <c r="V349" t="b">
        <v>0</v>
      </c>
      <c r="W349" t="s">
        <v>31</v>
      </c>
    </row>
    <row r="350" spans="1:23" x14ac:dyDescent="0.25">
      <c r="A350" t="s">
        <v>32</v>
      </c>
      <c r="B350" t="s">
        <v>42</v>
      </c>
      <c r="C350">
        <v>73.569999999999993</v>
      </c>
      <c r="D350">
        <v>400</v>
      </c>
      <c r="E350" t="b">
        <v>0</v>
      </c>
      <c r="F350" t="b">
        <v>1</v>
      </c>
      <c r="G350" t="b">
        <v>0</v>
      </c>
      <c r="H350" t="s">
        <v>25</v>
      </c>
      <c r="I350" t="s">
        <v>63</v>
      </c>
      <c r="J350" t="s">
        <v>45</v>
      </c>
      <c r="K350" t="s">
        <v>37</v>
      </c>
      <c r="L350" t="s">
        <v>38</v>
      </c>
      <c r="M350" t="s">
        <v>28</v>
      </c>
      <c r="N350" t="s">
        <v>39</v>
      </c>
      <c r="O350" t="b">
        <v>1</v>
      </c>
      <c r="P350" t="b">
        <v>0</v>
      </c>
      <c r="Q350">
        <v>9.9</v>
      </c>
      <c r="R350" t="b">
        <v>0</v>
      </c>
      <c r="T350">
        <v>0</v>
      </c>
      <c r="U350">
        <v>87.26</v>
      </c>
      <c r="V350" t="b">
        <v>1</v>
      </c>
      <c r="W350" t="s">
        <v>58</v>
      </c>
    </row>
    <row r="351" spans="1:23" x14ac:dyDescent="0.25">
      <c r="A351" t="s">
        <v>23</v>
      </c>
      <c r="B351" t="s">
        <v>59</v>
      </c>
      <c r="C351">
        <v>92.66</v>
      </c>
      <c r="D351">
        <v>621</v>
      </c>
      <c r="E351" t="b">
        <v>1</v>
      </c>
      <c r="F351" t="b">
        <v>1</v>
      </c>
      <c r="G351" t="b">
        <v>1</v>
      </c>
      <c r="H351" t="s">
        <v>43</v>
      </c>
      <c r="I351" t="s">
        <v>63</v>
      </c>
      <c r="J351" t="s">
        <v>45</v>
      </c>
      <c r="K351" t="s">
        <v>28</v>
      </c>
      <c r="L351" t="s">
        <v>69</v>
      </c>
      <c r="M351" t="s">
        <v>46</v>
      </c>
      <c r="O351" t="b">
        <v>0</v>
      </c>
      <c r="P351" t="b">
        <v>0</v>
      </c>
      <c r="Q351">
        <v>9.6999999999999993</v>
      </c>
      <c r="R351" t="b">
        <v>0</v>
      </c>
      <c r="T351">
        <v>0</v>
      </c>
      <c r="U351">
        <v>85.98</v>
      </c>
      <c r="V351" t="b">
        <v>1</v>
      </c>
      <c r="W351" t="s">
        <v>58</v>
      </c>
    </row>
    <row r="352" spans="1:23" x14ac:dyDescent="0.25">
      <c r="A352" t="s">
        <v>32</v>
      </c>
      <c r="B352" t="s">
        <v>24</v>
      </c>
      <c r="C352">
        <v>87.81</v>
      </c>
      <c r="D352">
        <v>401</v>
      </c>
      <c r="E352" t="b">
        <v>1</v>
      </c>
      <c r="F352" t="b">
        <v>0</v>
      </c>
      <c r="G352" t="b">
        <v>0</v>
      </c>
      <c r="H352" t="s">
        <v>34</v>
      </c>
      <c r="I352" t="s">
        <v>67</v>
      </c>
      <c r="J352" t="s">
        <v>50</v>
      </c>
      <c r="K352" t="s">
        <v>46</v>
      </c>
      <c r="L352" t="s">
        <v>38</v>
      </c>
      <c r="M352" t="s">
        <v>28</v>
      </c>
      <c r="O352" t="b">
        <v>1</v>
      </c>
      <c r="P352" t="b">
        <v>1</v>
      </c>
      <c r="Q352">
        <v>10</v>
      </c>
      <c r="R352" t="b">
        <v>0</v>
      </c>
      <c r="T352">
        <v>0</v>
      </c>
      <c r="U352">
        <v>88.09</v>
      </c>
      <c r="V352" t="b">
        <v>1</v>
      </c>
      <c r="W352" t="s">
        <v>58</v>
      </c>
    </row>
    <row r="353" spans="1:23" x14ac:dyDescent="0.25">
      <c r="A353" t="s">
        <v>23</v>
      </c>
      <c r="B353" t="s">
        <v>33</v>
      </c>
      <c r="C353">
        <v>86.76</v>
      </c>
      <c r="D353">
        <v>707</v>
      </c>
      <c r="E353" t="b">
        <v>1</v>
      </c>
      <c r="F353" t="b">
        <v>0</v>
      </c>
      <c r="G353" t="b">
        <v>1</v>
      </c>
      <c r="H353" t="s">
        <v>43</v>
      </c>
      <c r="I353" t="s">
        <v>26</v>
      </c>
      <c r="J353" t="s">
        <v>54</v>
      </c>
      <c r="K353" t="s">
        <v>46</v>
      </c>
      <c r="L353" t="s">
        <v>69</v>
      </c>
      <c r="M353" t="s">
        <v>46</v>
      </c>
      <c r="N353" t="s">
        <v>46</v>
      </c>
      <c r="O353" t="b">
        <v>0</v>
      </c>
      <c r="P353" t="b">
        <v>0</v>
      </c>
      <c r="Q353">
        <v>10</v>
      </c>
      <c r="R353" t="b">
        <v>0</v>
      </c>
      <c r="T353">
        <v>0</v>
      </c>
      <c r="U353">
        <v>74.48</v>
      </c>
      <c r="V353" t="b">
        <v>0</v>
      </c>
      <c r="W353" t="s">
        <v>58</v>
      </c>
    </row>
    <row r="354" spans="1:23" x14ac:dyDescent="0.25">
      <c r="A354" t="s">
        <v>74</v>
      </c>
      <c r="B354" t="s">
        <v>33</v>
      </c>
      <c r="C354">
        <v>85.95</v>
      </c>
      <c r="D354">
        <v>750</v>
      </c>
      <c r="E354" t="b">
        <v>0</v>
      </c>
      <c r="F354" t="b">
        <v>0</v>
      </c>
      <c r="G354" t="b">
        <v>0</v>
      </c>
      <c r="H354" t="s">
        <v>43</v>
      </c>
      <c r="I354" t="s">
        <v>44</v>
      </c>
      <c r="J354" t="s">
        <v>50</v>
      </c>
      <c r="K354" t="s">
        <v>28</v>
      </c>
      <c r="L354" t="s">
        <v>51</v>
      </c>
      <c r="M354" t="s">
        <v>39</v>
      </c>
      <c r="N354" t="s">
        <v>39</v>
      </c>
      <c r="O354" t="b">
        <v>1</v>
      </c>
      <c r="P354" t="b">
        <v>1</v>
      </c>
      <c r="Q354">
        <v>9.6</v>
      </c>
      <c r="R354" t="b">
        <v>0</v>
      </c>
      <c r="T354">
        <v>0</v>
      </c>
      <c r="U354">
        <v>81.680000000000007</v>
      </c>
      <c r="V354" t="b">
        <v>1</v>
      </c>
      <c r="W354" t="s">
        <v>58</v>
      </c>
    </row>
    <row r="355" spans="1:23" x14ac:dyDescent="0.25">
      <c r="A355" t="s">
        <v>68</v>
      </c>
      <c r="B355" t="s">
        <v>73</v>
      </c>
      <c r="C355">
        <v>61.69</v>
      </c>
      <c r="D355">
        <v>411</v>
      </c>
      <c r="E355" t="b">
        <v>1</v>
      </c>
      <c r="F355" t="b">
        <v>1</v>
      </c>
      <c r="G355" t="b">
        <v>1</v>
      </c>
      <c r="H355" t="s">
        <v>53</v>
      </c>
      <c r="I355" t="s">
        <v>57</v>
      </c>
      <c r="J355" t="s">
        <v>50</v>
      </c>
      <c r="K355" t="s">
        <v>28</v>
      </c>
      <c r="L355" t="s">
        <v>29</v>
      </c>
      <c r="M355" t="s">
        <v>46</v>
      </c>
      <c r="O355" t="b">
        <v>0</v>
      </c>
      <c r="P355" t="b">
        <v>1</v>
      </c>
      <c r="Q355">
        <v>6.7</v>
      </c>
      <c r="R355" t="b">
        <v>1</v>
      </c>
      <c r="S355" t="s">
        <v>52</v>
      </c>
      <c r="T355">
        <v>24.1</v>
      </c>
      <c r="U355">
        <v>48.87</v>
      </c>
      <c r="V355" t="b">
        <v>1</v>
      </c>
      <c r="W355" t="s">
        <v>41</v>
      </c>
    </row>
    <row r="356" spans="1:23" x14ac:dyDescent="0.25">
      <c r="A356" t="s">
        <v>23</v>
      </c>
      <c r="B356" t="s">
        <v>73</v>
      </c>
      <c r="C356">
        <v>69.98</v>
      </c>
      <c r="D356">
        <v>298</v>
      </c>
      <c r="E356" t="b">
        <v>1</v>
      </c>
      <c r="F356" t="b">
        <v>0</v>
      </c>
      <c r="G356" t="b">
        <v>1</v>
      </c>
      <c r="H356" t="s">
        <v>25</v>
      </c>
      <c r="I356" t="s">
        <v>35</v>
      </c>
      <c r="J356" t="s">
        <v>54</v>
      </c>
      <c r="K356" t="s">
        <v>37</v>
      </c>
      <c r="L356" t="s">
        <v>38</v>
      </c>
      <c r="M356" t="s">
        <v>39</v>
      </c>
      <c r="N356" t="s">
        <v>28</v>
      </c>
      <c r="O356" t="b">
        <v>0</v>
      </c>
      <c r="P356" t="b">
        <v>1</v>
      </c>
      <c r="Q356">
        <v>6.7</v>
      </c>
      <c r="R356" t="b">
        <v>1</v>
      </c>
      <c r="S356" t="s">
        <v>55</v>
      </c>
      <c r="T356">
        <v>37.9</v>
      </c>
      <c r="U356">
        <v>64.989999999999995</v>
      </c>
      <c r="V356" t="b">
        <v>1</v>
      </c>
      <c r="W356" t="s">
        <v>41</v>
      </c>
    </row>
    <row r="357" spans="1:23" x14ac:dyDescent="0.25">
      <c r="A357" t="s">
        <v>74</v>
      </c>
      <c r="B357" t="s">
        <v>60</v>
      </c>
      <c r="C357">
        <v>46.04</v>
      </c>
      <c r="D357">
        <v>513</v>
      </c>
      <c r="E357" t="b">
        <v>0</v>
      </c>
      <c r="F357" t="b">
        <v>0</v>
      </c>
      <c r="G357" t="b">
        <v>1</v>
      </c>
      <c r="H357" t="s">
        <v>25</v>
      </c>
      <c r="I357" t="s">
        <v>26</v>
      </c>
      <c r="J357" t="s">
        <v>27</v>
      </c>
      <c r="K357" t="s">
        <v>37</v>
      </c>
      <c r="L357" t="s">
        <v>51</v>
      </c>
      <c r="M357" t="s">
        <v>28</v>
      </c>
      <c r="N357" t="s">
        <v>39</v>
      </c>
      <c r="P357" t="b">
        <v>1</v>
      </c>
      <c r="Q357">
        <v>5.0999999999999996</v>
      </c>
      <c r="R357" t="b">
        <v>0</v>
      </c>
      <c r="T357">
        <v>0</v>
      </c>
      <c r="U357">
        <v>50.97</v>
      </c>
      <c r="V357" t="b">
        <v>1</v>
      </c>
      <c r="W357" t="s">
        <v>41</v>
      </c>
    </row>
    <row r="358" spans="1:23" x14ac:dyDescent="0.25">
      <c r="A358" t="s">
        <v>23</v>
      </c>
      <c r="B358" t="s">
        <v>33</v>
      </c>
      <c r="C358">
        <v>83.28</v>
      </c>
      <c r="D358">
        <v>157</v>
      </c>
      <c r="E358" t="b">
        <v>0</v>
      </c>
      <c r="F358" t="b">
        <v>1</v>
      </c>
      <c r="G358" t="b">
        <v>1</v>
      </c>
      <c r="H358" t="s">
        <v>34</v>
      </c>
      <c r="I358" t="s">
        <v>57</v>
      </c>
      <c r="J358" t="s">
        <v>27</v>
      </c>
      <c r="K358" t="s">
        <v>28</v>
      </c>
      <c r="L358" t="s">
        <v>37</v>
      </c>
      <c r="M358" t="s">
        <v>39</v>
      </c>
      <c r="N358" t="s">
        <v>28</v>
      </c>
      <c r="P358" t="b">
        <v>1</v>
      </c>
      <c r="Q358">
        <v>7.6</v>
      </c>
      <c r="R358" t="b">
        <v>1</v>
      </c>
      <c r="S358" t="s">
        <v>75</v>
      </c>
      <c r="T358">
        <v>40.5</v>
      </c>
      <c r="U358">
        <v>71.92</v>
      </c>
      <c r="V358" t="b">
        <v>1</v>
      </c>
      <c r="W358" t="s">
        <v>41</v>
      </c>
    </row>
    <row r="359" spans="1:23" x14ac:dyDescent="0.25">
      <c r="A359" t="s">
        <v>61</v>
      </c>
      <c r="B359" t="s">
        <v>62</v>
      </c>
      <c r="C359">
        <v>56.84</v>
      </c>
      <c r="D359">
        <v>127</v>
      </c>
      <c r="E359" t="b">
        <v>0</v>
      </c>
      <c r="F359" t="b">
        <v>0</v>
      </c>
      <c r="G359" t="b">
        <v>1</v>
      </c>
      <c r="H359" t="s">
        <v>34</v>
      </c>
      <c r="I359" t="s">
        <v>57</v>
      </c>
      <c r="J359" t="s">
        <v>27</v>
      </c>
      <c r="K359" t="s">
        <v>28</v>
      </c>
      <c r="L359" t="s">
        <v>51</v>
      </c>
      <c r="M359" t="s">
        <v>46</v>
      </c>
      <c r="N359" t="s">
        <v>46</v>
      </c>
      <c r="O359" t="b">
        <v>1</v>
      </c>
      <c r="P359" t="b">
        <v>0</v>
      </c>
      <c r="Q359">
        <v>8.3000000000000007</v>
      </c>
      <c r="R359" t="b">
        <v>1</v>
      </c>
      <c r="S359" t="s">
        <v>65</v>
      </c>
      <c r="T359">
        <v>34</v>
      </c>
      <c r="U359">
        <v>43.79</v>
      </c>
      <c r="V359" t="b">
        <v>0</v>
      </c>
      <c r="W359" t="s">
        <v>31</v>
      </c>
    </row>
    <row r="360" spans="1:23" x14ac:dyDescent="0.25">
      <c r="A360" t="s">
        <v>68</v>
      </c>
      <c r="B360" t="s">
        <v>71</v>
      </c>
      <c r="C360">
        <v>48.63</v>
      </c>
      <c r="D360">
        <v>417</v>
      </c>
      <c r="E360" t="b">
        <v>1</v>
      </c>
      <c r="F360" t="b">
        <v>0</v>
      </c>
      <c r="G360" t="b">
        <v>1</v>
      </c>
      <c r="H360" t="s">
        <v>34</v>
      </c>
      <c r="I360" t="s">
        <v>44</v>
      </c>
      <c r="J360" t="s">
        <v>45</v>
      </c>
      <c r="K360" t="s">
        <v>28</v>
      </c>
      <c r="L360" t="s">
        <v>69</v>
      </c>
      <c r="M360" t="s">
        <v>28</v>
      </c>
      <c r="N360" t="s">
        <v>28</v>
      </c>
      <c r="O360" t="b">
        <v>0</v>
      </c>
      <c r="P360" t="b">
        <v>0</v>
      </c>
      <c r="Q360">
        <v>7.2</v>
      </c>
      <c r="R360" t="b">
        <v>0</v>
      </c>
      <c r="T360">
        <v>0</v>
      </c>
      <c r="U360">
        <v>29.53</v>
      </c>
      <c r="V360" t="b">
        <v>0</v>
      </c>
      <c r="W360" t="s">
        <v>31</v>
      </c>
    </row>
    <row r="361" spans="1:23" x14ac:dyDescent="0.25">
      <c r="A361" t="s">
        <v>68</v>
      </c>
      <c r="B361" t="s">
        <v>33</v>
      </c>
      <c r="C361">
        <v>89.42</v>
      </c>
      <c r="D361">
        <v>279</v>
      </c>
      <c r="E361" t="b">
        <v>0</v>
      </c>
      <c r="F361" t="b">
        <v>0</v>
      </c>
      <c r="G361" t="b">
        <v>1</v>
      </c>
      <c r="H361" t="s">
        <v>43</v>
      </c>
      <c r="I361" t="s">
        <v>35</v>
      </c>
      <c r="J361" t="s">
        <v>54</v>
      </c>
      <c r="K361" t="s">
        <v>39</v>
      </c>
      <c r="L361" t="s">
        <v>29</v>
      </c>
      <c r="M361" t="s">
        <v>46</v>
      </c>
      <c r="N361" t="s">
        <v>46</v>
      </c>
      <c r="O361" t="b">
        <v>0</v>
      </c>
      <c r="P361" t="b">
        <v>1</v>
      </c>
      <c r="Q361">
        <v>8.4</v>
      </c>
      <c r="R361" t="b">
        <v>0</v>
      </c>
      <c r="T361">
        <v>0</v>
      </c>
      <c r="U361">
        <v>84.86</v>
      </c>
      <c r="V361" t="b">
        <v>1</v>
      </c>
      <c r="W361" t="s">
        <v>58</v>
      </c>
    </row>
    <row r="362" spans="1:23" x14ac:dyDescent="0.25">
      <c r="A362" t="s">
        <v>23</v>
      </c>
      <c r="B362" t="s">
        <v>62</v>
      </c>
      <c r="C362">
        <v>74.66</v>
      </c>
      <c r="D362">
        <v>579</v>
      </c>
      <c r="E362" t="b">
        <v>0</v>
      </c>
      <c r="F362" t="b">
        <v>0</v>
      </c>
      <c r="G362" t="b">
        <v>1</v>
      </c>
      <c r="H362" t="s">
        <v>25</v>
      </c>
      <c r="I362" t="s">
        <v>67</v>
      </c>
      <c r="J362" t="s">
        <v>36</v>
      </c>
      <c r="K362" t="s">
        <v>46</v>
      </c>
      <c r="L362" t="s">
        <v>69</v>
      </c>
      <c r="M362" t="s">
        <v>28</v>
      </c>
      <c r="P362" t="b">
        <v>0</v>
      </c>
      <c r="Q362">
        <v>9.1</v>
      </c>
      <c r="R362" t="b">
        <v>1</v>
      </c>
      <c r="S362" t="s">
        <v>55</v>
      </c>
      <c r="T362">
        <v>29.1</v>
      </c>
      <c r="U362">
        <v>83.64</v>
      </c>
      <c r="V362" t="b">
        <v>1</v>
      </c>
      <c r="W362" t="s">
        <v>31</v>
      </c>
    </row>
    <row r="363" spans="1:23" x14ac:dyDescent="0.25">
      <c r="A363" t="s">
        <v>32</v>
      </c>
      <c r="B363" t="s">
        <v>73</v>
      </c>
      <c r="C363">
        <v>45.19</v>
      </c>
      <c r="D363">
        <v>586</v>
      </c>
      <c r="E363" t="b">
        <v>1</v>
      </c>
      <c r="F363" t="b">
        <v>1</v>
      </c>
      <c r="G363" t="b">
        <v>1</v>
      </c>
      <c r="H363" t="s">
        <v>53</v>
      </c>
      <c r="I363" t="s">
        <v>44</v>
      </c>
      <c r="J363" t="s">
        <v>54</v>
      </c>
      <c r="K363" t="s">
        <v>28</v>
      </c>
      <c r="L363" t="s">
        <v>37</v>
      </c>
      <c r="M363" t="s">
        <v>46</v>
      </c>
      <c r="O363" t="b">
        <v>1</v>
      </c>
      <c r="P363" t="b">
        <v>0</v>
      </c>
      <c r="Q363">
        <v>7.6</v>
      </c>
      <c r="R363" t="b">
        <v>1</v>
      </c>
      <c r="S363" t="s">
        <v>30</v>
      </c>
      <c r="T363">
        <v>44.1</v>
      </c>
      <c r="U363">
        <v>41.67</v>
      </c>
      <c r="V363" t="b">
        <v>0</v>
      </c>
      <c r="W363" t="s">
        <v>41</v>
      </c>
    </row>
    <row r="364" spans="1:23" x14ac:dyDescent="0.25">
      <c r="A364" t="s">
        <v>32</v>
      </c>
      <c r="B364" t="s">
        <v>62</v>
      </c>
      <c r="C364">
        <v>74.73</v>
      </c>
      <c r="D364">
        <v>325</v>
      </c>
      <c r="E364" t="b">
        <v>0</v>
      </c>
      <c r="F364" t="b">
        <v>0</v>
      </c>
      <c r="G364" t="b">
        <v>1</v>
      </c>
      <c r="H364" t="s">
        <v>34</v>
      </c>
      <c r="I364" t="s">
        <v>67</v>
      </c>
      <c r="J364" t="s">
        <v>36</v>
      </c>
      <c r="K364" t="s">
        <v>37</v>
      </c>
      <c r="L364" t="s">
        <v>37</v>
      </c>
      <c r="M364" t="s">
        <v>47</v>
      </c>
      <c r="N364" t="s">
        <v>28</v>
      </c>
      <c r="O364" t="b">
        <v>0</v>
      </c>
      <c r="P364" t="b">
        <v>0</v>
      </c>
      <c r="Q364">
        <v>5.2</v>
      </c>
      <c r="R364" t="b">
        <v>1</v>
      </c>
      <c r="S364" t="s">
        <v>48</v>
      </c>
      <c r="T364">
        <v>10.199999999999999</v>
      </c>
      <c r="U364">
        <v>77.760000000000005</v>
      </c>
      <c r="V364" t="b">
        <v>0</v>
      </c>
      <c r="W364" t="s">
        <v>41</v>
      </c>
    </row>
    <row r="365" spans="1:23" x14ac:dyDescent="0.25">
      <c r="A365" t="s">
        <v>32</v>
      </c>
      <c r="B365" t="s">
        <v>73</v>
      </c>
      <c r="C365">
        <v>47.95</v>
      </c>
      <c r="D365">
        <v>442</v>
      </c>
      <c r="E365" t="b">
        <v>1</v>
      </c>
      <c r="F365" t="b">
        <v>1</v>
      </c>
      <c r="G365" t="b">
        <v>1</v>
      </c>
      <c r="H365" t="s">
        <v>25</v>
      </c>
      <c r="I365" t="s">
        <v>35</v>
      </c>
      <c r="J365" t="s">
        <v>45</v>
      </c>
      <c r="K365" t="s">
        <v>39</v>
      </c>
      <c r="L365" t="s">
        <v>38</v>
      </c>
      <c r="M365" t="s">
        <v>46</v>
      </c>
      <c r="N365" t="s">
        <v>46</v>
      </c>
      <c r="P365" t="b">
        <v>0</v>
      </c>
      <c r="Q365">
        <v>5.6</v>
      </c>
      <c r="R365" t="b">
        <v>1</v>
      </c>
      <c r="S365" t="s">
        <v>48</v>
      </c>
      <c r="T365">
        <v>3.3</v>
      </c>
      <c r="U365">
        <v>57.92</v>
      </c>
      <c r="V365" t="b">
        <v>1</v>
      </c>
      <c r="W365" t="s">
        <v>41</v>
      </c>
    </row>
    <row r="366" spans="1:23" x14ac:dyDescent="0.25">
      <c r="A366" t="s">
        <v>56</v>
      </c>
      <c r="B366" t="s">
        <v>76</v>
      </c>
      <c r="C366">
        <v>77.569999999999993</v>
      </c>
      <c r="D366">
        <v>761</v>
      </c>
      <c r="E366" t="b">
        <v>0</v>
      </c>
      <c r="F366" t="b">
        <v>1</v>
      </c>
      <c r="G366" t="b">
        <v>1</v>
      </c>
      <c r="H366" t="s">
        <v>43</v>
      </c>
      <c r="I366" t="s">
        <v>67</v>
      </c>
      <c r="J366" t="s">
        <v>50</v>
      </c>
      <c r="K366" t="s">
        <v>37</v>
      </c>
      <c r="L366" t="s">
        <v>29</v>
      </c>
      <c r="M366" t="s">
        <v>46</v>
      </c>
      <c r="N366" t="s">
        <v>46</v>
      </c>
      <c r="P366" t="b">
        <v>1</v>
      </c>
      <c r="Q366">
        <v>7.1</v>
      </c>
      <c r="R366" t="b">
        <v>0</v>
      </c>
      <c r="T366">
        <v>0</v>
      </c>
      <c r="U366">
        <v>66.849999999999994</v>
      </c>
      <c r="V366" t="b">
        <v>1</v>
      </c>
      <c r="W366" t="s">
        <v>31</v>
      </c>
    </row>
    <row r="367" spans="1:23" x14ac:dyDescent="0.25">
      <c r="A367" t="s">
        <v>23</v>
      </c>
      <c r="B367" t="s">
        <v>60</v>
      </c>
      <c r="C367">
        <v>62.73</v>
      </c>
      <c r="D367">
        <v>716</v>
      </c>
      <c r="E367" t="b">
        <v>0</v>
      </c>
      <c r="F367" t="b">
        <v>0</v>
      </c>
      <c r="G367" t="b">
        <v>1</v>
      </c>
      <c r="H367" t="s">
        <v>53</v>
      </c>
      <c r="I367" t="s">
        <v>44</v>
      </c>
      <c r="J367" t="s">
        <v>27</v>
      </c>
      <c r="K367" t="s">
        <v>37</v>
      </c>
      <c r="L367" t="s">
        <v>29</v>
      </c>
      <c r="M367" t="s">
        <v>39</v>
      </c>
      <c r="N367" t="s">
        <v>46</v>
      </c>
      <c r="O367" t="b">
        <v>0</v>
      </c>
      <c r="P367" t="b">
        <v>0</v>
      </c>
      <c r="Q367">
        <v>5.2</v>
      </c>
      <c r="R367" t="b">
        <v>1</v>
      </c>
      <c r="S367" t="s">
        <v>75</v>
      </c>
      <c r="T367">
        <v>23.7</v>
      </c>
      <c r="U367">
        <v>76.41</v>
      </c>
      <c r="V367" t="b">
        <v>0</v>
      </c>
      <c r="W367" t="s">
        <v>41</v>
      </c>
    </row>
    <row r="368" spans="1:23" x14ac:dyDescent="0.25">
      <c r="A368" t="s">
        <v>74</v>
      </c>
      <c r="B368" t="s">
        <v>70</v>
      </c>
      <c r="C368">
        <v>74.739999999999995</v>
      </c>
      <c r="D368">
        <v>470</v>
      </c>
      <c r="E368" t="b">
        <v>0</v>
      </c>
      <c r="F368" t="b">
        <v>1</v>
      </c>
      <c r="G368" t="b">
        <v>0</v>
      </c>
      <c r="H368" t="s">
        <v>25</v>
      </c>
      <c r="I368" t="s">
        <v>35</v>
      </c>
      <c r="J368" t="s">
        <v>27</v>
      </c>
      <c r="K368" t="s">
        <v>46</v>
      </c>
      <c r="L368" t="s">
        <v>51</v>
      </c>
      <c r="M368" t="s">
        <v>39</v>
      </c>
      <c r="N368" t="s">
        <v>39</v>
      </c>
      <c r="O368" t="b">
        <v>1</v>
      </c>
      <c r="P368" t="b">
        <v>1</v>
      </c>
      <c r="Q368">
        <v>8.1999999999999993</v>
      </c>
      <c r="R368" t="b">
        <v>0</v>
      </c>
      <c r="T368">
        <v>0</v>
      </c>
      <c r="U368">
        <v>70.489999999999995</v>
      </c>
      <c r="V368" t="b">
        <v>1</v>
      </c>
      <c r="W368" t="s">
        <v>58</v>
      </c>
    </row>
    <row r="369" spans="1:23" x14ac:dyDescent="0.25">
      <c r="A369" t="s">
        <v>74</v>
      </c>
      <c r="B369" t="s">
        <v>42</v>
      </c>
      <c r="C369">
        <v>79.430000000000007</v>
      </c>
      <c r="D369">
        <v>543</v>
      </c>
      <c r="E369" t="b">
        <v>0</v>
      </c>
      <c r="F369" t="b">
        <v>0</v>
      </c>
      <c r="G369" t="b">
        <v>1</v>
      </c>
      <c r="H369" t="s">
        <v>25</v>
      </c>
      <c r="I369" t="s">
        <v>44</v>
      </c>
      <c r="J369" t="s">
        <v>36</v>
      </c>
      <c r="K369" t="s">
        <v>46</v>
      </c>
      <c r="L369" t="s">
        <v>29</v>
      </c>
      <c r="M369" t="s">
        <v>28</v>
      </c>
      <c r="N369" t="s">
        <v>28</v>
      </c>
      <c r="O369" t="b">
        <v>1</v>
      </c>
      <c r="P369" t="b">
        <v>0</v>
      </c>
      <c r="Q369">
        <v>10</v>
      </c>
      <c r="R369" t="b">
        <v>1</v>
      </c>
      <c r="S369" t="s">
        <v>65</v>
      </c>
      <c r="T369">
        <v>29.1</v>
      </c>
      <c r="U369">
        <v>90.1</v>
      </c>
      <c r="V369" t="b">
        <v>1</v>
      </c>
      <c r="W369" t="s">
        <v>31</v>
      </c>
    </row>
    <row r="370" spans="1:23" x14ac:dyDescent="0.25">
      <c r="A370" t="s">
        <v>74</v>
      </c>
      <c r="B370" t="s">
        <v>24</v>
      </c>
      <c r="C370">
        <v>96.38</v>
      </c>
      <c r="D370">
        <v>670</v>
      </c>
      <c r="E370" t="b">
        <v>0</v>
      </c>
      <c r="F370" t="b">
        <v>0</v>
      </c>
      <c r="G370" t="b">
        <v>0</v>
      </c>
      <c r="H370" t="s">
        <v>53</v>
      </c>
      <c r="I370" t="s">
        <v>67</v>
      </c>
      <c r="J370" t="s">
        <v>54</v>
      </c>
      <c r="K370" t="s">
        <v>39</v>
      </c>
      <c r="L370" t="s">
        <v>69</v>
      </c>
      <c r="M370" t="s">
        <v>39</v>
      </c>
      <c r="N370" t="s">
        <v>46</v>
      </c>
      <c r="O370" t="b">
        <v>0</v>
      </c>
      <c r="P370" t="b">
        <v>1</v>
      </c>
      <c r="Q370">
        <v>8.8000000000000007</v>
      </c>
      <c r="R370" t="b">
        <v>1</v>
      </c>
      <c r="S370" t="s">
        <v>48</v>
      </c>
      <c r="T370">
        <v>41</v>
      </c>
      <c r="U370">
        <v>100</v>
      </c>
      <c r="V370" t="b">
        <v>1</v>
      </c>
      <c r="W370" t="s">
        <v>31</v>
      </c>
    </row>
    <row r="371" spans="1:23" x14ac:dyDescent="0.25">
      <c r="A371" t="s">
        <v>74</v>
      </c>
      <c r="B371" t="s">
        <v>70</v>
      </c>
      <c r="C371">
        <v>74.7</v>
      </c>
      <c r="D371">
        <v>194</v>
      </c>
      <c r="E371" t="b">
        <v>1</v>
      </c>
      <c r="F371" t="b">
        <v>0</v>
      </c>
      <c r="G371" t="b">
        <v>1</v>
      </c>
      <c r="H371" t="s">
        <v>34</v>
      </c>
      <c r="I371" t="s">
        <v>57</v>
      </c>
      <c r="J371" t="s">
        <v>36</v>
      </c>
      <c r="K371" t="s">
        <v>39</v>
      </c>
      <c r="L371" t="s">
        <v>38</v>
      </c>
      <c r="M371" t="s">
        <v>47</v>
      </c>
      <c r="P371" t="b">
        <v>0</v>
      </c>
      <c r="Q371">
        <v>8</v>
      </c>
      <c r="R371" t="b">
        <v>1</v>
      </c>
      <c r="S371" t="s">
        <v>65</v>
      </c>
      <c r="T371">
        <v>13.5</v>
      </c>
      <c r="U371">
        <v>74.760000000000005</v>
      </c>
      <c r="V371" t="b">
        <v>1</v>
      </c>
      <c r="W371" t="s">
        <v>31</v>
      </c>
    </row>
    <row r="372" spans="1:23" x14ac:dyDescent="0.25">
      <c r="A372" t="s">
        <v>32</v>
      </c>
      <c r="B372" t="s">
        <v>70</v>
      </c>
      <c r="C372">
        <v>80.400000000000006</v>
      </c>
      <c r="D372">
        <v>313</v>
      </c>
      <c r="E372" t="b">
        <v>1</v>
      </c>
      <c r="F372" t="b">
        <v>1</v>
      </c>
      <c r="G372" t="b">
        <v>1</v>
      </c>
      <c r="H372" t="s">
        <v>43</v>
      </c>
      <c r="I372" t="s">
        <v>67</v>
      </c>
      <c r="J372" t="s">
        <v>50</v>
      </c>
      <c r="K372" t="s">
        <v>28</v>
      </c>
      <c r="L372" t="s">
        <v>29</v>
      </c>
      <c r="M372" t="s">
        <v>39</v>
      </c>
      <c r="N372" t="s">
        <v>39</v>
      </c>
      <c r="P372" t="b">
        <v>0</v>
      </c>
      <c r="Q372">
        <v>8.8000000000000007</v>
      </c>
      <c r="R372" t="b">
        <v>1</v>
      </c>
      <c r="S372" t="s">
        <v>40</v>
      </c>
      <c r="T372">
        <v>19.5</v>
      </c>
      <c r="U372">
        <v>65.8</v>
      </c>
      <c r="V372" t="b">
        <v>0</v>
      </c>
      <c r="W372" t="s">
        <v>31</v>
      </c>
    </row>
    <row r="373" spans="1:23" x14ac:dyDescent="0.25">
      <c r="A373" t="s">
        <v>23</v>
      </c>
      <c r="B373" t="s">
        <v>76</v>
      </c>
      <c r="C373">
        <v>75.05</v>
      </c>
      <c r="D373">
        <v>173</v>
      </c>
      <c r="E373" t="b">
        <v>1</v>
      </c>
      <c r="F373" t="b">
        <v>0</v>
      </c>
      <c r="G373" t="b">
        <v>1</v>
      </c>
      <c r="H373" t="s">
        <v>25</v>
      </c>
      <c r="I373" t="s">
        <v>35</v>
      </c>
      <c r="J373" t="s">
        <v>27</v>
      </c>
      <c r="K373" t="s">
        <v>39</v>
      </c>
      <c r="L373" t="s">
        <v>69</v>
      </c>
      <c r="M373" t="s">
        <v>28</v>
      </c>
      <c r="N373" t="s">
        <v>46</v>
      </c>
      <c r="P373" t="b">
        <v>0</v>
      </c>
      <c r="Q373">
        <v>9.6</v>
      </c>
      <c r="R373" t="b">
        <v>0</v>
      </c>
      <c r="T373">
        <v>0</v>
      </c>
      <c r="U373">
        <v>88.77</v>
      </c>
      <c r="V373" t="b">
        <v>1</v>
      </c>
      <c r="W373" t="s">
        <v>58</v>
      </c>
    </row>
    <row r="374" spans="1:23" x14ac:dyDescent="0.25">
      <c r="A374" t="s">
        <v>61</v>
      </c>
      <c r="B374" t="s">
        <v>62</v>
      </c>
      <c r="C374">
        <v>67.83</v>
      </c>
      <c r="D374">
        <v>423</v>
      </c>
      <c r="E374" t="b">
        <v>0</v>
      </c>
      <c r="F374" t="b">
        <v>1</v>
      </c>
      <c r="G374" t="b">
        <v>1</v>
      </c>
      <c r="H374" t="s">
        <v>25</v>
      </c>
      <c r="I374" t="s">
        <v>57</v>
      </c>
      <c r="J374" t="s">
        <v>54</v>
      </c>
      <c r="K374" t="s">
        <v>39</v>
      </c>
      <c r="L374" t="s">
        <v>29</v>
      </c>
      <c r="M374" t="s">
        <v>47</v>
      </c>
      <c r="N374" t="s">
        <v>46</v>
      </c>
      <c r="O374" t="b">
        <v>0</v>
      </c>
      <c r="P374" t="b">
        <v>1</v>
      </c>
      <c r="Q374">
        <v>4.4000000000000004</v>
      </c>
      <c r="R374" t="b">
        <v>1</v>
      </c>
      <c r="S374" t="s">
        <v>48</v>
      </c>
      <c r="T374">
        <v>25.8</v>
      </c>
      <c r="U374">
        <v>72.56</v>
      </c>
      <c r="V374" t="b">
        <v>0</v>
      </c>
      <c r="W374" t="s">
        <v>72</v>
      </c>
    </row>
    <row r="375" spans="1:23" x14ac:dyDescent="0.25">
      <c r="A375" t="s">
        <v>56</v>
      </c>
      <c r="B375" t="s">
        <v>73</v>
      </c>
      <c r="C375">
        <v>54.51</v>
      </c>
      <c r="D375">
        <v>784</v>
      </c>
      <c r="E375" t="b">
        <v>1</v>
      </c>
      <c r="F375" t="b">
        <v>0</v>
      </c>
      <c r="G375" t="b">
        <v>1</v>
      </c>
      <c r="H375" t="s">
        <v>34</v>
      </c>
      <c r="I375" t="s">
        <v>57</v>
      </c>
      <c r="J375" t="s">
        <v>45</v>
      </c>
      <c r="K375" t="s">
        <v>28</v>
      </c>
      <c r="L375" t="s">
        <v>29</v>
      </c>
      <c r="M375" t="s">
        <v>28</v>
      </c>
      <c r="O375" t="b">
        <v>1</v>
      </c>
      <c r="P375" t="b">
        <v>1</v>
      </c>
      <c r="Q375">
        <v>9.5</v>
      </c>
      <c r="R375" t="b">
        <v>1</v>
      </c>
      <c r="S375" t="s">
        <v>64</v>
      </c>
      <c r="T375">
        <v>10.199999999999999</v>
      </c>
      <c r="U375">
        <v>46.58</v>
      </c>
      <c r="V375" t="b">
        <v>0</v>
      </c>
      <c r="W375" t="s">
        <v>31</v>
      </c>
    </row>
    <row r="376" spans="1:23" x14ac:dyDescent="0.25">
      <c r="A376" t="s">
        <v>56</v>
      </c>
      <c r="B376" t="s">
        <v>73</v>
      </c>
      <c r="C376">
        <v>54.19</v>
      </c>
      <c r="D376">
        <v>176</v>
      </c>
      <c r="E376" t="b">
        <v>0</v>
      </c>
      <c r="F376" t="b">
        <v>1</v>
      </c>
      <c r="G376" t="b">
        <v>0</v>
      </c>
      <c r="H376" t="s">
        <v>43</v>
      </c>
      <c r="I376" t="s">
        <v>63</v>
      </c>
      <c r="J376" t="s">
        <v>50</v>
      </c>
      <c r="K376" t="s">
        <v>28</v>
      </c>
      <c r="L376" t="s">
        <v>38</v>
      </c>
      <c r="M376" t="s">
        <v>28</v>
      </c>
      <c r="N376" t="s">
        <v>28</v>
      </c>
      <c r="O376" t="b">
        <v>0</v>
      </c>
      <c r="P376" t="b">
        <v>0</v>
      </c>
      <c r="Q376">
        <v>6.1</v>
      </c>
      <c r="R376" t="b">
        <v>1</v>
      </c>
      <c r="S376" t="s">
        <v>30</v>
      </c>
      <c r="T376">
        <v>29.4</v>
      </c>
      <c r="U376">
        <v>58.57</v>
      </c>
      <c r="V376" t="b">
        <v>1</v>
      </c>
      <c r="W376" t="s">
        <v>41</v>
      </c>
    </row>
    <row r="377" spans="1:23" x14ac:dyDescent="0.25">
      <c r="A377" t="s">
        <v>56</v>
      </c>
      <c r="B377" t="s">
        <v>60</v>
      </c>
      <c r="C377">
        <v>40.520000000000003</v>
      </c>
      <c r="D377">
        <v>65</v>
      </c>
      <c r="E377" t="b">
        <v>1</v>
      </c>
      <c r="F377" t="b">
        <v>0</v>
      </c>
      <c r="G377" t="b">
        <v>0</v>
      </c>
      <c r="H377" t="s">
        <v>53</v>
      </c>
      <c r="I377" t="s">
        <v>35</v>
      </c>
      <c r="J377" t="s">
        <v>36</v>
      </c>
      <c r="K377" t="s">
        <v>39</v>
      </c>
      <c r="L377" t="s">
        <v>38</v>
      </c>
      <c r="M377" t="s">
        <v>28</v>
      </c>
      <c r="N377" t="s">
        <v>46</v>
      </c>
      <c r="O377" t="b">
        <v>1</v>
      </c>
      <c r="P377" t="b">
        <v>1</v>
      </c>
      <c r="Q377">
        <v>8.9</v>
      </c>
      <c r="R377" t="b">
        <v>1</v>
      </c>
      <c r="S377" t="s">
        <v>55</v>
      </c>
      <c r="T377">
        <v>31.2</v>
      </c>
      <c r="U377">
        <v>34.380000000000003</v>
      </c>
      <c r="V377" t="b">
        <v>0</v>
      </c>
      <c r="W377" t="s">
        <v>31</v>
      </c>
    </row>
    <row r="378" spans="1:23" x14ac:dyDescent="0.25">
      <c r="A378" t="s">
        <v>23</v>
      </c>
      <c r="B378" t="s">
        <v>24</v>
      </c>
      <c r="C378">
        <v>91.75</v>
      </c>
      <c r="D378">
        <v>200</v>
      </c>
      <c r="E378" t="b">
        <v>1</v>
      </c>
      <c r="F378" t="b">
        <v>1</v>
      </c>
      <c r="G378" t="b">
        <v>0</v>
      </c>
      <c r="H378" t="s">
        <v>43</v>
      </c>
      <c r="I378" t="s">
        <v>44</v>
      </c>
      <c r="J378" t="s">
        <v>36</v>
      </c>
      <c r="K378" t="s">
        <v>37</v>
      </c>
      <c r="L378" t="s">
        <v>69</v>
      </c>
      <c r="M378" t="s">
        <v>47</v>
      </c>
      <c r="N378" t="s">
        <v>39</v>
      </c>
      <c r="O378" t="b">
        <v>1</v>
      </c>
      <c r="P378" t="b">
        <v>1</v>
      </c>
      <c r="Q378">
        <v>10</v>
      </c>
      <c r="R378" t="b">
        <v>1</v>
      </c>
      <c r="S378" t="s">
        <v>64</v>
      </c>
      <c r="T378">
        <v>34.9</v>
      </c>
      <c r="U378">
        <v>100</v>
      </c>
      <c r="V378" t="b">
        <v>1</v>
      </c>
      <c r="W378" t="s">
        <v>31</v>
      </c>
    </row>
    <row r="379" spans="1:23" x14ac:dyDescent="0.25">
      <c r="A379" t="s">
        <v>56</v>
      </c>
      <c r="B379" t="s">
        <v>42</v>
      </c>
      <c r="C379">
        <v>81.03</v>
      </c>
      <c r="D379">
        <v>641</v>
      </c>
      <c r="E379" t="b">
        <v>1</v>
      </c>
      <c r="F379" t="b">
        <v>1</v>
      </c>
      <c r="G379" t="b">
        <v>0</v>
      </c>
      <c r="H379" t="s">
        <v>25</v>
      </c>
      <c r="I379" t="s">
        <v>44</v>
      </c>
      <c r="J379" t="s">
        <v>45</v>
      </c>
      <c r="K379" t="s">
        <v>39</v>
      </c>
      <c r="L379" t="s">
        <v>38</v>
      </c>
      <c r="M379" t="s">
        <v>47</v>
      </c>
      <c r="N379" t="s">
        <v>46</v>
      </c>
      <c r="O379" t="b">
        <v>0</v>
      </c>
      <c r="P379" t="b">
        <v>0</v>
      </c>
      <c r="Q379">
        <v>7.5</v>
      </c>
      <c r="R379" t="b">
        <v>1</v>
      </c>
      <c r="S379" t="s">
        <v>52</v>
      </c>
      <c r="T379">
        <v>30.5</v>
      </c>
      <c r="U379">
        <v>72.08</v>
      </c>
      <c r="V379" t="b">
        <v>1</v>
      </c>
      <c r="W379" t="s">
        <v>41</v>
      </c>
    </row>
    <row r="380" spans="1:23" x14ac:dyDescent="0.25">
      <c r="A380" t="s">
        <v>61</v>
      </c>
      <c r="B380" t="s">
        <v>59</v>
      </c>
      <c r="C380">
        <v>84.95</v>
      </c>
      <c r="D380">
        <v>304</v>
      </c>
      <c r="E380" t="b">
        <v>1</v>
      </c>
      <c r="F380" t="b">
        <v>0</v>
      </c>
      <c r="G380" t="b">
        <v>1</v>
      </c>
      <c r="H380" t="s">
        <v>53</v>
      </c>
      <c r="I380" t="s">
        <v>63</v>
      </c>
      <c r="J380" t="s">
        <v>45</v>
      </c>
      <c r="K380" t="s">
        <v>39</v>
      </c>
      <c r="L380" t="s">
        <v>38</v>
      </c>
      <c r="M380" t="s">
        <v>46</v>
      </c>
      <c r="N380" t="s">
        <v>39</v>
      </c>
      <c r="P380" t="b">
        <v>0</v>
      </c>
      <c r="Q380">
        <v>10</v>
      </c>
      <c r="R380" t="b">
        <v>0</v>
      </c>
      <c r="T380">
        <v>0</v>
      </c>
      <c r="U380">
        <v>88.9</v>
      </c>
      <c r="V380" t="b">
        <v>1</v>
      </c>
      <c r="W380" t="s">
        <v>58</v>
      </c>
    </row>
    <row r="381" spans="1:23" x14ac:dyDescent="0.25">
      <c r="A381" t="s">
        <v>56</v>
      </c>
      <c r="B381" t="s">
        <v>76</v>
      </c>
      <c r="C381">
        <v>86.72</v>
      </c>
      <c r="D381">
        <v>501</v>
      </c>
      <c r="E381" t="b">
        <v>0</v>
      </c>
      <c r="F381" t="b">
        <v>0</v>
      </c>
      <c r="G381" t="b">
        <v>1</v>
      </c>
      <c r="H381" t="s">
        <v>53</v>
      </c>
      <c r="I381" t="s">
        <v>44</v>
      </c>
      <c r="J381" t="s">
        <v>54</v>
      </c>
      <c r="K381" t="s">
        <v>28</v>
      </c>
      <c r="L381" t="s">
        <v>37</v>
      </c>
      <c r="M381" t="s">
        <v>46</v>
      </c>
      <c r="N381" t="s">
        <v>46</v>
      </c>
      <c r="O381" t="b">
        <v>0</v>
      </c>
      <c r="P381" t="b">
        <v>0</v>
      </c>
      <c r="Q381">
        <v>8.3000000000000007</v>
      </c>
      <c r="R381" t="b">
        <v>1</v>
      </c>
      <c r="S381" t="s">
        <v>52</v>
      </c>
      <c r="T381">
        <v>10.5</v>
      </c>
      <c r="U381">
        <v>76.209999999999994</v>
      </c>
      <c r="V381" t="b">
        <v>1</v>
      </c>
      <c r="W381" t="s">
        <v>31</v>
      </c>
    </row>
    <row r="382" spans="1:23" x14ac:dyDescent="0.25">
      <c r="A382" t="s">
        <v>74</v>
      </c>
      <c r="B382" t="s">
        <v>76</v>
      </c>
      <c r="C382">
        <v>73.53</v>
      </c>
      <c r="D382">
        <v>289</v>
      </c>
      <c r="E382" t="b">
        <v>1</v>
      </c>
      <c r="F382" t="b">
        <v>1</v>
      </c>
      <c r="G382" t="b">
        <v>0</v>
      </c>
      <c r="H382" t="s">
        <v>43</v>
      </c>
      <c r="I382" t="s">
        <v>57</v>
      </c>
      <c r="J382" t="s">
        <v>27</v>
      </c>
      <c r="K382" t="s">
        <v>28</v>
      </c>
      <c r="L382" t="s">
        <v>37</v>
      </c>
      <c r="M382" t="s">
        <v>47</v>
      </c>
      <c r="N382" t="s">
        <v>46</v>
      </c>
      <c r="O382" t="b">
        <v>1</v>
      </c>
      <c r="P382" t="b">
        <v>1</v>
      </c>
      <c r="Q382">
        <v>8.3000000000000007</v>
      </c>
      <c r="R382" t="b">
        <v>1</v>
      </c>
      <c r="S382" t="s">
        <v>65</v>
      </c>
      <c r="T382">
        <v>23.7</v>
      </c>
      <c r="U382">
        <v>69.3</v>
      </c>
      <c r="V382" t="b">
        <v>1</v>
      </c>
      <c r="W382" t="s">
        <v>31</v>
      </c>
    </row>
    <row r="383" spans="1:23" x14ac:dyDescent="0.25">
      <c r="A383" t="s">
        <v>74</v>
      </c>
      <c r="B383" t="s">
        <v>62</v>
      </c>
      <c r="C383">
        <v>72.540000000000006</v>
      </c>
      <c r="D383">
        <v>725</v>
      </c>
      <c r="E383" t="b">
        <v>1</v>
      </c>
      <c r="F383" t="b">
        <v>1</v>
      </c>
      <c r="G383" t="b">
        <v>0</v>
      </c>
      <c r="H383" t="s">
        <v>53</v>
      </c>
      <c r="I383" t="s">
        <v>44</v>
      </c>
      <c r="J383" t="s">
        <v>50</v>
      </c>
      <c r="K383" t="s">
        <v>39</v>
      </c>
      <c r="L383" t="s">
        <v>51</v>
      </c>
      <c r="M383" t="s">
        <v>28</v>
      </c>
      <c r="N383" t="s">
        <v>39</v>
      </c>
      <c r="O383" t="b">
        <v>1</v>
      </c>
      <c r="P383" t="b">
        <v>0</v>
      </c>
      <c r="Q383">
        <v>10</v>
      </c>
      <c r="R383" t="b">
        <v>0</v>
      </c>
      <c r="T383">
        <v>0</v>
      </c>
      <c r="U383">
        <v>69.25</v>
      </c>
      <c r="V383" t="b">
        <v>0</v>
      </c>
      <c r="W383" t="s">
        <v>58</v>
      </c>
    </row>
    <row r="384" spans="1:23" x14ac:dyDescent="0.25">
      <c r="A384" t="s">
        <v>68</v>
      </c>
      <c r="B384" t="s">
        <v>76</v>
      </c>
      <c r="C384">
        <v>73.87</v>
      </c>
      <c r="D384">
        <v>477</v>
      </c>
      <c r="E384" t="b">
        <v>0</v>
      </c>
      <c r="F384" t="b">
        <v>1</v>
      </c>
      <c r="G384" t="b">
        <v>1</v>
      </c>
      <c r="H384" t="s">
        <v>34</v>
      </c>
      <c r="I384" t="s">
        <v>26</v>
      </c>
      <c r="J384" t="s">
        <v>45</v>
      </c>
      <c r="K384" t="s">
        <v>37</v>
      </c>
      <c r="L384" t="s">
        <v>37</v>
      </c>
      <c r="M384" t="s">
        <v>47</v>
      </c>
      <c r="N384" t="s">
        <v>46</v>
      </c>
      <c r="O384" t="b">
        <v>0</v>
      </c>
      <c r="P384" t="b">
        <v>1</v>
      </c>
      <c r="Q384">
        <v>5.3</v>
      </c>
      <c r="R384" t="b">
        <v>1</v>
      </c>
      <c r="S384" t="s">
        <v>75</v>
      </c>
      <c r="T384">
        <v>17.399999999999999</v>
      </c>
      <c r="U384">
        <v>63.03</v>
      </c>
      <c r="V384" t="b">
        <v>1</v>
      </c>
      <c r="W384" t="s">
        <v>41</v>
      </c>
    </row>
    <row r="385" spans="1:23" x14ac:dyDescent="0.25">
      <c r="A385" t="s">
        <v>74</v>
      </c>
      <c r="B385" t="s">
        <v>62</v>
      </c>
      <c r="C385">
        <v>68.25</v>
      </c>
      <c r="D385">
        <v>671</v>
      </c>
      <c r="E385" t="b">
        <v>1</v>
      </c>
      <c r="F385" t="b">
        <v>0</v>
      </c>
      <c r="G385" t="b">
        <v>1</v>
      </c>
      <c r="H385" t="s">
        <v>34</v>
      </c>
      <c r="I385" t="s">
        <v>63</v>
      </c>
      <c r="J385" t="s">
        <v>27</v>
      </c>
      <c r="K385" t="s">
        <v>37</v>
      </c>
      <c r="L385" t="s">
        <v>38</v>
      </c>
      <c r="M385" t="s">
        <v>39</v>
      </c>
      <c r="O385" t="b">
        <v>1</v>
      </c>
      <c r="P385" t="b">
        <v>1</v>
      </c>
      <c r="Q385">
        <v>8.8000000000000007</v>
      </c>
      <c r="R385" t="b">
        <v>1</v>
      </c>
      <c r="S385" t="s">
        <v>30</v>
      </c>
      <c r="T385">
        <v>19.7</v>
      </c>
      <c r="U385">
        <v>58.49</v>
      </c>
      <c r="V385" t="b">
        <v>0</v>
      </c>
      <c r="W385" t="s">
        <v>31</v>
      </c>
    </row>
    <row r="386" spans="1:23" x14ac:dyDescent="0.25">
      <c r="A386" t="s">
        <v>32</v>
      </c>
      <c r="B386" t="s">
        <v>24</v>
      </c>
      <c r="C386">
        <v>93.55</v>
      </c>
      <c r="D386">
        <v>327</v>
      </c>
      <c r="E386" t="b">
        <v>0</v>
      </c>
      <c r="F386" t="b">
        <v>1</v>
      </c>
      <c r="G386" t="b">
        <v>0</v>
      </c>
      <c r="H386" t="s">
        <v>25</v>
      </c>
      <c r="I386" t="s">
        <v>67</v>
      </c>
      <c r="J386" t="s">
        <v>45</v>
      </c>
      <c r="K386" t="s">
        <v>37</v>
      </c>
      <c r="L386" t="s">
        <v>51</v>
      </c>
      <c r="M386" t="s">
        <v>39</v>
      </c>
      <c r="N386" t="s">
        <v>39</v>
      </c>
      <c r="O386" t="b">
        <v>1</v>
      </c>
      <c r="P386" t="b">
        <v>1</v>
      </c>
      <c r="Q386">
        <v>10</v>
      </c>
      <c r="R386" t="b">
        <v>0</v>
      </c>
      <c r="T386">
        <v>0</v>
      </c>
      <c r="U386">
        <v>81.819999999999993</v>
      </c>
      <c r="V386" t="b">
        <v>1</v>
      </c>
      <c r="W386" t="s">
        <v>58</v>
      </c>
    </row>
    <row r="387" spans="1:23" x14ac:dyDescent="0.25">
      <c r="A387" t="s">
        <v>68</v>
      </c>
      <c r="B387" t="s">
        <v>73</v>
      </c>
      <c r="C387">
        <v>68.31</v>
      </c>
      <c r="D387">
        <v>152</v>
      </c>
      <c r="E387" t="b">
        <v>1</v>
      </c>
      <c r="F387" t="b">
        <v>0</v>
      </c>
      <c r="G387" t="b">
        <v>1</v>
      </c>
      <c r="H387" t="s">
        <v>25</v>
      </c>
      <c r="I387" t="s">
        <v>35</v>
      </c>
      <c r="J387" t="s">
        <v>54</v>
      </c>
      <c r="K387" t="s">
        <v>46</v>
      </c>
      <c r="L387" t="s">
        <v>51</v>
      </c>
      <c r="M387" t="s">
        <v>47</v>
      </c>
      <c r="N387" t="s">
        <v>46</v>
      </c>
      <c r="O387" t="b">
        <v>0</v>
      </c>
      <c r="P387" t="b">
        <v>1</v>
      </c>
      <c r="Q387">
        <v>6.2</v>
      </c>
      <c r="R387" t="b">
        <v>1</v>
      </c>
      <c r="S387" t="s">
        <v>40</v>
      </c>
      <c r="T387">
        <v>28.4</v>
      </c>
      <c r="U387">
        <v>83.15</v>
      </c>
      <c r="V387" t="b">
        <v>0</v>
      </c>
      <c r="W387" t="s">
        <v>41</v>
      </c>
    </row>
    <row r="388" spans="1:23" x14ac:dyDescent="0.25">
      <c r="A388" t="s">
        <v>74</v>
      </c>
      <c r="B388" t="s">
        <v>49</v>
      </c>
      <c r="C388">
        <v>64.17</v>
      </c>
      <c r="D388">
        <v>54</v>
      </c>
      <c r="E388" t="b">
        <v>1</v>
      </c>
      <c r="F388" t="b">
        <v>1</v>
      </c>
      <c r="G388" t="b">
        <v>1</v>
      </c>
      <c r="H388" t="s">
        <v>43</v>
      </c>
      <c r="I388" t="s">
        <v>63</v>
      </c>
      <c r="J388" t="s">
        <v>27</v>
      </c>
      <c r="K388" t="s">
        <v>28</v>
      </c>
      <c r="L388" t="s">
        <v>69</v>
      </c>
      <c r="M388" t="s">
        <v>39</v>
      </c>
      <c r="O388" t="b">
        <v>1</v>
      </c>
      <c r="P388" t="b">
        <v>1</v>
      </c>
      <c r="Q388">
        <v>9.6999999999999993</v>
      </c>
      <c r="R388" t="b">
        <v>0</v>
      </c>
      <c r="T388">
        <v>0</v>
      </c>
      <c r="U388">
        <v>73.5</v>
      </c>
      <c r="V388" t="b">
        <v>0</v>
      </c>
      <c r="W388" t="s">
        <v>58</v>
      </c>
    </row>
    <row r="389" spans="1:23" x14ac:dyDescent="0.25">
      <c r="A389" t="s">
        <v>56</v>
      </c>
      <c r="B389" t="s">
        <v>73</v>
      </c>
      <c r="C389">
        <v>63.95</v>
      </c>
      <c r="D389">
        <v>307</v>
      </c>
      <c r="E389" t="b">
        <v>1</v>
      </c>
      <c r="F389" t="b">
        <v>1</v>
      </c>
      <c r="G389" t="b">
        <v>0</v>
      </c>
      <c r="H389" t="s">
        <v>34</v>
      </c>
      <c r="I389" t="s">
        <v>67</v>
      </c>
      <c r="J389" t="s">
        <v>36</v>
      </c>
      <c r="K389" t="s">
        <v>39</v>
      </c>
      <c r="L389" t="s">
        <v>37</v>
      </c>
      <c r="M389" t="s">
        <v>47</v>
      </c>
      <c r="N389" t="s">
        <v>28</v>
      </c>
      <c r="O389" t="b">
        <v>1</v>
      </c>
      <c r="P389" t="b">
        <v>1</v>
      </c>
      <c r="Q389">
        <v>7.4</v>
      </c>
      <c r="R389" t="b">
        <v>1</v>
      </c>
      <c r="S389" t="s">
        <v>40</v>
      </c>
      <c r="T389">
        <v>25.5</v>
      </c>
      <c r="U389">
        <v>66.03</v>
      </c>
      <c r="V389" t="b">
        <v>1</v>
      </c>
      <c r="W389" t="s">
        <v>41</v>
      </c>
    </row>
    <row r="390" spans="1:23" x14ac:dyDescent="0.25">
      <c r="A390" t="s">
        <v>68</v>
      </c>
      <c r="B390" t="s">
        <v>59</v>
      </c>
      <c r="C390">
        <v>94.89</v>
      </c>
      <c r="D390">
        <v>256</v>
      </c>
      <c r="E390" t="b">
        <v>0</v>
      </c>
      <c r="F390" t="b">
        <v>0</v>
      </c>
      <c r="G390" t="b">
        <v>0</v>
      </c>
      <c r="H390" t="s">
        <v>34</v>
      </c>
      <c r="I390" t="s">
        <v>44</v>
      </c>
      <c r="J390" t="s">
        <v>36</v>
      </c>
      <c r="K390" t="s">
        <v>28</v>
      </c>
      <c r="L390" t="s">
        <v>51</v>
      </c>
      <c r="M390" t="s">
        <v>28</v>
      </c>
      <c r="N390" t="s">
        <v>39</v>
      </c>
      <c r="P390" t="b">
        <v>0</v>
      </c>
      <c r="Q390">
        <v>10</v>
      </c>
      <c r="R390" t="b">
        <v>0</v>
      </c>
      <c r="T390">
        <v>0</v>
      </c>
      <c r="U390">
        <v>100</v>
      </c>
      <c r="V390" t="b">
        <v>1</v>
      </c>
      <c r="W390" t="s">
        <v>58</v>
      </c>
    </row>
    <row r="391" spans="1:23" x14ac:dyDescent="0.25">
      <c r="A391" t="s">
        <v>74</v>
      </c>
      <c r="B391" t="s">
        <v>62</v>
      </c>
      <c r="C391">
        <v>64.150000000000006</v>
      </c>
      <c r="D391">
        <v>107</v>
      </c>
      <c r="E391" t="b">
        <v>1</v>
      </c>
      <c r="F391" t="b">
        <v>1</v>
      </c>
      <c r="G391" t="b">
        <v>1</v>
      </c>
      <c r="H391" t="s">
        <v>53</v>
      </c>
      <c r="I391" t="s">
        <v>63</v>
      </c>
      <c r="J391" t="s">
        <v>36</v>
      </c>
      <c r="K391" t="s">
        <v>28</v>
      </c>
      <c r="L391" t="s">
        <v>69</v>
      </c>
      <c r="M391" t="s">
        <v>28</v>
      </c>
      <c r="O391" t="b">
        <v>0</v>
      </c>
      <c r="P391" t="b">
        <v>0</v>
      </c>
      <c r="Q391">
        <v>7.3</v>
      </c>
      <c r="R391" t="b">
        <v>1</v>
      </c>
      <c r="S391" t="s">
        <v>55</v>
      </c>
      <c r="T391">
        <v>35.6</v>
      </c>
      <c r="U391">
        <v>59.25</v>
      </c>
      <c r="V391" t="b">
        <v>1</v>
      </c>
      <c r="W391" t="s">
        <v>41</v>
      </c>
    </row>
    <row r="392" spans="1:23" x14ac:dyDescent="0.25">
      <c r="A392" t="s">
        <v>56</v>
      </c>
      <c r="B392" t="s">
        <v>60</v>
      </c>
      <c r="C392">
        <v>55.79</v>
      </c>
      <c r="D392">
        <v>292</v>
      </c>
      <c r="E392" t="b">
        <v>0</v>
      </c>
      <c r="F392" t="b">
        <v>1</v>
      </c>
      <c r="G392" t="b">
        <v>0</v>
      </c>
      <c r="H392" t="s">
        <v>53</v>
      </c>
      <c r="I392" t="s">
        <v>44</v>
      </c>
      <c r="J392" t="s">
        <v>36</v>
      </c>
      <c r="K392" t="s">
        <v>37</v>
      </c>
      <c r="L392" t="s">
        <v>69</v>
      </c>
      <c r="M392" t="s">
        <v>47</v>
      </c>
      <c r="P392" t="b">
        <v>0</v>
      </c>
      <c r="Q392">
        <v>4.7</v>
      </c>
      <c r="R392" t="b">
        <v>1</v>
      </c>
      <c r="S392" t="s">
        <v>65</v>
      </c>
      <c r="T392">
        <v>18.100000000000001</v>
      </c>
      <c r="U392">
        <v>62.62</v>
      </c>
      <c r="V392" t="b">
        <v>1</v>
      </c>
      <c r="W392" t="s">
        <v>72</v>
      </c>
    </row>
    <row r="393" spans="1:23" x14ac:dyDescent="0.25">
      <c r="A393" t="s">
        <v>32</v>
      </c>
      <c r="B393" t="s">
        <v>42</v>
      </c>
      <c r="C393">
        <v>77.739999999999995</v>
      </c>
      <c r="D393">
        <v>552</v>
      </c>
      <c r="E393" t="b">
        <v>1</v>
      </c>
      <c r="F393" t="b">
        <v>1</v>
      </c>
      <c r="G393" t="b">
        <v>1</v>
      </c>
      <c r="H393" t="s">
        <v>43</v>
      </c>
      <c r="I393" t="s">
        <v>26</v>
      </c>
      <c r="J393" t="s">
        <v>27</v>
      </c>
      <c r="K393" t="s">
        <v>37</v>
      </c>
      <c r="L393" t="s">
        <v>51</v>
      </c>
      <c r="M393" t="s">
        <v>47</v>
      </c>
      <c r="O393" t="b">
        <v>1</v>
      </c>
      <c r="P393" t="b">
        <v>1</v>
      </c>
      <c r="Q393">
        <v>8.1999999999999993</v>
      </c>
      <c r="R393" t="b">
        <v>1</v>
      </c>
      <c r="S393" t="s">
        <v>64</v>
      </c>
      <c r="T393">
        <v>43.2</v>
      </c>
      <c r="U393">
        <v>73.28</v>
      </c>
      <c r="V393" t="b">
        <v>1</v>
      </c>
      <c r="W393" t="s">
        <v>31</v>
      </c>
    </row>
    <row r="394" spans="1:23" x14ac:dyDescent="0.25">
      <c r="A394" t="s">
        <v>32</v>
      </c>
      <c r="B394" t="s">
        <v>73</v>
      </c>
      <c r="C394">
        <v>55.47</v>
      </c>
      <c r="D394">
        <v>687</v>
      </c>
      <c r="E394" t="b">
        <v>1</v>
      </c>
      <c r="F394" t="b">
        <v>0</v>
      </c>
      <c r="G394" t="b">
        <v>1</v>
      </c>
      <c r="H394" t="s">
        <v>53</v>
      </c>
      <c r="I394" t="s">
        <v>35</v>
      </c>
      <c r="J394" t="s">
        <v>50</v>
      </c>
      <c r="K394" t="s">
        <v>39</v>
      </c>
      <c r="L394" t="s">
        <v>51</v>
      </c>
      <c r="M394" t="s">
        <v>28</v>
      </c>
      <c r="O394" t="b">
        <v>1</v>
      </c>
      <c r="P394" t="b">
        <v>1</v>
      </c>
      <c r="Q394">
        <v>9.1</v>
      </c>
      <c r="R394" t="b">
        <v>0</v>
      </c>
      <c r="T394">
        <v>0</v>
      </c>
      <c r="U394">
        <v>64.33</v>
      </c>
      <c r="V394" t="b">
        <v>0</v>
      </c>
      <c r="W394" t="s">
        <v>58</v>
      </c>
    </row>
    <row r="395" spans="1:23" x14ac:dyDescent="0.25">
      <c r="A395" t="s">
        <v>56</v>
      </c>
      <c r="B395" t="s">
        <v>33</v>
      </c>
      <c r="C395">
        <v>86.47</v>
      </c>
      <c r="D395">
        <v>583</v>
      </c>
      <c r="E395" t="b">
        <v>1</v>
      </c>
      <c r="F395" t="b">
        <v>0</v>
      </c>
      <c r="G395" t="b">
        <v>1</v>
      </c>
      <c r="H395" t="s">
        <v>43</v>
      </c>
      <c r="I395" t="s">
        <v>26</v>
      </c>
      <c r="J395" t="s">
        <v>50</v>
      </c>
      <c r="K395" t="s">
        <v>39</v>
      </c>
      <c r="L395" t="s">
        <v>69</v>
      </c>
      <c r="M395" t="s">
        <v>47</v>
      </c>
      <c r="N395" t="s">
        <v>28</v>
      </c>
      <c r="O395" t="b">
        <v>1</v>
      </c>
      <c r="P395" t="b">
        <v>1</v>
      </c>
      <c r="Q395">
        <v>10</v>
      </c>
      <c r="R395" t="b">
        <v>1</v>
      </c>
      <c r="S395" t="s">
        <v>40</v>
      </c>
      <c r="T395">
        <v>8.9</v>
      </c>
      <c r="U395">
        <v>79.61</v>
      </c>
      <c r="V395" t="b">
        <v>0</v>
      </c>
      <c r="W395" t="s">
        <v>31</v>
      </c>
    </row>
    <row r="396" spans="1:23" x14ac:dyDescent="0.25">
      <c r="A396" t="s">
        <v>23</v>
      </c>
      <c r="B396" t="s">
        <v>71</v>
      </c>
      <c r="C396">
        <v>44.53</v>
      </c>
      <c r="D396">
        <v>344</v>
      </c>
      <c r="E396" t="b">
        <v>1</v>
      </c>
      <c r="F396" t="b">
        <v>0</v>
      </c>
      <c r="G396" t="b">
        <v>1</v>
      </c>
      <c r="H396" t="s">
        <v>25</v>
      </c>
      <c r="I396" t="s">
        <v>57</v>
      </c>
      <c r="J396" t="s">
        <v>27</v>
      </c>
      <c r="K396" t="s">
        <v>39</v>
      </c>
      <c r="L396" t="s">
        <v>37</v>
      </c>
      <c r="M396" t="s">
        <v>46</v>
      </c>
      <c r="N396" t="s">
        <v>39</v>
      </c>
      <c r="P396" t="b">
        <v>0</v>
      </c>
      <c r="Q396">
        <v>5.8</v>
      </c>
      <c r="R396" t="b">
        <v>1</v>
      </c>
      <c r="S396" t="s">
        <v>65</v>
      </c>
      <c r="T396">
        <v>22.1</v>
      </c>
      <c r="U396">
        <v>24.15</v>
      </c>
      <c r="V396" t="b">
        <v>0</v>
      </c>
      <c r="W396" t="s">
        <v>41</v>
      </c>
    </row>
    <row r="397" spans="1:23" x14ac:dyDescent="0.25">
      <c r="A397" t="s">
        <v>56</v>
      </c>
      <c r="B397" t="s">
        <v>62</v>
      </c>
      <c r="C397">
        <v>61.28</v>
      </c>
      <c r="D397">
        <v>228</v>
      </c>
      <c r="E397" t="b">
        <v>1</v>
      </c>
      <c r="F397" t="b">
        <v>1</v>
      </c>
      <c r="G397" t="b">
        <v>1</v>
      </c>
      <c r="H397" t="s">
        <v>53</v>
      </c>
      <c r="I397" t="s">
        <v>26</v>
      </c>
      <c r="J397" t="s">
        <v>27</v>
      </c>
      <c r="K397" t="s">
        <v>46</v>
      </c>
      <c r="L397" t="s">
        <v>37</v>
      </c>
      <c r="M397" t="s">
        <v>39</v>
      </c>
      <c r="P397" t="b">
        <v>1</v>
      </c>
      <c r="Q397">
        <v>6.4</v>
      </c>
      <c r="R397" t="b">
        <v>1</v>
      </c>
      <c r="S397" t="s">
        <v>55</v>
      </c>
      <c r="T397">
        <v>5.6</v>
      </c>
      <c r="U397">
        <v>65.08</v>
      </c>
      <c r="V397" t="b">
        <v>1</v>
      </c>
      <c r="W397" t="s">
        <v>41</v>
      </c>
    </row>
    <row r="398" spans="1:23" x14ac:dyDescent="0.25">
      <c r="A398" t="s">
        <v>32</v>
      </c>
      <c r="B398" t="s">
        <v>59</v>
      </c>
      <c r="C398">
        <v>93.52</v>
      </c>
      <c r="D398">
        <v>374</v>
      </c>
      <c r="E398" t="b">
        <v>1</v>
      </c>
      <c r="F398" t="b">
        <v>1</v>
      </c>
      <c r="G398" t="b">
        <v>1</v>
      </c>
      <c r="H398" t="s">
        <v>25</v>
      </c>
      <c r="I398" t="s">
        <v>57</v>
      </c>
      <c r="J398" t="s">
        <v>45</v>
      </c>
      <c r="K398" t="s">
        <v>37</v>
      </c>
      <c r="L398" t="s">
        <v>38</v>
      </c>
      <c r="M398" t="s">
        <v>39</v>
      </c>
      <c r="N398" t="s">
        <v>39</v>
      </c>
      <c r="P398" t="b">
        <v>1</v>
      </c>
      <c r="Q398">
        <v>10</v>
      </c>
      <c r="R398" t="b">
        <v>0</v>
      </c>
      <c r="T398">
        <v>0</v>
      </c>
      <c r="U398">
        <v>91.74</v>
      </c>
      <c r="V398" t="b">
        <v>1</v>
      </c>
      <c r="W398" t="s">
        <v>58</v>
      </c>
    </row>
    <row r="399" spans="1:23" x14ac:dyDescent="0.25">
      <c r="A399" t="s">
        <v>23</v>
      </c>
      <c r="B399" t="s">
        <v>70</v>
      </c>
      <c r="C399">
        <v>87.07</v>
      </c>
      <c r="D399">
        <v>89</v>
      </c>
      <c r="E399" t="b">
        <v>0</v>
      </c>
      <c r="F399" t="b">
        <v>1</v>
      </c>
      <c r="G399" t="b">
        <v>1</v>
      </c>
      <c r="H399" t="s">
        <v>25</v>
      </c>
      <c r="I399" t="s">
        <v>57</v>
      </c>
      <c r="J399" t="s">
        <v>27</v>
      </c>
      <c r="K399" t="s">
        <v>37</v>
      </c>
      <c r="L399" t="s">
        <v>37</v>
      </c>
      <c r="M399" t="s">
        <v>47</v>
      </c>
      <c r="N399" t="s">
        <v>46</v>
      </c>
      <c r="O399" t="b">
        <v>1</v>
      </c>
      <c r="P399" t="b">
        <v>0</v>
      </c>
      <c r="Q399">
        <v>9.1999999999999993</v>
      </c>
      <c r="R399" t="b">
        <v>0</v>
      </c>
      <c r="T399">
        <v>0</v>
      </c>
      <c r="U399">
        <v>86.98</v>
      </c>
      <c r="V399" t="b">
        <v>1</v>
      </c>
      <c r="W399" t="s">
        <v>58</v>
      </c>
    </row>
    <row r="400" spans="1:23" x14ac:dyDescent="0.25">
      <c r="A400" t="s">
        <v>68</v>
      </c>
      <c r="B400" t="s">
        <v>76</v>
      </c>
      <c r="C400">
        <v>75.86</v>
      </c>
      <c r="D400">
        <v>93</v>
      </c>
      <c r="E400" t="b">
        <v>0</v>
      </c>
      <c r="F400" t="b">
        <v>0</v>
      </c>
      <c r="G400" t="b">
        <v>1</v>
      </c>
      <c r="H400" t="s">
        <v>34</v>
      </c>
      <c r="I400" t="s">
        <v>44</v>
      </c>
      <c r="J400" t="s">
        <v>36</v>
      </c>
      <c r="K400" t="s">
        <v>37</v>
      </c>
      <c r="L400" t="s">
        <v>38</v>
      </c>
      <c r="M400" t="s">
        <v>46</v>
      </c>
      <c r="N400" t="s">
        <v>28</v>
      </c>
      <c r="O400" t="b">
        <v>1</v>
      </c>
      <c r="P400" t="b">
        <v>0</v>
      </c>
      <c r="Q400">
        <v>10</v>
      </c>
      <c r="R400" t="b">
        <v>1</v>
      </c>
      <c r="S400" t="s">
        <v>75</v>
      </c>
      <c r="T400">
        <v>17.600000000000001</v>
      </c>
      <c r="U400">
        <v>70.62</v>
      </c>
      <c r="V400" t="b">
        <v>0</v>
      </c>
      <c r="W400" t="s">
        <v>31</v>
      </c>
    </row>
    <row r="401" spans="1:23" x14ac:dyDescent="0.25">
      <c r="A401" t="s">
        <v>23</v>
      </c>
      <c r="B401" t="s">
        <v>24</v>
      </c>
      <c r="C401">
        <v>92.71</v>
      </c>
      <c r="D401">
        <v>471</v>
      </c>
      <c r="E401" t="b">
        <v>1</v>
      </c>
      <c r="F401" t="b">
        <v>1</v>
      </c>
      <c r="G401" t="b">
        <v>0</v>
      </c>
      <c r="H401" t="s">
        <v>34</v>
      </c>
      <c r="I401" t="s">
        <v>63</v>
      </c>
      <c r="J401" t="s">
        <v>36</v>
      </c>
      <c r="K401" t="s">
        <v>37</v>
      </c>
      <c r="L401" t="s">
        <v>37</v>
      </c>
      <c r="M401" t="s">
        <v>46</v>
      </c>
      <c r="N401" t="s">
        <v>39</v>
      </c>
      <c r="O401" t="b">
        <v>1</v>
      </c>
      <c r="P401" t="b">
        <v>0</v>
      </c>
      <c r="Q401">
        <v>10</v>
      </c>
      <c r="R401" t="b">
        <v>1</v>
      </c>
      <c r="S401" t="s">
        <v>48</v>
      </c>
      <c r="T401">
        <v>40.299999999999997</v>
      </c>
      <c r="U401">
        <v>79.2</v>
      </c>
      <c r="V401" t="b">
        <v>0</v>
      </c>
      <c r="W401" t="s">
        <v>31</v>
      </c>
    </row>
    <row r="402" spans="1:23" x14ac:dyDescent="0.25">
      <c r="A402" t="s">
        <v>74</v>
      </c>
      <c r="B402" t="s">
        <v>71</v>
      </c>
      <c r="C402">
        <v>52.74</v>
      </c>
      <c r="D402">
        <v>515</v>
      </c>
      <c r="E402" t="b">
        <v>1</v>
      </c>
      <c r="F402" t="b">
        <v>0</v>
      </c>
      <c r="G402" t="b">
        <v>0</v>
      </c>
      <c r="H402" t="s">
        <v>25</v>
      </c>
      <c r="I402" t="s">
        <v>44</v>
      </c>
      <c r="J402" t="s">
        <v>54</v>
      </c>
      <c r="K402" t="s">
        <v>46</v>
      </c>
      <c r="L402" t="s">
        <v>69</v>
      </c>
      <c r="M402" t="s">
        <v>39</v>
      </c>
      <c r="O402" t="b">
        <v>0</v>
      </c>
      <c r="P402" t="b">
        <v>0</v>
      </c>
      <c r="Q402">
        <v>5.5</v>
      </c>
      <c r="R402" t="b">
        <v>1</v>
      </c>
      <c r="S402" t="s">
        <v>40</v>
      </c>
      <c r="T402">
        <v>29.3</v>
      </c>
      <c r="U402">
        <v>46.58</v>
      </c>
      <c r="V402" t="b">
        <v>1</v>
      </c>
      <c r="W402" t="s">
        <v>41</v>
      </c>
    </row>
    <row r="403" spans="1:23" x14ac:dyDescent="0.25">
      <c r="A403" t="s">
        <v>68</v>
      </c>
      <c r="B403" t="s">
        <v>73</v>
      </c>
      <c r="C403">
        <v>50.69</v>
      </c>
      <c r="D403">
        <v>298</v>
      </c>
      <c r="E403" t="b">
        <v>0</v>
      </c>
      <c r="F403" t="b">
        <v>1</v>
      </c>
      <c r="G403" t="b">
        <v>0</v>
      </c>
      <c r="H403" t="s">
        <v>53</v>
      </c>
      <c r="I403" t="s">
        <v>35</v>
      </c>
      <c r="J403" t="s">
        <v>27</v>
      </c>
      <c r="K403" t="s">
        <v>39</v>
      </c>
      <c r="L403" t="s">
        <v>38</v>
      </c>
      <c r="M403" t="s">
        <v>39</v>
      </c>
      <c r="N403" t="s">
        <v>39</v>
      </c>
      <c r="P403" t="b">
        <v>0</v>
      </c>
      <c r="Q403">
        <v>5.0999999999999996</v>
      </c>
      <c r="R403" t="b">
        <v>1</v>
      </c>
      <c r="S403" t="s">
        <v>40</v>
      </c>
      <c r="T403">
        <v>40.6</v>
      </c>
      <c r="U403">
        <v>47.91</v>
      </c>
      <c r="V403" t="b">
        <v>1</v>
      </c>
      <c r="W403" t="s">
        <v>41</v>
      </c>
    </row>
    <row r="404" spans="1:23" x14ac:dyDescent="0.25">
      <c r="A404" t="s">
        <v>56</v>
      </c>
      <c r="B404" t="s">
        <v>76</v>
      </c>
      <c r="C404">
        <v>85.03</v>
      </c>
      <c r="D404">
        <v>132</v>
      </c>
      <c r="E404" t="b">
        <v>1</v>
      </c>
      <c r="F404" t="b">
        <v>0</v>
      </c>
      <c r="G404" t="b">
        <v>0</v>
      </c>
      <c r="H404" t="s">
        <v>53</v>
      </c>
      <c r="I404" t="s">
        <v>35</v>
      </c>
      <c r="J404" t="s">
        <v>45</v>
      </c>
      <c r="K404" t="s">
        <v>46</v>
      </c>
      <c r="L404" t="s">
        <v>51</v>
      </c>
      <c r="M404" t="s">
        <v>46</v>
      </c>
      <c r="N404" t="s">
        <v>46</v>
      </c>
      <c r="O404" t="b">
        <v>0</v>
      </c>
      <c r="P404" t="b">
        <v>0</v>
      </c>
      <c r="Q404">
        <v>9.3000000000000007</v>
      </c>
      <c r="R404" t="b">
        <v>0</v>
      </c>
      <c r="T404">
        <v>0</v>
      </c>
      <c r="U404">
        <v>87.57</v>
      </c>
      <c r="V404" t="b">
        <v>1</v>
      </c>
      <c r="W404" t="s">
        <v>58</v>
      </c>
    </row>
    <row r="405" spans="1:23" x14ac:dyDescent="0.25">
      <c r="A405" t="s">
        <v>61</v>
      </c>
      <c r="B405" t="s">
        <v>70</v>
      </c>
      <c r="C405">
        <v>94.61</v>
      </c>
      <c r="D405">
        <v>373</v>
      </c>
      <c r="E405" t="b">
        <v>0</v>
      </c>
      <c r="F405" t="b">
        <v>1</v>
      </c>
      <c r="G405" t="b">
        <v>0</v>
      </c>
      <c r="H405" t="s">
        <v>43</v>
      </c>
      <c r="I405" t="s">
        <v>67</v>
      </c>
      <c r="J405" t="s">
        <v>27</v>
      </c>
      <c r="K405" t="s">
        <v>46</v>
      </c>
      <c r="L405" t="s">
        <v>38</v>
      </c>
      <c r="M405" t="s">
        <v>47</v>
      </c>
      <c r="N405" t="s">
        <v>46</v>
      </c>
      <c r="P405" t="b">
        <v>0</v>
      </c>
      <c r="Q405">
        <v>9.1</v>
      </c>
      <c r="R405" t="b">
        <v>0</v>
      </c>
      <c r="T405">
        <v>0</v>
      </c>
      <c r="U405">
        <v>80.91</v>
      </c>
      <c r="V405" t="b">
        <v>1</v>
      </c>
      <c r="W405" t="s">
        <v>58</v>
      </c>
    </row>
    <row r="406" spans="1:23" x14ac:dyDescent="0.25">
      <c r="A406" t="s">
        <v>68</v>
      </c>
      <c r="B406" t="s">
        <v>60</v>
      </c>
      <c r="C406">
        <v>42.25</v>
      </c>
      <c r="D406">
        <v>516</v>
      </c>
      <c r="E406" t="b">
        <v>1</v>
      </c>
      <c r="F406" t="b">
        <v>1</v>
      </c>
      <c r="G406" t="b">
        <v>1</v>
      </c>
      <c r="H406" t="s">
        <v>25</v>
      </c>
      <c r="I406" t="s">
        <v>44</v>
      </c>
      <c r="J406" t="s">
        <v>36</v>
      </c>
      <c r="K406" t="s">
        <v>37</v>
      </c>
      <c r="L406" t="s">
        <v>38</v>
      </c>
      <c r="M406" t="s">
        <v>39</v>
      </c>
      <c r="O406" t="b">
        <v>1</v>
      </c>
      <c r="P406" t="b">
        <v>1</v>
      </c>
      <c r="Q406">
        <v>6</v>
      </c>
      <c r="R406" t="b">
        <v>1</v>
      </c>
      <c r="S406" t="s">
        <v>48</v>
      </c>
      <c r="T406">
        <v>2.7</v>
      </c>
      <c r="U406">
        <v>35.840000000000003</v>
      </c>
      <c r="V406" t="b">
        <v>0</v>
      </c>
      <c r="W406" t="s">
        <v>41</v>
      </c>
    </row>
    <row r="407" spans="1:23" x14ac:dyDescent="0.25">
      <c r="A407" t="s">
        <v>68</v>
      </c>
      <c r="B407" t="s">
        <v>66</v>
      </c>
      <c r="C407">
        <v>78.52</v>
      </c>
      <c r="D407">
        <v>773</v>
      </c>
      <c r="E407" t="b">
        <v>0</v>
      </c>
      <c r="F407" t="b">
        <v>0</v>
      </c>
      <c r="G407" t="b">
        <v>0</v>
      </c>
      <c r="H407" t="s">
        <v>25</v>
      </c>
      <c r="I407" t="s">
        <v>67</v>
      </c>
      <c r="J407" t="s">
        <v>27</v>
      </c>
      <c r="K407" t="s">
        <v>28</v>
      </c>
      <c r="L407" t="s">
        <v>29</v>
      </c>
      <c r="M407" t="s">
        <v>28</v>
      </c>
      <c r="N407" t="s">
        <v>46</v>
      </c>
      <c r="O407" t="b">
        <v>0</v>
      </c>
      <c r="P407" t="b">
        <v>0</v>
      </c>
      <c r="Q407">
        <v>8</v>
      </c>
      <c r="R407" t="b">
        <v>0</v>
      </c>
      <c r="T407">
        <v>0</v>
      </c>
      <c r="U407">
        <v>79.36</v>
      </c>
      <c r="V407" t="b">
        <v>1</v>
      </c>
      <c r="W407" t="s">
        <v>58</v>
      </c>
    </row>
    <row r="408" spans="1:23" x14ac:dyDescent="0.25">
      <c r="A408" t="s">
        <v>56</v>
      </c>
      <c r="B408" t="s">
        <v>33</v>
      </c>
      <c r="C408">
        <v>79.39</v>
      </c>
      <c r="D408">
        <v>404</v>
      </c>
      <c r="E408" t="b">
        <v>1</v>
      </c>
      <c r="F408" t="b">
        <v>1</v>
      </c>
      <c r="G408" t="b">
        <v>1</v>
      </c>
      <c r="H408" t="s">
        <v>25</v>
      </c>
      <c r="I408" t="s">
        <v>67</v>
      </c>
      <c r="J408" t="s">
        <v>36</v>
      </c>
      <c r="K408" t="s">
        <v>28</v>
      </c>
      <c r="L408" t="s">
        <v>69</v>
      </c>
      <c r="M408" t="s">
        <v>47</v>
      </c>
      <c r="N408" t="s">
        <v>39</v>
      </c>
      <c r="P408" t="b">
        <v>1</v>
      </c>
      <c r="Q408">
        <v>8.6999999999999993</v>
      </c>
      <c r="R408" t="b">
        <v>1</v>
      </c>
      <c r="S408" t="s">
        <v>65</v>
      </c>
      <c r="T408">
        <v>22.8</v>
      </c>
      <c r="U408">
        <v>83.62</v>
      </c>
      <c r="V408" t="b">
        <v>1</v>
      </c>
      <c r="W408" t="s">
        <v>31</v>
      </c>
    </row>
    <row r="409" spans="1:23" x14ac:dyDescent="0.25">
      <c r="A409" t="s">
        <v>61</v>
      </c>
      <c r="B409" t="s">
        <v>42</v>
      </c>
      <c r="C409">
        <v>79.83</v>
      </c>
      <c r="D409">
        <v>372</v>
      </c>
      <c r="E409" t="b">
        <v>0</v>
      </c>
      <c r="F409" t="b">
        <v>1</v>
      </c>
      <c r="G409" t="b">
        <v>1</v>
      </c>
      <c r="H409" t="s">
        <v>34</v>
      </c>
      <c r="I409" t="s">
        <v>63</v>
      </c>
      <c r="J409" t="s">
        <v>54</v>
      </c>
      <c r="K409" t="s">
        <v>39</v>
      </c>
      <c r="L409" t="s">
        <v>29</v>
      </c>
      <c r="M409" t="s">
        <v>46</v>
      </c>
      <c r="N409" t="s">
        <v>28</v>
      </c>
      <c r="O409" t="b">
        <v>1</v>
      </c>
      <c r="P409" t="b">
        <v>0</v>
      </c>
      <c r="Q409">
        <v>9</v>
      </c>
      <c r="R409" t="b">
        <v>1</v>
      </c>
      <c r="S409" t="s">
        <v>65</v>
      </c>
      <c r="T409">
        <v>44.1</v>
      </c>
      <c r="U409">
        <v>76.650000000000006</v>
      </c>
      <c r="V409" t="b">
        <v>1</v>
      </c>
      <c r="W409" t="s">
        <v>31</v>
      </c>
    </row>
    <row r="410" spans="1:23" x14ac:dyDescent="0.25">
      <c r="A410" t="s">
        <v>32</v>
      </c>
      <c r="B410" t="s">
        <v>60</v>
      </c>
      <c r="C410">
        <v>61.02</v>
      </c>
      <c r="D410">
        <v>62</v>
      </c>
      <c r="E410" t="b">
        <v>1</v>
      </c>
      <c r="F410" t="b">
        <v>0</v>
      </c>
      <c r="G410" t="b">
        <v>1</v>
      </c>
      <c r="H410" t="s">
        <v>53</v>
      </c>
      <c r="I410" t="s">
        <v>57</v>
      </c>
      <c r="J410" t="s">
        <v>36</v>
      </c>
      <c r="K410" t="s">
        <v>37</v>
      </c>
      <c r="L410" t="s">
        <v>29</v>
      </c>
      <c r="M410" t="s">
        <v>28</v>
      </c>
      <c r="N410" t="s">
        <v>39</v>
      </c>
      <c r="O410" t="b">
        <v>1</v>
      </c>
      <c r="P410" t="b">
        <v>0</v>
      </c>
      <c r="Q410">
        <v>9</v>
      </c>
      <c r="R410" t="b">
        <v>1</v>
      </c>
      <c r="S410" t="s">
        <v>48</v>
      </c>
      <c r="T410">
        <v>13.7</v>
      </c>
      <c r="U410">
        <v>68.87</v>
      </c>
      <c r="V410" t="b">
        <v>0</v>
      </c>
      <c r="W410" t="s">
        <v>31</v>
      </c>
    </row>
    <row r="411" spans="1:23" x14ac:dyDescent="0.25">
      <c r="A411" t="s">
        <v>23</v>
      </c>
      <c r="B411" t="s">
        <v>71</v>
      </c>
      <c r="C411">
        <v>57.46</v>
      </c>
      <c r="D411">
        <v>623</v>
      </c>
      <c r="E411" t="b">
        <v>0</v>
      </c>
      <c r="F411" t="b">
        <v>0</v>
      </c>
      <c r="G411" t="b">
        <v>1</v>
      </c>
      <c r="H411" t="s">
        <v>34</v>
      </c>
      <c r="I411" t="s">
        <v>44</v>
      </c>
      <c r="J411" t="s">
        <v>27</v>
      </c>
      <c r="K411" t="s">
        <v>39</v>
      </c>
      <c r="L411" t="s">
        <v>37</v>
      </c>
      <c r="M411" t="s">
        <v>39</v>
      </c>
      <c r="N411" t="s">
        <v>46</v>
      </c>
      <c r="P411" t="b">
        <v>1</v>
      </c>
      <c r="Q411">
        <v>5.2</v>
      </c>
      <c r="R411" t="b">
        <v>1</v>
      </c>
      <c r="S411" t="s">
        <v>64</v>
      </c>
      <c r="T411">
        <v>7.3</v>
      </c>
      <c r="U411">
        <v>56.22</v>
      </c>
      <c r="V411" t="b">
        <v>1</v>
      </c>
      <c r="W411" t="s">
        <v>41</v>
      </c>
    </row>
    <row r="412" spans="1:23" x14ac:dyDescent="0.25">
      <c r="A412" t="s">
        <v>32</v>
      </c>
      <c r="B412" t="s">
        <v>60</v>
      </c>
      <c r="C412">
        <v>63.19</v>
      </c>
      <c r="D412">
        <v>462</v>
      </c>
      <c r="E412" t="b">
        <v>1</v>
      </c>
      <c r="F412" t="b">
        <v>0</v>
      </c>
      <c r="G412" t="b">
        <v>0</v>
      </c>
      <c r="H412" t="s">
        <v>34</v>
      </c>
      <c r="I412" t="s">
        <v>63</v>
      </c>
      <c r="J412" t="s">
        <v>54</v>
      </c>
      <c r="K412" t="s">
        <v>46</v>
      </c>
      <c r="L412" t="s">
        <v>37</v>
      </c>
      <c r="M412" t="s">
        <v>39</v>
      </c>
      <c r="O412" t="b">
        <v>0</v>
      </c>
      <c r="P412" t="b">
        <v>0</v>
      </c>
      <c r="Q412">
        <v>6.2</v>
      </c>
      <c r="R412" t="b">
        <v>1</v>
      </c>
      <c r="S412" t="s">
        <v>75</v>
      </c>
      <c r="T412">
        <v>8.5</v>
      </c>
      <c r="U412">
        <v>53.13</v>
      </c>
      <c r="V412" t="b">
        <v>1</v>
      </c>
      <c r="W412" t="s">
        <v>41</v>
      </c>
    </row>
    <row r="413" spans="1:23" x14ac:dyDescent="0.25">
      <c r="A413" t="s">
        <v>23</v>
      </c>
      <c r="B413" t="s">
        <v>33</v>
      </c>
      <c r="C413">
        <v>83.79</v>
      </c>
      <c r="D413">
        <v>478</v>
      </c>
      <c r="E413" t="b">
        <v>1</v>
      </c>
      <c r="F413" t="b">
        <v>1</v>
      </c>
      <c r="G413" t="b">
        <v>1</v>
      </c>
      <c r="H413" t="s">
        <v>34</v>
      </c>
      <c r="I413" t="s">
        <v>44</v>
      </c>
      <c r="J413" t="s">
        <v>36</v>
      </c>
      <c r="K413" t="s">
        <v>37</v>
      </c>
      <c r="L413" t="s">
        <v>29</v>
      </c>
      <c r="M413" t="s">
        <v>39</v>
      </c>
      <c r="N413" t="s">
        <v>46</v>
      </c>
      <c r="P413" t="b">
        <v>0</v>
      </c>
      <c r="Q413">
        <v>8.6</v>
      </c>
      <c r="R413" t="b">
        <v>0</v>
      </c>
      <c r="T413">
        <v>0</v>
      </c>
      <c r="U413">
        <v>92.94</v>
      </c>
      <c r="V413" t="b">
        <v>1</v>
      </c>
      <c r="W413" t="s">
        <v>58</v>
      </c>
    </row>
    <row r="414" spans="1:23" x14ac:dyDescent="0.25">
      <c r="A414" t="s">
        <v>23</v>
      </c>
      <c r="B414" t="s">
        <v>42</v>
      </c>
      <c r="C414">
        <v>70.61</v>
      </c>
      <c r="D414">
        <v>215</v>
      </c>
      <c r="E414" t="b">
        <v>1</v>
      </c>
      <c r="F414" t="b">
        <v>0</v>
      </c>
      <c r="G414" t="b">
        <v>1</v>
      </c>
      <c r="H414" t="s">
        <v>25</v>
      </c>
      <c r="I414" t="s">
        <v>44</v>
      </c>
      <c r="J414" t="s">
        <v>36</v>
      </c>
      <c r="K414" t="s">
        <v>28</v>
      </c>
      <c r="L414" t="s">
        <v>29</v>
      </c>
      <c r="M414" t="s">
        <v>28</v>
      </c>
      <c r="N414" t="s">
        <v>46</v>
      </c>
      <c r="O414" t="b">
        <v>0</v>
      </c>
      <c r="P414" t="b">
        <v>1</v>
      </c>
      <c r="Q414">
        <v>7.8</v>
      </c>
      <c r="R414" t="b">
        <v>1</v>
      </c>
      <c r="S414" t="s">
        <v>65</v>
      </c>
      <c r="T414">
        <v>37.6</v>
      </c>
      <c r="U414">
        <v>65.819999999999993</v>
      </c>
      <c r="V414" t="b">
        <v>1</v>
      </c>
      <c r="W414" t="s">
        <v>41</v>
      </c>
    </row>
    <row r="415" spans="1:23" x14ac:dyDescent="0.25">
      <c r="A415" t="s">
        <v>32</v>
      </c>
      <c r="B415" t="s">
        <v>71</v>
      </c>
      <c r="C415">
        <v>59.39</v>
      </c>
      <c r="D415">
        <v>599</v>
      </c>
      <c r="E415" t="b">
        <v>1</v>
      </c>
      <c r="F415" t="b">
        <v>1</v>
      </c>
      <c r="G415" t="b">
        <v>1</v>
      </c>
      <c r="H415" t="s">
        <v>34</v>
      </c>
      <c r="I415" t="s">
        <v>67</v>
      </c>
      <c r="J415" t="s">
        <v>54</v>
      </c>
      <c r="K415" t="s">
        <v>28</v>
      </c>
      <c r="L415" t="s">
        <v>51</v>
      </c>
      <c r="M415" t="s">
        <v>46</v>
      </c>
      <c r="O415" t="b">
        <v>1</v>
      </c>
      <c r="P415" t="b">
        <v>1</v>
      </c>
      <c r="Q415">
        <v>8.1</v>
      </c>
      <c r="R415" t="b">
        <v>0</v>
      </c>
      <c r="T415">
        <v>0</v>
      </c>
      <c r="U415">
        <v>56.53</v>
      </c>
      <c r="V415" t="b">
        <v>0</v>
      </c>
      <c r="W415" t="s">
        <v>58</v>
      </c>
    </row>
    <row r="416" spans="1:23" x14ac:dyDescent="0.25">
      <c r="A416" t="s">
        <v>74</v>
      </c>
      <c r="B416" t="s">
        <v>66</v>
      </c>
      <c r="C416">
        <v>67.7</v>
      </c>
      <c r="D416">
        <v>254</v>
      </c>
      <c r="E416" t="b">
        <v>0</v>
      </c>
      <c r="F416" t="b">
        <v>0</v>
      </c>
      <c r="G416" t="b">
        <v>0</v>
      </c>
      <c r="H416" t="s">
        <v>53</v>
      </c>
      <c r="I416" t="s">
        <v>44</v>
      </c>
      <c r="J416" t="s">
        <v>27</v>
      </c>
      <c r="K416" t="s">
        <v>28</v>
      </c>
      <c r="L416" t="s">
        <v>51</v>
      </c>
      <c r="M416" t="s">
        <v>28</v>
      </c>
      <c r="O416" t="b">
        <v>1</v>
      </c>
      <c r="P416" t="b">
        <v>1</v>
      </c>
      <c r="Q416">
        <v>9.5</v>
      </c>
      <c r="R416" t="b">
        <v>0</v>
      </c>
      <c r="T416">
        <v>0</v>
      </c>
      <c r="U416">
        <v>67.69</v>
      </c>
      <c r="V416" t="b">
        <v>0</v>
      </c>
      <c r="W416" t="s">
        <v>58</v>
      </c>
    </row>
    <row r="417" spans="1:23" x14ac:dyDescent="0.25">
      <c r="A417" t="s">
        <v>23</v>
      </c>
      <c r="B417" t="s">
        <v>60</v>
      </c>
      <c r="C417">
        <v>49.49</v>
      </c>
      <c r="D417">
        <v>458</v>
      </c>
      <c r="E417" t="b">
        <v>1</v>
      </c>
      <c r="F417" t="b">
        <v>0</v>
      </c>
      <c r="G417" t="b">
        <v>0</v>
      </c>
      <c r="H417" t="s">
        <v>43</v>
      </c>
      <c r="I417" t="s">
        <v>26</v>
      </c>
      <c r="J417" t="s">
        <v>54</v>
      </c>
      <c r="K417" t="s">
        <v>39</v>
      </c>
      <c r="L417" t="s">
        <v>29</v>
      </c>
      <c r="M417" t="s">
        <v>28</v>
      </c>
      <c r="N417" t="s">
        <v>39</v>
      </c>
      <c r="O417" t="b">
        <v>0</v>
      </c>
      <c r="P417" t="b">
        <v>0</v>
      </c>
      <c r="Q417">
        <v>6.3</v>
      </c>
      <c r="R417" t="b">
        <v>1</v>
      </c>
      <c r="S417" t="s">
        <v>30</v>
      </c>
      <c r="T417">
        <v>2.1</v>
      </c>
      <c r="U417">
        <v>59.44</v>
      </c>
      <c r="V417" t="b">
        <v>1</v>
      </c>
      <c r="W417" t="s">
        <v>41</v>
      </c>
    </row>
    <row r="418" spans="1:23" x14ac:dyDescent="0.25">
      <c r="A418" t="s">
        <v>56</v>
      </c>
      <c r="B418" t="s">
        <v>70</v>
      </c>
      <c r="C418">
        <v>74.19</v>
      </c>
      <c r="D418">
        <v>756</v>
      </c>
      <c r="E418" t="b">
        <v>1</v>
      </c>
      <c r="F418" t="b">
        <v>1</v>
      </c>
      <c r="G418" t="b">
        <v>1</v>
      </c>
      <c r="H418" t="s">
        <v>25</v>
      </c>
      <c r="I418" t="s">
        <v>57</v>
      </c>
      <c r="J418" t="s">
        <v>54</v>
      </c>
      <c r="K418" t="s">
        <v>46</v>
      </c>
      <c r="L418" t="s">
        <v>38</v>
      </c>
      <c r="M418" t="s">
        <v>28</v>
      </c>
      <c r="N418" t="s">
        <v>39</v>
      </c>
      <c r="O418" t="b">
        <v>1</v>
      </c>
      <c r="P418" t="b">
        <v>0</v>
      </c>
      <c r="Q418">
        <v>10</v>
      </c>
      <c r="R418" t="b">
        <v>0</v>
      </c>
      <c r="T418">
        <v>0</v>
      </c>
      <c r="U418">
        <v>74.650000000000006</v>
      </c>
      <c r="V418" t="b">
        <v>0</v>
      </c>
      <c r="W418" t="s">
        <v>58</v>
      </c>
    </row>
    <row r="419" spans="1:23" x14ac:dyDescent="0.25">
      <c r="A419" t="s">
        <v>68</v>
      </c>
      <c r="B419" t="s">
        <v>66</v>
      </c>
      <c r="C419">
        <v>74.540000000000006</v>
      </c>
      <c r="D419">
        <v>664</v>
      </c>
      <c r="E419" t="b">
        <v>1</v>
      </c>
      <c r="F419" t="b">
        <v>1</v>
      </c>
      <c r="G419" t="b">
        <v>1</v>
      </c>
      <c r="H419" t="s">
        <v>53</v>
      </c>
      <c r="I419" t="s">
        <v>35</v>
      </c>
      <c r="J419" t="s">
        <v>50</v>
      </c>
      <c r="K419" t="s">
        <v>37</v>
      </c>
      <c r="L419" t="s">
        <v>37</v>
      </c>
      <c r="M419" t="s">
        <v>28</v>
      </c>
      <c r="N419" t="s">
        <v>28</v>
      </c>
      <c r="O419" t="b">
        <v>0</v>
      </c>
      <c r="P419" t="b">
        <v>0</v>
      </c>
      <c r="Q419">
        <v>7.1</v>
      </c>
      <c r="R419" t="b">
        <v>1</v>
      </c>
      <c r="S419" t="s">
        <v>55</v>
      </c>
      <c r="T419">
        <v>20.399999999999999</v>
      </c>
      <c r="U419">
        <v>50.2</v>
      </c>
      <c r="V419" t="b">
        <v>0</v>
      </c>
      <c r="W419" t="s">
        <v>41</v>
      </c>
    </row>
    <row r="420" spans="1:23" x14ac:dyDescent="0.25">
      <c r="A420" t="s">
        <v>56</v>
      </c>
      <c r="B420" t="s">
        <v>70</v>
      </c>
      <c r="C420">
        <v>72.97</v>
      </c>
      <c r="D420">
        <v>228</v>
      </c>
      <c r="E420" t="b">
        <v>0</v>
      </c>
      <c r="F420" t="b">
        <v>0</v>
      </c>
      <c r="G420" t="b">
        <v>1</v>
      </c>
      <c r="H420" t="s">
        <v>43</v>
      </c>
      <c r="I420" t="s">
        <v>63</v>
      </c>
      <c r="J420" t="s">
        <v>27</v>
      </c>
      <c r="K420" t="s">
        <v>39</v>
      </c>
      <c r="L420" t="s">
        <v>37</v>
      </c>
      <c r="M420" t="s">
        <v>28</v>
      </c>
      <c r="N420" t="s">
        <v>46</v>
      </c>
      <c r="O420" t="b">
        <v>1</v>
      </c>
      <c r="P420" t="b">
        <v>1</v>
      </c>
      <c r="Q420">
        <v>8.9</v>
      </c>
      <c r="R420" t="b">
        <v>0</v>
      </c>
      <c r="T420">
        <v>0</v>
      </c>
      <c r="U420">
        <v>84.67</v>
      </c>
      <c r="V420" t="b">
        <v>1</v>
      </c>
      <c r="W420" t="s">
        <v>58</v>
      </c>
    </row>
    <row r="421" spans="1:23" x14ac:dyDescent="0.25">
      <c r="A421" t="s">
        <v>32</v>
      </c>
      <c r="B421" t="s">
        <v>70</v>
      </c>
      <c r="C421">
        <v>94.41</v>
      </c>
      <c r="D421">
        <v>359</v>
      </c>
      <c r="E421" t="b">
        <v>0</v>
      </c>
      <c r="F421" t="b">
        <v>1</v>
      </c>
      <c r="G421" t="b">
        <v>1</v>
      </c>
      <c r="H421" t="s">
        <v>25</v>
      </c>
      <c r="I421" t="s">
        <v>57</v>
      </c>
      <c r="J421" t="s">
        <v>50</v>
      </c>
      <c r="K421" t="s">
        <v>37</v>
      </c>
      <c r="L421" t="s">
        <v>37</v>
      </c>
      <c r="M421" t="s">
        <v>47</v>
      </c>
      <c r="O421" t="b">
        <v>1</v>
      </c>
      <c r="P421" t="b">
        <v>1</v>
      </c>
      <c r="Q421">
        <v>8.9</v>
      </c>
      <c r="R421" t="b">
        <v>1</v>
      </c>
      <c r="S421" t="s">
        <v>52</v>
      </c>
      <c r="T421">
        <v>27.7</v>
      </c>
      <c r="U421">
        <v>93.62</v>
      </c>
      <c r="V421" t="b">
        <v>1</v>
      </c>
      <c r="W421" t="s">
        <v>31</v>
      </c>
    </row>
    <row r="422" spans="1:23" x14ac:dyDescent="0.25">
      <c r="A422" t="s">
        <v>56</v>
      </c>
      <c r="B422" t="s">
        <v>49</v>
      </c>
      <c r="C422">
        <v>64.17</v>
      </c>
      <c r="D422">
        <v>580</v>
      </c>
      <c r="E422" t="b">
        <v>1</v>
      </c>
      <c r="F422" t="b">
        <v>1</v>
      </c>
      <c r="G422" t="b">
        <v>1</v>
      </c>
      <c r="H422" t="s">
        <v>25</v>
      </c>
      <c r="I422" t="s">
        <v>35</v>
      </c>
      <c r="J422" t="s">
        <v>45</v>
      </c>
      <c r="K422" t="s">
        <v>39</v>
      </c>
      <c r="L422" t="s">
        <v>38</v>
      </c>
      <c r="M422" t="s">
        <v>39</v>
      </c>
      <c r="N422" t="s">
        <v>39</v>
      </c>
      <c r="O422" t="b">
        <v>0</v>
      </c>
      <c r="P422" t="b">
        <v>0</v>
      </c>
      <c r="Q422">
        <v>6.5</v>
      </c>
      <c r="R422" t="b">
        <v>0</v>
      </c>
      <c r="T422">
        <v>0</v>
      </c>
      <c r="U422">
        <v>68.52</v>
      </c>
      <c r="V422" t="b">
        <v>1</v>
      </c>
      <c r="W422" t="s">
        <v>31</v>
      </c>
    </row>
    <row r="423" spans="1:23" x14ac:dyDescent="0.25">
      <c r="A423" t="s">
        <v>74</v>
      </c>
      <c r="B423" t="s">
        <v>73</v>
      </c>
      <c r="C423">
        <v>64.11</v>
      </c>
      <c r="D423">
        <v>617</v>
      </c>
      <c r="E423" t="b">
        <v>0</v>
      </c>
      <c r="F423" t="b">
        <v>0</v>
      </c>
      <c r="G423" t="b">
        <v>0</v>
      </c>
      <c r="H423" t="s">
        <v>25</v>
      </c>
      <c r="I423" t="s">
        <v>44</v>
      </c>
      <c r="J423" t="s">
        <v>54</v>
      </c>
      <c r="K423" t="s">
        <v>28</v>
      </c>
      <c r="L423" t="s">
        <v>29</v>
      </c>
      <c r="M423" t="s">
        <v>39</v>
      </c>
      <c r="N423" t="s">
        <v>39</v>
      </c>
      <c r="O423" t="b">
        <v>1</v>
      </c>
      <c r="P423" t="b">
        <v>1</v>
      </c>
      <c r="Q423">
        <v>8.1</v>
      </c>
      <c r="R423" t="b">
        <v>1</v>
      </c>
      <c r="S423" t="s">
        <v>64</v>
      </c>
      <c r="T423">
        <v>27</v>
      </c>
      <c r="U423">
        <v>75.42</v>
      </c>
      <c r="V423" t="b">
        <v>1</v>
      </c>
      <c r="W423" t="s">
        <v>31</v>
      </c>
    </row>
    <row r="424" spans="1:23" x14ac:dyDescent="0.25">
      <c r="A424" t="s">
        <v>61</v>
      </c>
      <c r="B424" t="s">
        <v>59</v>
      </c>
      <c r="C424">
        <v>79.69</v>
      </c>
      <c r="D424">
        <v>558</v>
      </c>
      <c r="E424" t="b">
        <v>1</v>
      </c>
      <c r="F424" t="b">
        <v>0</v>
      </c>
      <c r="G424" t="b">
        <v>1</v>
      </c>
      <c r="H424" t="s">
        <v>53</v>
      </c>
      <c r="I424" t="s">
        <v>67</v>
      </c>
      <c r="J424" t="s">
        <v>27</v>
      </c>
      <c r="K424" t="s">
        <v>39</v>
      </c>
      <c r="L424" t="s">
        <v>37</v>
      </c>
      <c r="M424" t="s">
        <v>28</v>
      </c>
      <c r="P424" t="b">
        <v>0</v>
      </c>
      <c r="Q424">
        <v>9.9</v>
      </c>
      <c r="R424" t="b">
        <v>1</v>
      </c>
      <c r="S424" t="s">
        <v>65</v>
      </c>
      <c r="T424">
        <v>43.1</v>
      </c>
      <c r="U424">
        <v>82.2</v>
      </c>
      <c r="V424" t="b">
        <v>1</v>
      </c>
      <c r="W424" t="s">
        <v>31</v>
      </c>
    </row>
    <row r="425" spans="1:23" x14ac:dyDescent="0.25">
      <c r="A425" t="s">
        <v>68</v>
      </c>
      <c r="B425" t="s">
        <v>73</v>
      </c>
      <c r="C425">
        <v>50.91</v>
      </c>
      <c r="D425">
        <v>218</v>
      </c>
      <c r="E425" t="b">
        <v>1</v>
      </c>
      <c r="F425" t="b">
        <v>1</v>
      </c>
      <c r="G425" t="b">
        <v>1</v>
      </c>
      <c r="H425" t="s">
        <v>43</v>
      </c>
      <c r="I425" t="s">
        <v>63</v>
      </c>
      <c r="J425" t="s">
        <v>36</v>
      </c>
      <c r="K425" t="s">
        <v>37</v>
      </c>
      <c r="L425" t="s">
        <v>51</v>
      </c>
      <c r="M425" t="s">
        <v>39</v>
      </c>
      <c r="N425" t="s">
        <v>28</v>
      </c>
      <c r="P425" t="b">
        <v>1</v>
      </c>
      <c r="Q425">
        <v>5.3</v>
      </c>
      <c r="R425" t="b">
        <v>1</v>
      </c>
      <c r="S425" t="s">
        <v>75</v>
      </c>
      <c r="T425">
        <v>29.7</v>
      </c>
      <c r="U425">
        <v>43.49</v>
      </c>
      <c r="V425" t="b">
        <v>1</v>
      </c>
      <c r="W425" t="s">
        <v>41</v>
      </c>
    </row>
    <row r="426" spans="1:23" x14ac:dyDescent="0.25">
      <c r="A426" t="s">
        <v>23</v>
      </c>
      <c r="B426" t="s">
        <v>71</v>
      </c>
      <c r="C426">
        <v>54.67</v>
      </c>
      <c r="D426">
        <v>283</v>
      </c>
      <c r="E426" t="b">
        <v>1</v>
      </c>
      <c r="F426" t="b">
        <v>0</v>
      </c>
      <c r="G426" t="b">
        <v>1</v>
      </c>
      <c r="H426" t="s">
        <v>43</v>
      </c>
      <c r="I426" t="s">
        <v>57</v>
      </c>
      <c r="J426" t="s">
        <v>27</v>
      </c>
      <c r="K426" t="s">
        <v>46</v>
      </c>
      <c r="L426" t="s">
        <v>38</v>
      </c>
      <c r="M426" t="s">
        <v>28</v>
      </c>
      <c r="N426" t="s">
        <v>28</v>
      </c>
      <c r="O426" t="b">
        <v>0</v>
      </c>
      <c r="P426" t="b">
        <v>0</v>
      </c>
      <c r="Q426">
        <v>7.4</v>
      </c>
      <c r="R426" t="b">
        <v>0</v>
      </c>
      <c r="T426">
        <v>0</v>
      </c>
      <c r="U426">
        <v>46.76</v>
      </c>
      <c r="V426" t="b">
        <v>0</v>
      </c>
      <c r="W426" t="s">
        <v>31</v>
      </c>
    </row>
    <row r="427" spans="1:23" x14ac:dyDescent="0.25">
      <c r="A427" t="s">
        <v>68</v>
      </c>
      <c r="B427" t="s">
        <v>71</v>
      </c>
      <c r="C427">
        <v>57.6</v>
      </c>
      <c r="D427">
        <v>89</v>
      </c>
      <c r="E427" t="b">
        <v>1</v>
      </c>
      <c r="F427" t="b">
        <v>1</v>
      </c>
      <c r="G427" t="b">
        <v>0</v>
      </c>
      <c r="H427" t="s">
        <v>34</v>
      </c>
      <c r="I427" t="s">
        <v>44</v>
      </c>
      <c r="J427" t="s">
        <v>45</v>
      </c>
      <c r="K427" t="s">
        <v>37</v>
      </c>
      <c r="L427" t="s">
        <v>38</v>
      </c>
      <c r="M427" t="s">
        <v>39</v>
      </c>
      <c r="N427" t="s">
        <v>39</v>
      </c>
      <c r="O427" t="b">
        <v>0</v>
      </c>
      <c r="P427" t="b">
        <v>0</v>
      </c>
      <c r="Q427">
        <v>5.0999999999999996</v>
      </c>
      <c r="R427" t="b">
        <v>0</v>
      </c>
      <c r="T427">
        <v>0</v>
      </c>
      <c r="U427">
        <v>46.63</v>
      </c>
      <c r="V427" t="b">
        <v>1</v>
      </c>
      <c r="W427" t="s">
        <v>41</v>
      </c>
    </row>
    <row r="428" spans="1:23" x14ac:dyDescent="0.25">
      <c r="A428" t="s">
        <v>74</v>
      </c>
      <c r="B428" t="s">
        <v>42</v>
      </c>
      <c r="C428">
        <v>81.05</v>
      </c>
      <c r="D428">
        <v>123</v>
      </c>
      <c r="E428" t="b">
        <v>1</v>
      </c>
      <c r="F428" t="b">
        <v>1</v>
      </c>
      <c r="G428" t="b">
        <v>1</v>
      </c>
      <c r="H428" t="s">
        <v>43</v>
      </c>
      <c r="I428" t="s">
        <v>67</v>
      </c>
      <c r="J428" t="s">
        <v>27</v>
      </c>
      <c r="K428" t="s">
        <v>28</v>
      </c>
      <c r="L428" t="s">
        <v>38</v>
      </c>
      <c r="M428" t="s">
        <v>28</v>
      </c>
      <c r="N428" t="s">
        <v>28</v>
      </c>
      <c r="O428" t="b">
        <v>0</v>
      </c>
      <c r="P428" t="b">
        <v>1</v>
      </c>
      <c r="Q428">
        <v>9.3000000000000007</v>
      </c>
      <c r="R428" t="b">
        <v>1</v>
      </c>
      <c r="S428" t="s">
        <v>52</v>
      </c>
      <c r="T428">
        <v>41</v>
      </c>
      <c r="U428">
        <v>92.23</v>
      </c>
      <c r="V428" t="b">
        <v>1</v>
      </c>
      <c r="W428" t="s">
        <v>31</v>
      </c>
    </row>
    <row r="429" spans="1:23" x14ac:dyDescent="0.25">
      <c r="A429" t="s">
        <v>56</v>
      </c>
      <c r="B429" t="s">
        <v>66</v>
      </c>
      <c r="C429">
        <v>60.3</v>
      </c>
      <c r="D429">
        <v>281</v>
      </c>
      <c r="E429" t="b">
        <v>1</v>
      </c>
      <c r="F429" t="b">
        <v>0</v>
      </c>
      <c r="G429" t="b">
        <v>0</v>
      </c>
      <c r="H429" t="s">
        <v>25</v>
      </c>
      <c r="I429" t="s">
        <v>44</v>
      </c>
      <c r="J429" t="s">
        <v>36</v>
      </c>
      <c r="K429" t="s">
        <v>46</v>
      </c>
      <c r="L429" t="s">
        <v>69</v>
      </c>
      <c r="M429" t="s">
        <v>39</v>
      </c>
      <c r="N429" t="s">
        <v>46</v>
      </c>
      <c r="P429" t="b">
        <v>1</v>
      </c>
      <c r="Q429">
        <v>8.1</v>
      </c>
      <c r="R429" t="b">
        <v>1</v>
      </c>
      <c r="S429" t="s">
        <v>48</v>
      </c>
      <c r="T429">
        <v>8.8000000000000007</v>
      </c>
      <c r="U429">
        <v>56.11</v>
      </c>
      <c r="V429" t="b">
        <v>0</v>
      </c>
      <c r="W429" t="s">
        <v>31</v>
      </c>
    </row>
    <row r="430" spans="1:23" x14ac:dyDescent="0.25">
      <c r="A430" t="s">
        <v>61</v>
      </c>
      <c r="B430" t="s">
        <v>76</v>
      </c>
      <c r="C430">
        <v>74.98</v>
      </c>
      <c r="D430">
        <v>253</v>
      </c>
      <c r="E430" t="b">
        <v>1</v>
      </c>
      <c r="F430" t="b">
        <v>0</v>
      </c>
      <c r="G430" t="b">
        <v>0</v>
      </c>
      <c r="H430" t="s">
        <v>25</v>
      </c>
      <c r="I430" t="s">
        <v>35</v>
      </c>
      <c r="J430" t="s">
        <v>50</v>
      </c>
      <c r="K430" t="s">
        <v>39</v>
      </c>
      <c r="L430" t="s">
        <v>51</v>
      </c>
      <c r="M430" t="s">
        <v>47</v>
      </c>
      <c r="N430" t="s">
        <v>46</v>
      </c>
      <c r="O430" t="b">
        <v>1</v>
      </c>
      <c r="P430" t="b">
        <v>0</v>
      </c>
      <c r="Q430">
        <v>9.1999999999999993</v>
      </c>
      <c r="R430" t="b">
        <v>1</v>
      </c>
      <c r="S430" t="s">
        <v>52</v>
      </c>
      <c r="T430">
        <v>38.5</v>
      </c>
      <c r="U430">
        <v>76.61</v>
      </c>
      <c r="V430" t="b">
        <v>1</v>
      </c>
      <c r="W430" t="s">
        <v>31</v>
      </c>
    </row>
    <row r="431" spans="1:23" x14ac:dyDescent="0.25">
      <c r="A431" t="s">
        <v>61</v>
      </c>
      <c r="B431" t="s">
        <v>76</v>
      </c>
      <c r="C431">
        <v>85.68</v>
      </c>
      <c r="D431">
        <v>435</v>
      </c>
      <c r="E431" t="b">
        <v>1</v>
      </c>
      <c r="F431" t="b">
        <v>0</v>
      </c>
      <c r="G431" t="b">
        <v>1</v>
      </c>
      <c r="H431" t="s">
        <v>43</v>
      </c>
      <c r="I431" t="s">
        <v>35</v>
      </c>
      <c r="J431" t="s">
        <v>54</v>
      </c>
      <c r="K431" t="s">
        <v>39</v>
      </c>
      <c r="L431" t="s">
        <v>38</v>
      </c>
      <c r="M431" t="s">
        <v>39</v>
      </c>
      <c r="N431" t="s">
        <v>28</v>
      </c>
      <c r="O431" t="b">
        <v>1</v>
      </c>
      <c r="P431" t="b">
        <v>0</v>
      </c>
      <c r="Q431">
        <v>10</v>
      </c>
      <c r="R431" t="b">
        <v>1</v>
      </c>
      <c r="S431" t="s">
        <v>30</v>
      </c>
      <c r="T431">
        <v>11.5</v>
      </c>
      <c r="U431">
        <v>91.07</v>
      </c>
      <c r="V431" t="b">
        <v>1</v>
      </c>
      <c r="W431" t="s">
        <v>31</v>
      </c>
    </row>
    <row r="432" spans="1:23" x14ac:dyDescent="0.25">
      <c r="A432" t="s">
        <v>32</v>
      </c>
      <c r="B432" t="s">
        <v>73</v>
      </c>
      <c r="C432">
        <v>64.8</v>
      </c>
      <c r="D432">
        <v>340</v>
      </c>
      <c r="E432" t="b">
        <v>1</v>
      </c>
      <c r="F432" t="b">
        <v>1</v>
      </c>
      <c r="G432" t="b">
        <v>0</v>
      </c>
      <c r="H432" t="s">
        <v>25</v>
      </c>
      <c r="I432" t="s">
        <v>63</v>
      </c>
      <c r="J432" t="s">
        <v>50</v>
      </c>
      <c r="K432" t="s">
        <v>39</v>
      </c>
      <c r="L432" t="s">
        <v>51</v>
      </c>
      <c r="M432" t="s">
        <v>47</v>
      </c>
      <c r="O432" t="b">
        <v>0</v>
      </c>
      <c r="P432" t="b">
        <v>1</v>
      </c>
      <c r="Q432">
        <v>5.3</v>
      </c>
      <c r="R432" t="b">
        <v>1</v>
      </c>
      <c r="S432" t="s">
        <v>52</v>
      </c>
      <c r="T432">
        <v>10.3</v>
      </c>
      <c r="U432">
        <v>52.55</v>
      </c>
      <c r="V432" t="b">
        <v>1</v>
      </c>
      <c r="W432" t="s">
        <v>41</v>
      </c>
    </row>
    <row r="433" spans="1:23" x14ac:dyDescent="0.25">
      <c r="A433" t="s">
        <v>74</v>
      </c>
      <c r="B433" t="s">
        <v>24</v>
      </c>
      <c r="C433">
        <v>86.3</v>
      </c>
      <c r="D433">
        <v>305</v>
      </c>
      <c r="E433" t="b">
        <v>0</v>
      </c>
      <c r="F433" t="b">
        <v>1</v>
      </c>
      <c r="G433" t="b">
        <v>0</v>
      </c>
      <c r="H433" t="s">
        <v>25</v>
      </c>
      <c r="I433" t="s">
        <v>44</v>
      </c>
      <c r="J433" t="s">
        <v>36</v>
      </c>
      <c r="K433" t="s">
        <v>37</v>
      </c>
      <c r="L433" t="s">
        <v>69</v>
      </c>
      <c r="M433" t="s">
        <v>28</v>
      </c>
      <c r="N433" t="s">
        <v>39</v>
      </c>
      <c r="O433" t="b">
        <v>1</v>
      </c>
      <c r="P433" t="b">
        <v>0</v>
      </c>
      <c r="Q433">
        <v>10</v>
      </c>
      <c r="R433" t="b">
        <v>0</v>
      </c>
      <c r="T433">
        <v>0</v>
      </c>
      <c r="U433">
        <v>99.83</v>
      </c>
      <c r="V433" t="b">
        <v>1</v>
      </c>
      <c r="W433" t="s">
        <v>58</v>
      </c>
    </row>
    <row r="434" spans="1:23" x14ac:dyDescent="0.25">
      <c r="A434" t="s">
        <v>61</v>
      </c>
      <c r="B434" t="s">
        <v>70</v>
      </c>
      <c r="C434">
        <v>85.04</v>
      </c>
      <c r="D434">
        <v>797</v>
      </c>
      <c r="E434" t="b">
        <v>0</v>
      </c>
      <c r="F434" t="b">
        <v>1</v>
      </c>
      <c r="G434" t="b">
        <v>1</v>
      </c>
      <c r="H434" t="s">
        <v>43</v>
      </c>
      <c r="I434" t="s">
        <v>57</v>
      </c>
      <c r="J434" t="s">
        <v>45</v>
      </c>
      <c r="K434" t="s">
        <v>37</v>
      </c>
      <c r="L434" t="s">
        <v>69</v>
      </c>
      <c r="M434" t="s">
        <v>28</v>
      </c>
      <c r="N434" t="s">
        <v>28</v>
      </c>
      <c r="O434" t="b">
        <v>0</v>
      </c>
      <c r="P434" t="b">
        <v>1</v>
      </c>
      <c r="Q434">
        <v>8.4</v>
      </c>
      <c r="R434" t="b">
        <v>0</v>
      </c>
      <c r="T434">
        <v>0</v>
      </c>
      <c r="U434">
        <v>88.94</v>
      </c>
      <c r="V434" t="b">
        <v>1</v>
      </c>
      <c r="W434" t="s">
        <v>58</v>
      </c>
    </row>
    <row r="435" spans="1:23" x14ac:dyDescent="0.25">
      <c r="A435" t="s">
        <v>68</v>
      </c>
      <c r="B435" t="s">
        <v>62</v>
      </c>
      <c r="C435">
        <v>65.44</v>
      </c>
      <c r="D435">
        <v>703</v>
      </c>
      <c r="E435" t="b">
        <v>1</v>
      </c>
      <c r="F435" t="b">
        <v>0</v>
      </c>
      <c r="G435" t="b">
        <v>0</v>
      </c>
      <c r="H435" t="s">
        <v>25</v>
      </c>
      <c r="I435" t="s">
        <v>26</v>
      </c>
      <c r="J435" t="s">
        <v>27</v>
      </c>
      <c r="K435" t="s">
        <v>46</v>
      </c>
      <c r="L435" t="s">
        <v>37</v>
      </c>
      <c r="M435" t="s">
        <v>28</v>
      </c>
      <c r="N435" t="s">
        <v>28</v>
      </c>
      <c r="O435" t="b">
        <v>1</v>
      </c>
      <c r="P435" t="b">
        <v>0</v>
      </c>
      <c r="Q435">
        <v>9.8000000000000007</v>
      </c>
      <c r="R435" t="b">
        <v>0</v>
      </c>
      <c r="T435">
        <v>0</v>
      </c>
      <c r="U435">
        <v>56.25</v>
      </c>
      <c r="V435" t="b">
        <v>0</v>
      </c>
      <c r="W435" t="s">
        <v>58</v>
      </c>
    </row>
    <row r="436" spans="1:23" x14ac:dyDescent="0.25">
      <c r="A436" t="s">
        <v>56</v>
      </c>
      <c r="B436" t="s">
        <v>70</v>
      </c>
      <c r="C436">
        <v>76.45</v>
      </c>
      <c r="D436">
        <v>628</v>
      </c>
      <c r="E436" t="b">
        <v>1</v>
      </c>
      <c r="F436" t="b">
        <v>1</v>
      </c>
      <c r="G436" t="b">
        <v>0</v>
      </c>
      <c r="H436" t="s">
        <v>43</v>
      </c>
      <c r="I436" t="s">
        <v>26</v>
      </c>
      <c r="J436" t="s">
        <v>54</v>
      </c>
      <c r="K436" t="s">
        <v>46</v>
      </c>
      <c r="L436" t="s">
        <v>38</v>
      </c>
      <c r="M436" t="s">
        <v>28</v>
      </c>
      <c r="N436" t="s">
        <v>46</v>
      </c>
      <c r="P436" t="b">
        <v>1</v>
      </c>
      <c r="Q436">
        <v>10</v>
      </c>
      <c r="R436" t="b">
        <v>0</v>
      </c>
      <c r="T436">
        <v>0</v>
      </c>
      <c r="U436">
        <v>68.209999999999994</v>
      </c>
      <c r="V436" t="b">
        <v>0</v>
      </c>
      <c r="W436" t="s">
        <v>58</v>
      </c>
    </row>
    <row r="437" spans="1:23" x14ac:dyDescent="0.25">
      <c r="A437" t="s">
        <v>32</v>
      </c>
      <c r="B437" t="s">
        <v>42</v>
      </c>
      <c r="C437">
        <v>83.87</v>
      </c>
      <c r="D437">
        <v>310</v>
      </c>
      <c r="E437" t="b">
        <v>0</v>
      </c>
      <c r="F437" t="b">
        <v>1</v>
      </c>
      <c r="G437" t="b">
        <v>0</v>
      </c>
      <c r="H437" t="s">
        <v>34</v>
      </c>
      <c r="I437" t="s">
        <v>35</v>
      </c>
      <c r="J437" t="s">
        <v>45</v>
      </c>
      <c r="K437" t="s">
        <v>39</v>
      </c>
      <c r="L437" t="s">
        <v>51</v>
      </c>
      <c r="M437" t="s">
        <v>47</v>
      </c>
      <c r="P437" t="b">
        <v>1</v>
      </c>
      <c r="Q437">
        <v>7.1</v>
      </c>
      <c r="R437" t="b">
        <v>1</v>
      </c>
      <c r="S437" t="s">
        <v>30</v>
      </c>
      <c r="T437">
        <v>29.4</v>
      </c>
      <c r="U437">
        <v>95.4</v>
      </c>
      <c r="V437" t="b">
        <v>0</v>
      </c>
      <c r="W437" t="s">
        <v>41</v>
      </c>
    </row>
    <row r="438" spans="1:23" x14ac:dyDescent="0.25">
      <c r="A438" t="s">
        <v>74</v>
      </c>
      <c r="B438" t="s">
        <v>59</v>
      </c>
      <c r="C438">
        <v>79.03</v>
      </c>
      <c r="D438">
        <v>625</v>
      </c>
      <c r="E438" t="b">
        <v>0</v>
      </c>
      <c r="F438" t="b">
        <v>1</v>
      </c>
      <c r="G438" t="b">
        <v>1</v>
      </c>
      <c r="H438" t="s">
        <v>34</v>
      </c>
      <c r="I438" t="s">
        <v>67</v>
      </c>
      <c r="J438" t="s">
        <v>54</v>
      </c>
      <c r="K438" t="s">
        <v>39</v>
      </c>
      <c r="L438" t="s">
        <v>51</v>
      </c>
      <c r="M438" t="s">
        <v>47</v>
      </c>
      <c r="N438" t="s">
        <v>39</v>
      </c>
      <c r="O438" t="b">
        <v>1</v>
      </c>
      <c r="P438" t="b">
        <v>0</v>
      </c>
      <c r="Q438">
        <v>8</v>
      </c>
      <c r="R438" t="b">
        <v>0</v>
      </c>
      <c r="T438">
        <v>0</v>
      </c>
      <c r="U438">
        <v>74.680000000000007</v>
      </c>
      <c r="V438" t="b">
        <v>1</v>
      </c>
      <c r="W438" t="s">
        <v>58</v>
      </c>
    </row>
    <row r="439" spans="1:23" x14ac:dyDescent="0.25">
      <c r="A439" t="s">
        <v>74</v>
      </c>
      <c r="B439" t="s">
        <v>60</v>
      </c>
      <c r="C439">
        <v>59.18</v>
      </c>
      <c r="D439">
        <v>596</v>
      </c>
      <c r="E439" t="b">
        <v>1</v>
      </c>
      <c r="F439" t="b">
        <v>0</v>
      </c>
      <c r="G439" t="b">
        <v>0</v>
      </c>
      <c r="H439" t="s">
        <v>25</v>
      </c>
      <c r="I439" t="s">
        <v>57</v>
      </c>
      <c r="J439" t="s">
        <v>45</v>
      </c>
      <c r="K439" t="s">
        <v>39</v>
      </c>
      <c r="L439" t="s">
        <v>38</v>
      </c>
      <c r="M439" t="s">
        <v>28</v>
      </c>
      <c r="N439" t="s">
        <v>28</v>
      </c>
      <c r="O439" t="b">
        <v>1</v>
      </c>
      <c r="P439" t="b">
        <v>1</v>
      </c>
      <c r="Q439">
        <v>9.6</v>
      </c>
      <c r="R439" t="b">
        <v>0</v>
      </c>
      <c r="T439">
        <v>0</v>
      </c>
      <c r="U439">
        <v>44.83</v>
      </c>
      <c r="V439" t="b">
        <v>0</v>
      </c>
      <c r="W439" t="s">
        <v>58</v>
      </c>
    </row>
    <row r="440" spans="1:23" x14ac:dyDescent="0.25">
      <c r="A440" t="s">
        <v>23</v>
      </c>
      <c r="B440" t="s">
        <v>70</v>
      </c>
      <c r="C440">
        <v>76.02</v>
      </c>
      <c r="D440">
        <v>152</v>
      </c>
      <c r="E440" t="b">
        <v>0</v>
      </c>
      <c r="F440" t="b">
        <v>1</v>
      </c>
      <c r="G440" t="b">
        <v>0</v>
      </c>
      <c r="H440" t="s">
        <v>53</v>
      </c>
      <c r="I440" t="s">
        <v>63</v>
      </c>
      <c r="J440" t="s">
        <v>54</v>
      </c>
      <c r="K440" t="s">
        <v>28</v>
      </c>
      <c r="L440" t="s">
        <v>37</v>
      </c>
      <c r="M440" t="s">
        <v>28</v>
      </c>
      <c r="N440" t="s">
        <v>39</v>
      </c>
      <c r="P440" t="b">
        <v>0</v>
      </c>
      <c r="Q440">
        <v>7.8</v>
      </c>
      <c r="R440" t="b">
        <v>1</v>
      </c>
      <c r="S440" t="s">
        <v>65</v>
      </c>
      <c r="T440">
        <v>30.4</v>
      </c>
      <c r="U440">
        <v>76.02</v>
      </c>
      <c r="V440" t="b">
        <v>1</v>
      </c>
      <c r="W440" t="s">
        <v>41</v>
      </c>
    </row>
    <row r="441" spans="1:23" x14ac:dyDescent="0.25">
      <c r="A441" t="s">
        <v>68</v>
      </c>
      <c r="B441" t="s">
        <v>59</v>
      </c>
      <c r="C441">
        <v>76.599999999999994</v>
      </c>
      <c r="D441">
        <v>263</v>
      </c>
      <c r="E441" t="b">
        <v>0</v>
      </c>
      <c r="F441" t="b">
        <v>1</v>
      </c>
      <c r="G441" t="b">
        <v>1</v>
      </c>
      <c r="H441" t="s">
        <v>53</v>
      </c>
      <c r="I441" t="s">
        <v>44</v>
      </c>
      <c r="J441" t="s">
        <v>27</v>
      </c>
      <c r="K441" t="s">
        <v>46</v>
      </c>
      <c r="L441" t="s">
        <v>29</v>
      </c>
      <c r="M441" t="s">
        <v>28</v>
      </c>
      <c r="N441" t="s">
        <v>46</v>
      </c>
      <c r="O441" t="b">
        <v>1</v>
      </c>
      <c r="P441" t="b">
        <v>0</v>
      </c>
      <c r="Q441">
        <v>9.6</v>
      </c>
      <c r="R441" t="b">
        <v>1</v>
      </c>
      <c r="S441" t="s">
        <v>65</v>
      </c>
      <c r="T441">
        <v>4.2</v>
      </c>
      <c r="U441">
        <v>79.06</v>
      </c>
      <c r="V441" t="b">
        <v>1</v>
      </c>
      <c r="W441" t="s">
        <v>31</v>
      </c>
    </row>
    <row r="442" spans="1:23" x14ac:dyDescent="0.25">
      <c r="A442" t="s">
        <v>68</v>
      </c>
      <c r="B442" t="s">
        <v>71</v>
      </c>
      <c r="C442">
        <v>49.87</v>
      </c>
      <c r="D442">
        <v>728</v>
      </c>
      <c r="E442" t="b">
        <v>0</v>
      </c>
      <c r="F442" t="b">
        <v>1</v>
      </c>
      <c r="G442" t="b">
        <v>0</v>
      </c>
      <c r="H442" t="s">
        <v>25</v>
      </c>
      <c r="I442" t="s">
        <v>26</v>
      </c>
      <c r="J442" t="s">
        <v>36</v>
      </c>
      <c r="K442" t="s">
        <v>46</v>
      </c>
      <c r="L442" t="s">
        <v>38</v>
      </c>
      <c r="M442" t="s">
        <v>46</v>
      </c>
      <c r="O442" t="b">
        <v>0</v>
      </c>
      <c r="P442" t="b">
        <v>1</v>
      </c>
      <c r="Q442">
        <v>4.7</v>
      </c>
      <c r="R442" t="b">
        <v>1</v>
      </c>
      <c r="S442" t="s">
        <v>55</v>
      </c>
      <c r="T442">
        <v>12.7</v>
      </c>
      <c r="U442">
        <v>38.28</v>
      </c>
      <c r="V442" t="b">
        <v>1</v>
      </c>
      <c r="W442" t="s">
        <v>72</v>
      </c>
    </row>
    <row r="443" spans="1:23" x14ac:dyDescent="0.25">
      <c r="A443" t="s">
        <v>68</v>
      </c>
      <c r="B443" t="s">
        <v>59</v>
      </c>
      <c r="C443">
        <v>92.18</v>
      </c>
      <c r="D443">
        <v>670</v>
      </c>
      <c r="E443" t="b">
        <v>1</v>
      </c>
      <c r="F443" t="b">
        <v>1</v>
      </c>
      <c r="G443" t="b">
        <v>0</v>
      </c>
      <c r="H443" t="s">
        <v>43</v>
      </c>
      <c r="I443" t="s">
        <v>35</v>
      </c>
      <c r="J443" t="s">
        <v>54</v>
      </c>
      <c r="K443" t="s">
        <v>39</v>
      </c>
      <c r="L443" t="s">
        <v>69</v>
      </c>
      <c r="M443" t="s">
        <v>47</v>
      </c>
      <c r="P443" t="b">
        <v>1</v>
      </c>
      <c r="Q443">
        <v>9.3000000000000007</v>
      </c>
      <c r="R443" t="b">
        <v>0</v>
      </c>
      <c r="T443">
        <v>0</v>
      </c>
      <c r="U443">
        <v>90.9</v>
      </c>
      <c r="V443" t="b">
        <v>1</v>
      </c>
      <c r="W443" t="s">
        <v>58</v>
      </c>
    </row>
    <row r="444" spans="1:23" x14ac:dyDescent="0.25">
      <c r="A444" t="s">
        <v>68</v>
      </c>
      <c r="B444" t="s">
        <v>71</v>
      </c>
      <c r="C444">
        <v>58.19</v>
      </c>
      <c r="D444">
        <v>643</v>
      </c>
      <c r="E444" t="b">
        <v>1</v>
      </c>
      <c r="F444" t="b">
        <v>1</v>
      </c>
      <c r="G444" t="b">
        <v>0</v>
      </c>
      <c r="H444" t="s">
        <v>43</v>
      </c>
      <c r="I444" t="s">
        <v>26</v>
      </c>
      <c r="J444" t="s">
        <v>45</v>
      </c>
      <c r="K444" t="s">
        <v>28</v>
      </c>
      <c r="L444" t="s">
        <v>37</v>
      </c>
      <c r="M444" t="s">
        <v>47</v>
      </c>
      <c r="N444" t="s">
        <v>46</v>
      </c>
      <c r="O444" t="b">
        <v>0</v>
      </c>
      <c r="P444" t="b">
        <v>1</v>
      </c>
      <c r="Q444">
        <v>4.5999999999999996</v>
      </c>
      <c r="R444" t="b">
        <v>1</v>
      </c>
      <c r="S444" t="s">
        <v>64</v>
      </c>
      <c r="T444">
        <v>32.700000000000003</v>
      </c>
      <c r="U444">
        <v>51.73</v>
      </c>
      <c r="V444" t="b">
        <v>1</v>
      </c>
      <c r="W444" t="s">
        <v>72</v>
      </c>
    </row>
    <row r="445" spans="1:23" x14ac:dyDescent="0.25">
      <c r="A445" t="s">
        <v>61</v>
      </c>
      <c r="B445" t="s">
        <v>42</v>
      </c>
      <c r="C445">
        <v>74.47</v>
      </c>
      <c r="D445">
        <v>83</v>
      </c>
      <c r="E445" t="b">
        <v>0</v>
      </c>
      <c r="F445" t="b">
        <v>0</v>
      </c>
      <c r="G445" t="b">
        <v>1</v>
      </c>
      <c r="H445" t="s">
        <v>53</v>
      </c>
      <c r="I445" t="s">
        <v>67</v>
      </c>
      <c r="J445" t="s">
        <v>36</v>
      </c>
      <c r="K445" t="s">
        <v>46</v>
      </c>
      <c r="L445" t="s">
        <v>51</v>
      </c>
      <c r="M445" t="s">
        <v>39</v>
      </c>
      <c r="N445" t="s">
        <v>28</v>
      </c>
      <c r="P445" t="b">
        <v>1</v>
      </c>
      <c r="Q445">
        <v>7.3</v>
      </c>
      <c r="R445" t="b">
        <v>1</v>
      </c>
      <c r="S445" t="s">
        <v>52</v>
      </c>
      <c r="T445">
        <v>3.2</v>
      </c>
      <c r="U445">
        <v>85.22</v>
      </c>
      <c r="V445" t="b">
        <v>1</v>
      </c>
      <c r="W445" t="s">
        <v>41</v>
      </c>
    </row>
    <row r="446" spans="1:23" x14ac:dyDescent="0.25">
      <c r="A446" t="s">
        <v>74</v>
      </c>
      <c r="B446" t="s">
        <v>24</v>
      </c>
      <c r="C446">
        <v>92.53</v>
      </c>
      <c r="D446">
        <v>417</v>
      </c>
      <c r="E446" t="b">
        <v>1</v>
      </c>
      <c r="F446" t="b">
        <v>1</v>
      </c>
      <c r="G446" t="b">
        <v>1</v>
      </c>
      <c r="H446" t="s">
        <v>53</v>
      </c>
      <c r="I446" t="s">
        <v>57</v>
      </c>
      <c r="J446" t="s">
        <v>27</v>
      </c>
      <c r="K446" t="s">
        <v>46</v>
      </c>
      <c r="L446" t="s">
        <v>69</v>
      </c>
      <c r="M446" t="s">
        <v>39</v>
      </c>
      <c r="N446" t="s">
        <v>28</v>
      </c>
      <c r="P446" t="b">
        <v>1</v>
      </c>
      <c r="Q446">
        <v>10</v>
      </c>
      <c r="R446" t="b">
        <v>0</v>
      </c>
      <c r="T446">
        <v>0</v>
      </c>
      <c r="U446">
        <v>84.11</v>
      </c>
      <c r="V446" t="b">
        <v>1</v>
      </c>
      <c r="W446" t="s">
        <v>58</v>
      </c>
    </row>
    <row r="447" spans="1:23" x14ac:dyDescent="0.25">
      <c r="A447" t="s">
        <v>74</v>
      </c>
      <c r="B447" t="s">
        <v>71</v>
      </c>
      <c r="C447">
        <v>48.21</v>
      </c>
      <c r="D447">
        <v>720</v>
      </c>
      <c r="E447" t="b">
        <v>0</v>
      </c>
      <c r="F447" t="b">
        <v>1</v>
      </c>
      <c r="G447" t="b">
        <v>1</v>
      </c>
      <c r="H447" t="s">
        <v>43</v>
      </c>
      <c r="I447" t="s">
        <v>67</v>
      </c>
      <c r="J447" t="s">
        <v>50</v>
      </c>
      <c r="K447" t="s">
        <v>39</v>
      </c>
      <c r="L447" t="s">
        <v>29</v>
      </c>
      <c r="M447" t="s">
        <v>47</v>
      </c>
      <c r="N447" t="s">
        <v>28</v>
      </c>
      <c r="P447" t="b">
        <v>0</v>
      </c>
      <c r="Q447">
        <v>3.3</v>
      </c>
      <c r="R447" t="b">
        <v>1</v>
      </c>
      <c r="S447" t="s">
        <v>65</v>
      </c>
      <c r="T447">
        <v>13.2</v>
      </c>
      <c r="U447">
        <v>49.33</v>
      </c>
      <c r="V447" t="b">
        <v>1</v>
      </c>
      <c r="W447" t="s">
        <v>72</v>
      </c>
    </row>
    <row r="448" spans="1:23" x14ac:dyDescent="0.25">
      <c r="A448" t="s">
        <v>68</v>
      </c>
      <c r="B448" t="s">
        <v>62</v>
      </c>
      <c r="C448">
        <v>74.760000000000005</v>
      </c>
      <c r="D448">
        <v>698</v>
      </c>
      <c r="E448" t="b">
        <v>1</v>
      </c>
      <c r="F448" t="b">
        <v>0</v>
      </c>
      <c r="G448" t="b">
        <v>0</v>
      </c>
      <c r="H448" t="s">
        <v>34</v>
      </c>
      <c r="I448" t="s">
        <v>63</v>
      </c>
      <c r="J448" t="s">
        <v>54</v>
      </c>
      <c r="K448" t="s">
        <v>46</v>
      </c>
      <c r="L448" t="s">
        <v>69</v>
      </c>
      <c r="M448" t="s">
        <v>47</v>
      </c>
      <c r="N448" t="s">
        <v>39</v>
      </c>
      <c r="O448" t="b">
        <v>0</v>
      </c>
      <c r="P448" t="b">
        <v>0</v>
      </c>
      <c r="Q448">
        <v>8.8000000000000007</v>
      </c>
      <c r="R448" t="b">
        <v>1</v>
      </c>
      <c r="S448" t="s">
        <v>40</v>
      </c>
      <c r="T448">
        <v>43.6</v>
      </c>
      <c r="U448">
        <v>84.8</v>
      </c>
      <c r="V448" t="b">
        <v>1</v>
      </c>
      <c r="W448" t="s">
        <v>31</v>
      </c>
    </row>
    <row r="449" spans="1:23" x14ac:dyDescent="0.25">
      <c r="A449" t="s">
        <v>56</v>
      </c>
      <c r="B449" t="s">
        <v>76</v>
      </c>
      <c r="C449">
        <v>74.069999999999993</v>
      </c>
      <c r="D449">
        <v>728</v>
      </c>
      <c r="E449" t="b">
        <v>1</v>
      </c>
      <c r="F449" t="b">
        <v>1</v>
      </c>
      <c r="G449" t="b">
        <v>0</v>
      </c>
      <c r="H449" t="s">
        <v>53</v>
      </c>
      <c r="I449" t="s">
        <v>57</v>
      </c>
      <c r="J449" t="s">
        <v>27</v>
      </c>
      <c r="K449" t="s">
        <v>39</v>
      </c>
      <c r="L449" t="s">
        <v>29</v>
      </c>
      <c r="M449" t="s">
        <v>46</v>
      </c>
      <c r="O449" t="b">
        <v>0</v>
      </c>
      <c r="P449" t="b">
        <v>0</v>
      </c>
      <c r="Q449">
        <v>7.3</v>
      </c>
      <c r="R449" t="b">
        <v>1</v>
      </c>
      <c r="S449" t="s">
        <v>64</v>
      </c>
      <c r="T449">
        <v>11.1</v>
      </c>
      <c r="U449">
        <v>65.53</v>
      </c>
      <c r="V449" t="b">
        <v>1</v>
      </c>
      <c r="W449" t="s">
        <v>41</v>
      </c>
    </row>
    <row r="450" spans="1:23" x14ac:dyDescent="0.25">
      <c r="A450" t="s">
        <v>61</v>
      </c>
      <c r="B450" t="s">
        <v>49</v>
      </c>
      <c r="C450">
        <v>78.95</v>
      </c>
      <c r="D450">
        <v>297</v>
      </c>
      <c r="E450" t="b">
        <v>1</v>
      </c>
      <c r="F450" t="b">
        <v>0</v>
      </c>
      <c r="G450" t="b">
        <v>0</v>
      </c>
      <c r="H450" t="s">
        <v>34</v>
      </c>
      <c r="I450" t="s">
        <v>63</v>
      </c>
      <c r="J450" t="s">
        <v>54</v>
      </c>
      <c r="K450" t="s">
        <v>28</v>
      </c>
      <c r="L450" t="s">
        <v>38</v>
      </c>
      <c r="M450" t="s">
        <v>46</v>
      </c>
      <c r="N450" t="s">
        <v>39</v>
      </c>
      <c r="O450" t="b">
        <v>1</v>
      </c>
      <c r="P450" t="b">
        <v>0</v>
      </c>
      <c r="Q450">
        <v>10</v>
      </c>
      <c r="R450" t="b">
        <v>0</v>
      </c>
      <c r="T450">
        <v>0</v>
      </c>
      <c r="U450">
        <v>92.56</v>
      </c>
      <c r="V450" t="b">
        <v>1</v>
      </c>
      <c r="W450" t="s">
        <v>58</v>
      </c>
    </row>
    <row r="451" spans="1:23" x14ac:dyDescent="0.25">
      <c r="A451" t="s">
        <v>68</v>
      </c>
      <c r="B451" t="s">
        <v>60</v>
      </c>
      <c r="C451">
        <v>57.61</v>
      </c>
      <c r="D451">
        <v>285</v>
      </c>
      <c r="E451" t="b">
        <v>1</v>
      </c>
      <c r="F451" t="b">
        <v>0</v>
      </c>
      <c r="G451" t="b">
        <v>0</v>
      </c>
      <c r="H451" t="s">
        <v>25</v>
      </c>
      <c r="I451" t="s">
        <v>63</v>
      </c>
      <c r="J451" t="s">
        <v>27</v>
      </c>
      <c r="K451" t="s">
        <v>39</v>
      </c>
      <c r="L451" t="s">
        <v>38</v>
      </c>
      <c r="M451" t="s">
        <v>46</v>
      </c>
      <c r="P451" t="b">
        <v>0</v>
      </c>
      <c r="Q451">
        <v>7.5</v>
      </c>
      <c r="R451" t="b">
        <v>0</v>
      </c>
      <c r="T451">
        <v>0</v>
      </c>
      <c r="U451">
        <v>71.36</v>
      </c>
      <c r="V451" t="b">
        <v>1</v>
      </c>
      <c r="W451" t="s">
        <v>31</v>
      </c>
    </row>
    <row r="452" spans="1:23" x14ac:dyDescent="0.25">
      <c r="A452" t="s">
        <v>68</v>
      </c>
      <c r="B452" t="s">
        <v>66</v>
      </c>
      <c r="C452">
        <v>59.87</v>
      </c>
      <c r="D452">
        <v>600</v>
      </c>
      <c r="E452" t="b">
        <v>1</v>
      </c>
      <c r="F452" t="b">
        <v>1</v>
      </c>
      <c r="G452" t="b">
        <v>0</v>
      </c>
      <c r="H452" t="s">
        <v>34</v>
      </c>
      <c r="I452" t="s">
        <v>63</v>
      </c>
      <c r="J452" t="s">
        <v>50</v>
      </c>
      <c r="K452" t="s">
        <v>39</v>
      </c>
      <c r="L452" t="s">
        <v>69</v>
      </c>
      <c r="M452" t="s">
        <v>46</v>
      </c>
      <c r="N452" t="s">
        <v>28</v>
      </c>
      <c r="O452" t="b">
        <v>1</v>
      </c>
      <c r="P452" t="b">
        <v>0</v>
      </c>
      <c r="Q452">
        <v>8.8000000000000007</v>
      </c>
      <c r="R452" t="b">
        <v>0</v>
      </c>
      <c r="T452">
        <v>0</v>
      </c>
      <c r="U452">
        <v>44.38</v>
      </c>
      <c r="V452" t="b">
        <v>0</v>
      </c>
      <c r="W452" t="s">
        <v>58</v>
      </c>
    </row>
    <row r="453" spans="1:23" x14ac:dyDescent="0.25">
      <c r="A453" t="s">
        <v>74</v>
      </c>
      <c r="B453" t="s">
        <v>49</v>
      </c>
      <c r="C453">
        <v>76.75</v>
      </c>
      <c r="D453">
        <v>630</v>
      </c>
      <c r="E453" t="b">
        <v>1</v>
      </c>
      <c r="F453" t="b">
        <v>0</v>
      </c>
      <c r="G453" t="b">
        <v>1</v>
      </c>
      <c r="H453" t="s">
        <v>53</v>
      </c>
      <c r="I453" t="s">
        <v>44</v>
      </c>
      <c r="J453" t="s">
        <v>45</v>
      </c>
      <c r="K453" t="s">
        <v>46</v>
      </c>
      <c r="L453" t="s">
        <v>29</v>
      </c>
      <c r="M453" t="s">
        <v>46</v>
      </c>
      <c r="N453" t="s">
        <v>28</v>
      </c>
      <c r="O453" t="b">
        <v>1</v>
      </c>
      <c r="P453" t="b">
        <v>1</v>
      </c>
      <c r="Q453">
        <v>10</v>
      </c>
      <c r="R453" t="b">
        <v>0</v>
      </c>
      <c r="T453">
        <v>0</v>
      </c>
      <c r="U453">
        <v>85.95</v>
      </c>
      <c r="V453" t="b">
        <v>1</v>
      </c>
      <c r="W453" t="s">
        <v>58</v>
      </c>
    </row>
    <row r="454" spans="1:23" x14ac:dyDescent="0.25">
      <c r="A454" t="s">
        <v>61</v>
      </c>
      <c r="B454" t="s">
        <v>76</v>
      </c>
      <c r="C454">
        <v>73.88</v>
      </c>
      <c r="D454">
        <v>340</v>
      </c>
      <c r="E454" t="b">
        <v>0</v>
      </c>
      <c r="F454" t="b">
        <v>0</v>
      </c>
      <c r="G454" t="b">
        <v>1</v>
      </c>
      <c r="H454" t="s">
        <v>53</v>
      </c>
      <c r="I454" t="s">
        <v>26</v>
      </c>
      <c r="J454" t="s">
        <v>54</v>
      </c>
      <c r="K454" t="s">
        <v>37</v>
      </c>
      <c r="L454" t="s">
        <v>69</v>
      </c>
      <c r="M454" t="s">
        <v>39</v>
      </c>
      <c r="N454" t="s">
        <v>39</v>
      </c>
      <c r="O454" t="b">
        <v>1</v>
      </c>
      <c r="P454" t="b">
        <v>1</v>
      </c>
      <c r="Q454">
        <v>9.1</v>
      </c>
      <c r="R454" t="b">
        <v>1</v>
      </c>
      <c r="S454" t="s">
        <v>52</v>
      </c>
      <c r="T454">
        <v>35.9</v>
      </c>
      <c r="U454">
        <v>65.22</v>
      </c>
      <c r="V454" t="b">
        <v>0</v>
      </c>
      <c r="W454" t="s">
        <v>31</v>
      </c>
    </row>
    <row r="455" spans="1:23" x14ac:dyDescent="0.25">
      <c r="A455" t="s">
        <v>56</v>
      </c>
      <c r="B455" t="s">
        <v>33</v>
      </c>
      <c r="C455">
        <v>77.31</v>
      </c>
      <c r="D455">
        <v>672</v>
      </c>
      <c r="E455" t="b">
        <v>1</v>
      </c>
      <c r="F455" t="b">
        <v>1</v>
      </c>
      <c r="G455" t="b">
        <v>0</v>
      </c>
      <c r="H455" t="s">
        <v>25</v>
      </c>
      <c r="I455" t="s">
        <v>44</v>
      </c>
      <c r="J455" t="s">
        <v>27</v>
      </c>
      <c r="K455" t="s">
        <v>39</v>
      </c>
      <c r="L455" t="s">
        <v>37</v>
      </c>
      <c r="M455" t="s">
        <v>28</v>
      </c>
      <c r="N455" t="s">
        <v>28</v>
      </c>
      <c r="O455" t="b">
        <v>1</v>
      </c>
      <c r="P455" t="b">
        <v>1</v>
      </c>
      <c r="Q455">
        <v>10</v>
      </c>
      <c r="R455" t="b">
        <v>0</v>
      </c>
      <c r="T455">
        <v>0</v>
      </c>
      <c r="U455">
        <v>63.18</v>
      </c>
      <c r="V455" t="b">
        <v>0</v>
      </c>
      <c r="W455" t="s">
        <v>58</v>
      </c>
    </row>
    <row r="456" spans="1:23" x14ac:dyDescent="0.25">
      <c r="A456" t="s">
        <v>68</v>
      </c>
      <c r="B456" t="s">
        <v>42</v>
      </c>
      <c r="C456">
        <v>76.02</v>
      </c>
      <c r="D456">
        <v>750</v>
      </c>
      <c r="E456" t="b">
        <v>0</v>
      </c>
      <c r="F456" t="b">
        <v>1</v>
      </c>
      <c r="G456" t="b">
        <v>0</v>
      </c>
      <c r="H456" t="s">
        <v>34</v>
      </c>
      <c r="I456" t="s">
        <v>67</v>
      </c>
      <c r="J456" t="s">
        <v>27</v>
      </c>
      <c r="K456" t="s">
        <v>28</v>
      </c>
      <c r="L456" t="s">
        <v>51</v>
      </c>
      <c r="M456" t="s">
        <v>39</v>
      </c>
      <c r="P456" t="b">
        <v>0</v>
      </c>
      <c r="Q456">
        <v>7.2</v>
      </c>
      <c r="R456" t="b">
        <v>1</v>
      </c>
      <c r="S456" t="s">
        <v>55</v>
      </c>
      <c r="T456">
        <v>12.8</v>
      </c>
      <c r="U456">
        <v>88.41</v>
      </c>
      <c r="V456" t="b">
        <v>1</v>
      </c>
      <c r="W456" t="s">
        <v>41</v>
      </c>
    </row>
    <row r="457" spans="1:23" x14ac:dyDescent="0.25">
      <c r="A457" t="s">
        <v>61</v>
      </c>
      <c r="B457" t="s">
        <v>62</v>
      </c>
      <c r="C457">
        <v>69.739999999999995</v>
      </c>
      <c r="D457">
        <v>65</v>
      </c>
      <c r="E457" t="b">
        <v>1</v>
      </c>
      <c r="F457" t="b">
        <v>0</v>
      </c>
      <c r="G457" t="b">
        <v>0</v>
      </c>
      <c r="H457" t="s">
        <v>43</v>
      </c>
      <c r="I457" t="s">
        <v>44</v>
      </c>
      <c r="J457" t="s">
        <v>36</v>
      </c>
      <c r="K457" t="s">
        <v>39</v>
      </c>
      <c r="L457" t="s">
        <v>29</v>
      </c>
      <c r="M457" t="s">
        <v>28</v>
      </c>
      <c r="O457" t="b">
        <v>1</v>
      </c>
      <c r="P457" t="b">
        <v>1</v>
      </c>
      <c r="Q457">
        <v>10</v>
      </c>
      <c r="R457" t="b">
        <v>1</v>
      </c>
      <c r="S457" t="s">
        <v>65</v>
      </c>
      <c r="T457">
        <v>8.1999999999999993</v>
      </c>
      <c r="U457">
        <v>58.93</v>
      </c>
      <c r="V457" t="b">
        <v>0</v>
      </c>
      <c r="W457" t="s">
        <v>31</v>
      </c>
    </row>
    <row r="458" spans="1:23" x14ac:dyDescent="0.25">
      <c r="A458" t="s">
        <v>32</v>
      </c>
      <c r="B458" t="s">
        <v>24</v>
      </c>
      <c r="C458">
        <v>93.21</v>
      </c>
      <c r="D458">
        <v>95</v>
      </c>
      <c r="E458" t="b">
        <v>0</v>
      </c>
      <c r="F458" t="b">
        <v>0</v>
      </c>
      <c r="G458" t="b">
        <v>0</v>
      </c>
      <c r="H458" t="s">
        <v>34</v>
      </c>
      <c r="I458" t="s">
        <v>35</v>
      </c>
      <c r="J458" t="s">
        <v>27</v>
      </c>
      <c r="K458" t="s">
        <v>46</v>
      </c>
      <c r="L458" t="s">
        <v>37</v>
      </c>
      <c r="M458" t="s">
        <v>46</v>
      </c>
      <c r="N458" t="s">
        <v>28</v>
      </c>
      <c r="P458" t="b">
        <v>1</v>
      </c>
      <c r="Q458">
        <v>9.6</v>
      </c>
      <c r="R458" t="b">
        <v>0</v>
      </c>
      <c r="T458">
        <v>0</v>
      </c>
      <c r="U458">
        <v>90.67</v>
      </c>
      <c r="V458" t="b">
        <v>1</v>
      </c>
      <c r="W458" t="s">
        <v>58</v>
      </c>
    </row>
    <row r="459" spans="1:23" x14ac:dyDescent="0.25">
      <c r="A459" t="s">
        <v>56</v>
      </c>
      <c r="B459" t="s">
        <v>33</v>
      </c>
      <c r="C459">
        <v>75.27</v>
      </c>
      <c r="D459">
        <v>230</v>
      </c>
      <c r="E459" t="b">
        <v>0</v>
      </c>
      <c r="F459" t="b">
        <v>0</v>
      </c>
      <c r="G459" t="b">
        <v>1</v>
      </c>
      <c r="H459" t="s">
        <v>34</v>
      </c>
      <c r="I459" t="s">
        <v>67</v>
      </c>
      <c r="J459" t="s">
        <v>54</v>
      </c>
      <c r="K459" t="s">
        <v>28</v>
      </c>
      <c r="L459" t="s">
        <v>37</v>
      </c>
      <c r="M459" t="s">
        <v>39</v>
      </c>
      <c r="N459" t="s">
        <v>39</v>
      </c>
      <c r="P459" t="b">
        <v>1</v>
      </c>
      <c r="Q459">
        <v>7.4</v>
      </c>
      <c r="R459" t="b">
        <v>0</v>
      </c>
      <c r="T459">
        <v>0</v>
      </c>
      <c r="U459">
        <v>71.010000000000005</v>
      </c>
      <c r="V459" t="b">
        <v>1</v>
      </c>
      <c r="W459" t="s">
        <v>31</v>
      </c>
    </row>
    <row r="460" spans="1:23" x14ac:dyDescent="0.25">
      <c r="A460" t="s">
        <v>56</v>
      </c>
      <c r="B460" t="s">
        <v>76</v>
      </c>
      <c r="C460">
        <v>70.06</v>
      </c>
      <c r="D460">
        <v>710</v>
      </c>
      <c r="E460" t="b">
        <v>1</v>
      </c>
      <c r="F460" t="b">
        <v>1</v>
      </c>
      <c r="G460" t="b">
        <v>1</v>
      </c>
      <c r="H460" t="s">
        <v>34</v>
      </c>
      <c r="I460" t="s">
        <v>35</v>
      </c>
      <c r="J460" t="s">
        <v>54</v>
      </c>
      <c r="K460" t="s">
        <v>46</v>
      </c>
      <c r="L460" t="s">
        <v>69</v>
      </c>
      <c r="M460" t="s">
        <v>47</v>
      </c>
      <c r="N460" t="s">
        <v>28</v>
      </c>
      <c r="O460" t="b">
        <v>0</v>
      </c>
      <c r="P460" t="b">
        <v>1</v>
      </c>
      <c r="Q460">
        <v>6.7</v>
      </c>
      <c r="R460" t="b">
        <v>1</v>
      </c>
      <c r="S460" t="s">
        <v>75</v>
      </c>
      <c r="T460">
        <v>10</v>
      </c>
      <c r="U460">
        <v>60.85</v>
      </c>
      <c r="V460" t="b">
        <v>1</v>
      </c>
      <c r="W460" t="s">
        <v>41</v>
      </c>
    </row>
    <row r="461" spans="1:23" x14ac:dyDescent="0.25">
      <c r="A461" t="s">
        <v>32</v>
      </c>
      <c r="B461" t="s">
        <v>76</v>
      </c>
      <c r="C461">
        <v>71.83</v>
      </c>
      <c r="D461">
        <v>660</v>
      </c>
      <c r="E461" t="b">
        <v>0</v>
      </c>
      <c r="F461" t="b">
        <v>0</v>
      </c>
      <c r="G461" t="b">
        <v>0</v>
      </c>
      <c r="H461" t="s">
        <v>25</v>
      </c>
      <c r="I461" t="s">
        <v>35</v>
      </c>
      <c r="J461" t="s">
        <v>27</v>
      </c>
      <c r="K461" t="s">
        <v>37</v>
      </c>
      <c r="L461" t="s">
        <v>38</v>
      </c>
      <c r="M461" t="s">
        <v>28</v>
      </c>
      <c r="N461" t="s">
        <v>39</v>
      </c>
      <c r="O461" t="b">
        <v>1</v>
      </c>
      <c r="P461" t="b">
        <v>1</v>
      </c>
      <c r="Q461">
        <v>10</v>
      </c>
      <c r="R461" t="b">
        <v>1</v>
      </c>
      <c r="S461" t="s">
        <v>75</v>
      </c>
      <c r="T461">
        <v>12.7</v>
      </c>
      <c r="U461">
        <v>66.3</v>
      </c>
      <c r="V461" t="b">
        <v>0</v>
      </c>
      <c r="W461" t="s">
        <v>31</v>
      </c>
    </row>
    <row r="462" spans="1:23" x14ac:dyDescent="0.25">
      <c r="A462" t="s">
        <v>74</v>
      </c>
      <c r="B462" t="s">
        <v>24</v>
      </c>
      <c r="C462">
        <v>88.49</v>
      </c>
      <c r="D462">
        <v>789</v>
      </c>
      <c r="E462" t="b">
        <v>0</v>
      </c>
      <c r="F462" t="b">
        <v>0</v>
      </c>
      <c r="G462" t="b">
        <v>0</v>
      </c>
      <c r="H462" t="s">
        <v>34</v>
      </c>
      <c r="I462" t="s">
        <v>63</v>
      </c>
      <c r="J462" t="s">
        <v>36</v>
      </c>
      <c r="K462" t="s">
        <v>46</v>
      </c>
      <c r="L462" t="s">
        <v>37</v>
      </c>
      <c r="M462" t="s">
        <v>39</v>
      </c>
      <c r="N462" t="s">
        <v>39</v>
      </c>
      <c r="O462" t="b">
        <v>0</v>
      </c>
      <c r="P462" t="b">
        <v>1</v>
      </c>
      <c r="Q462">
        <v>7.9</v>
      </c>
      <c r="R462" t="b">
        <v>0</v>
      </c>
      <c r="T462">
        <v>0</v>
      </c>
      <c r="U462">
        <v>73.78</v>
      </c>
      <c r="V462" t="b">
        <v>1</v>
      </c>
      <c r="W462" t="s">
        <v>31</v>
      </c>
    </row>
    <row r="463" spans="1:23" x14ac:dyDescent="0.25">
      <c r="A463" t="s">
        <v>23</v>
      </c>
      <c r="B463" t="s">
        <v>33</v>
      </c>
      <c r="C463">
        <v>80.599999999999994</v>
      </c>
      <c r="D463">
        <v>291</v>
      </c>
      <c r="E463" t="b">
        <v>0</v>
      </c>
      <c r="F463" t="b">
        <v>1</v>
      </c>
      <c r="G463" t="b">
        <v>0</v>
      </c>
      <c r="H463" t="s">
        <v>25</v>
      </c>
      <c r="I463" t="s">
        <v>57</v>
      </c>
      <c r="J463" t="s">
        <v>54</v>
      </c>
      <c r="K463" t="s">
        <v>28</v>
      </c>
      <c r="L463" t="s">
        <v>37</v>
      </c>
      <c r="M463" t="s">
        <v>39</v>
      </c>
      <c r="N463" t="s">
        <v>28</v>
      </c>
      <c r="O463" t="b">
        <v>1</v>
      </c>
      <c r="P463" t="b">
        <v>1</v>
      </c>
      <c r="Q463">
        <v>9.5</v>
      </c>
      <c r="R463" t="b">
        <v>0</v>
      </c>
      <c r="T463">
        <v>0</v>
      </c>
      <c r="U463">
        <v>93.68</v>
      </c>
      <c r="V463" t="b">
        <v>1</v>
      </c>
      <c r="W463" t="s">
        <v>58</v>
      </c>
    </row>
    <row r="464" spans="1:23" x14ac:dyDescent="0.25">
      <c r="A464" t="s">
        <v>56</v>
      </c>
      <c r="B464" t="s">
        <v>59</v>
      </c>
      <c r="C464">
        <v>94.17</v>
      </c>
      <c r="D464">
        <v>637</v>
      </c>
      <c r="E464" t="b">
        <v>1</v>
      </c>
      <c r="F464" t="b">
        <v>1</v>
      </c>
      <c r="G464" t="b">
        <v>1</v>
      </c>
      <c r="H464" t="s">
        <v>43</v>
      </c>
      <c r="I464" t="s">
        <v>35</v>
      </c>
      <c r="J464" t="s">
        <v>50</v>
      </c>
      <c r="K464" t="s">
        <v>28</v>
      </c>
      <c r="L464" t="s">
        <v>38</v>
      </c>
      <c r="M464" t="s">
        <v>28</v>
      </c>
      <c r="N464" t="s">
        <v>46</v>
      </c>
      <c r="O464" t="b">
        <v>1</v>
      </c>
      <c r="P464" t="b">
        <v>1</v>
      </c>
      <c r="Q464">
        <v>10</v>
      </c>
      <c r="R464" t="b">
        <v>1</v>
      </c>
      <c r="S464" t="s">
        <v>64</v>
      </c>
      <c r="T464">
        <v>34.799999999999997</v>
      </c>
      <c r="U464">
        <v>96.63</v>
      </c>
      <c r="V464" t="b">
        <v>1</v>
      </c>
      <c r="W464" t="s">
        <v>31</v>
      </c>
    </row>
    <row r="465" spans="1:23" x14ac:dyDescent="0.25">
      <c r="A465" t="s">
        <v>32</v>
      </c>
      <c r="B465" t="s">
        <v>24</v>
      </c>
      <c r="C465">
        <v>94.45</v>
      </c>
      <c r="D465">
        <v>519</v>
      </c>
      <c r="E465" t="b">
        <v>1</v>
      </c>
      <c r="F465" t="b">
        <v>0</v>
      </c>
      <c r="G465" t="b">
        <v>1</v>
      </c>
      <c r="H465" t="s">
        <v>34</v>
      </c>
      <c r="I465" t="s">
        <v>57</v>
      </c>
      <c r="J465" t="s">
        <v>36</v>
      </c>
      <c r="K465" t="s">
        <v>46</v>
      </c>
      <c r="L465" t="s">
        <v>29</v>
      </c>
      <c r="M465" t="s">
        <v>28</v>
      </c>
      <c r="N465" t="s">
        <v>46</v>
      </c>
      <c r="P465" t="b">
        <v>0</v>
      </c>
      <c r="Q465">
        <v>10</v>
      </c>
      <c r="R465" t="b">
        <v>0</v>
      </c>
      <c r="T465">
        <v>0</v>
      </c>
      <c r="U465">
        <v>100</v>
      </c>
      <c r="V465" t="b">
        <v>1</v>
      </c>
      <c r="W465" t="s">
        <v>58</v>
      </c>
    </row>
    <row r="466" spans="1:23" x14ac:dyDescent="0.25">
      <c r="A466" t="s">
        <v>61</v>
      </c>
      <c r="B466" t="s">
        <v>62</v>
      </c>
      <c r="C466">
        <v>67.56</v>
      </c>
      <c r="D466">
        <v>424</v>
      </c>
      <c r="E466" t="b">
        <v>0</v>
      </c>
      <c r="F466" t="b">
        <v>0</v>
      </c>
      <c r="G466" t="b">
        <v>0</v>
      </c>
      <c r="H466" t="s">
        <v>53</v>
      </c>
      <c r="I466" t="s">
        <v>35</v>
      </c>
      <c r="J466" t="s">
        <v>27</v>
      </c>
      <c r="K466" t="s">
        <v>39</v>
      </c>
      <c r="L466" t="s">
        <v>29</v>
      </c>
      <c r="M466" t="s">
        <v>28</v>
      </c>
      <c r="N466" t="s">
        <v>46</v>
      </c>
      <c r="O466" t="b">
        <v>0</v>
      </c>
      <c r="P466" t="b">
        <v>0</v>
      </c>
      <c r="Q466">
        <v>6.3</v>
      </c>
      <c r="R466" t="b">
        <v>0</v>
      </c>
      <c r="T466">
        <v>0</v>
      </c>
      <c r="U466">
        <v>81.41</v>
      </c>
      <c r="V466" t="b">
        <v>1</v>
      </c>
      <c r="W466" t="s">
        <v>31</v>
      </c>
    </row>
    <row r="467" spans="1:23" x14ac:dyDescent="0.25">
      <c r="A467" t="s">
        <v>32</v>
      </c>
      <c r="B467" t="s">
        <v>42</v>
      </c>
      <c r="C467">
        <v>75.72</v>
      </c>
      <c r="D467">
        <v>465</v>
      </c>
      <c r="E467" t="b">
        <v>1</v>
      </c>
      <c r="F467" t="b">
        <v>0</v>
      </c>
      <c r="G467" t="b">
        <v>0</v>
      </c>
      <c r="H467" t="s">
        <v>25</v>
      </c>
      <c r="I467" t="s">
        <v>44</v>
      </c>
      <c r="J467" t="s">
        <v>50</v>
      </c>
      <c r="K467" t="s">
        <v>28</v>
      </c>
      <c r="L467" t="s">
        <v>51</v>
      </c>
      <c r="M467" t="s">
        <v>47</v>
      </c>
      <c r="N467" t="s">
        <v>28</v>
      </c>
      <c r="O467" t="b">
        <v>0</v>
      </c>
      <c r="P467" t="b">
        <v>1</v>
      </c>
      <c r="Q467">
        <v>7</v>
      </c>
      <c r="R467" t="b">
        <v>1</v>
      </c>
      <c r="S467" t="s">
        <v>40</v>
      </c>
      <c r="T467">
        <v>29.5</v>
      </c>
      <c r="U467">
        <v>73.180000000000007</v>
      </c>
      <c r="V467" t="b">
        <v>1</v>
      </c>
      <c r="W467" t="s">
        <v>41</v>
      </c>
    </row>
    <row r="468" spans="1:23" x14ac:dyDescent="0.25">
      <c r="A468" t="s">
        <v>61</v>
      </c>
      <c r="B468" t="s">
        <v>60</v>
      </c>
      <c r="C468">
        <v>43.33</v>
      </c>
      <c r="D468">
        <v>538</v>
      </c>
      <c r="E468" t="b">
        <v>1</v>
      </c>
      <c r="F468" t="b">
        <v>0</v>
      </c>
      <c r="G468" t="b">
        <v>0</v>
      </c>
      <c r="H468" t="s">
        <v>53</v>
      </c>
      <c r="I468" t="s">
        <v>63</v>
      </c>
      <c r="J468" t="s">
        <v>36</v>
      </c>
      <c r="K468" t="s">
        <v>37</v>
      </c>
      <c r="L468" t="s">
        <v>51</v>
      </c>
      <c r="M468" t="s">
        <v>39</v>
      </c>
      <c r="N468" t="s">
        <v>28</v>
      </c>
      <c r="P468" t="b">
        <v>0</v>
      </c>
      <c r="Q468">
        <v>5.0999999999999996</v>
      </c>
      <c r="R468" t="b">
        <v>1</v>
      </c>
      <c r="S468" t="s">
        <v>55</v>
      </c>
      <c r="T468">
        <v>36.9</v>
      </c>
      <c r="U468">
        <v>30.33</v>
      </c>
      <c r="V468" t="b">
        <v>0</v>
      </c>
      <c r="W468" t="s">
        <v>41</v>
      </c>
    </row>
    <row r="469" spans="1:23" x14ac:dyDescent="0.25">
      <c r="A469" t="s">
        <v>61</v>
      </c>
      <c r="B469" t="s">
        <v>33</v>
      </c>
      <c r="C469">
        <v>78.13</v>
      </c>
      <c r="D469">
        <v>700</v>
      </c>
      <c r="E469" t="b">
        <v>0</v>
      </c>
      <c r="F469" t="b">
        <v>0</v>
      </c>
      <c r="G469" t="b">
        <v>0</v>
      </c>
      <c r="H469" t="s">
        <v>53</v>
      </c>
      <c r="I469" t="s">
        <v>44</v>
      </c>
      <c r="J469" t="s">
        <v>50</v>
      </c>
      <c r="K469" t="s">
        <v>39</v>
      </c>
      <c r="L469" t="s">
        <v>69</v>
      </c>
      <c r="M469" t="s">
        <v>47</v>
      </c>
      <c r="O469" t="b">
        <v>1</v>
      </c>
      <c r="P469" t="b">
        <v>0</v>
      </c>
      <c r="Q469">
        <v>9.5</v>
      </c>
      <c r="R469" t="b">
        <v>1</v>
      </c>
      <c r="S469" t="s">
        <v>75</v>
      </c>
      <c r="T469">
        <v>4.2</v>
      </c>
      <c r="U469">
        <v>68.69</v>
      </c>
      <c r="V469" t="b">
        <v>0</v>
      </c>
      <c r="W469" t="s">
        <v>31</v>
      </c>
    </row>
    <row r="470" spans="1:23" x14ac:dyDescent="0.25">
      <c r="A470" t="s">
        <v>32</v>
      </c>
      <c r="B470" t="s">
        <v>76</v>
      </c>
      <c r="C470">
        <v>88.26</v>
      </c>
      <c r="D470">
        <v>324</v>
      </c>
      <c r="E470" t="b">
        <v>0</v>
      </c>
      <c r="F470" t="b">
        <v>1</v>
      </c>
      <c r="G470" t="b">
        <v>1</v>
      </c>
      <c r="H470" t="s">
        <v>34</v>
      </c>
      <c r="I470" t="s">
        <v>44</v>
      </c>
      <c r="J470" t="s">
        <v>27</v>
      </c>
      <c r="K470" t="s">
        <v>37</v>
      </c>
      <c r="L470" t="s">
        <v>29</v>
      </c>
      <c r="M470" t="s">
        <v>39</v>
      </c>
      <c r="N470" t="s">
        <v>39</v>
      </c>
      <c r="P470" t="b">
        <v>0</v>
      </c>
      <c r="Q470">
        <v>7.9</v>
      </c>
      <c r="R470" t="b">
        <v>0</v>
      </c>
      <c r="T470">
        <v>0</v>
      </c>
      <c r="U470">
        <v>82.94</v>
      </c>
      <c r="V470" t="b">
        <v>1</v>
      </c>
      <c r="W470" t="s">
        <v>31</v>
      </c>
    </row>
    <row r="471" spans="1:23" x14ac:dyDescent="0.25">
      <c r="A471" t="s">
        <v>68</v>
      </c>
      <c r="B471" t="s">
        <v>59</v>
      </c>
      <c r="C471">
        <v>90.06</v>
      </c>
      <c r="D471">
        <v>478</v>
      </c>
      <c r="E471" t="b">
        <v>0</v>
      </c>
      <c r="F471" t="b">
        <v>1</v>
      </c>
      <c r="G471" t="b">
        <v>1</v>
      </c>
      <c r="H471" t="s">
        <v>53</v>
      </c>
      <c r="I471" t="s">
        <v>26</v>
      </c>
      <c r="J471" t="s">
        <v>54</v>
      </c>
      <c r="K471" t="s">
        <v>37</v>
      </c>
      <c r="L471" t="s">
        <v>38</v>
      </c>
      <c r="M471" t="s">
        <v>28</v>
      </c>
      <c r="N471" t="s">
        <v>28</v>
      </c>
      <c r="O471" t="b">
        <v>1</v>
      </c>
      <c r="P471" t="b">
        <v>1</v>
      </c>
      <c r="Q471">
        <v>10</v>
      </c>
      <c r="R471" t="b">
        <v>1</v>
      </c>
      <c r="S471" t="s">
        <v>64</v>
      </c>
      <c r="T471">
        <v>41.3</v>
      </c>
      <c r="U471">
        <v>92.8</v>
      </c>
      <c r="V471" t="b">
        <v>1</v>
      </c>
      <c r="W471" t="s">
        <v>31</v>
      </c>
    </row>
    <row r="472" spans="1:23" x14ac:dyDescent="0.25">
      <c r="A472" t="s">
        <v>61</v>
      </c>
      <c r="B472" t="s">
        <v>62</v>
      </c>
      <c r="C472">
        <v>50.1</v>
      </c>
      <c r="D472">
        <v>427</v>
      </c>
      <c r="E472" t="b">
        <v>1</v>
      </c>
      <c r="F472" t="b">
        <v>0</v>
      </c>
      <c r="G472" t="b">
        <v>0</v>
      </c>
      <c r="H472" t="s">
        <v>43</v>
      </c>
      <c r="I472" t="s">
        <v>67</v>
      </c>
      <c r="J472" t="s">
        <v>45</v>
      </c>
      <c r="K472" t="s">
        <v>28</v>
      </c>
      <c r="L472" t="s">
        <v>69</v>
      </c>
      <c r="M472" t="s">
        <v>47</v>
      </c>
      <c r="O472" t="b">
        <v>0</v>
      </c>
      <c r="P472" t="b">
        <v>1</v>
      </c>
      <c r="Q472">
        <v>5.4</v>
      </c>
      <c r="R472" t="b">
        <v>1</v>
      </c>
      <c r="S472" t="s">
        <v>30</v>
      </c>
      <c r="T472">
        <v>24.9</v>
      </c>
      <c r="U472">
        <v>57.02</v>
      </c>
      <c r="V472" t="b">
        <v>1</v>
      </c>
      <c r="W472" t="s">
        <v>41</v>
      </c>
    </row>
    <row r="473" spans="1:23" x14ac:dyDescent="0.25">
      <c r="A473" t="s">
        <v>23</v>
      </c>
      <c r="B473" t="s">
        <v>42</v>
      </c>
      <c r="C473">
        <v>65.78</v>
      </c>
      <c r="D473">
        <v>405</v>
      </c>
      <c r="E473" t="b">
        <v>0</v>
      </c>
      <c r="F473" t="b">
        <v>0</v>
      </c>
      <c r="G473" t="b">
        <v>1</v>
      </c>
      <c r="H473" t="s">
        <v>25</v>
      </c>
      <c r="I473" t="s">
        <v>26</v>
      </c>
      <c r="J473" t="s">
        <v>45</v>
      </c>
      <c r="K473" t="s">
        <v>28</v>
      </c>
      <c r="L473" t="s">
        <v>29</v>
      </c>
      <c r="M473" t="s">
        <v>46</v>
      </c>
      <c r="N473" t="s">
        <v>46</v>
      </c>
      <c r="P473" t="b">
        <v>1</v>
      </c>
      <c r="Q473">
        <v>7.2</v>
      </c>
      <c r="R473" t="b">
        <v>0</v>
      </c>
      <c r="T473">
        <v>0</v>
      </c>
      <c r="U473">
        <v>70.7</v>
      </c>
      <c r="V473" t="b">
        <v>1</v>
      </c>
      <c r="W473" t="s">
        <v>31</v>
      </c>
    </row>
    <row r="474" spans="1:23" x14ac:dyDescent="0.25">
      <c r="A474" t="s">
        <v>56</v>
      </c>
      <c r="B474" t="s">
        <v>42</v>
      </c>
      <c r="C474">
        <v>73.709999999999994</v>
      </c>
      <c r="D474">
        <v>172</v>
      </c>
      <c r="E474" t="b">
        <v>0</v>
      </c>
      <c r="F474" t="b">
        <v>0</v>
      </c>
      <c r="G474" t="b">
        <v>0</v>
      </c>
      <c r="H474" t="s">
        <v>34</v>
      </c>
      <c r="I474" t="s">
        <v>63</v>
      </c>
      <c r="J474" t="s">
        <v>50</v>
      </c>
      <c r="K474" t="s">
        <v>28</v>
      </c>
      <c r="L474" t="s">
        <v>69</v>
      </c>
      <c r="M474" t="s">
        <v>47</v>
      </c>
      <c r="N474" t="s">
        <v>46</v>
      </c>
      <c r="P474" t="b">
        <v>1</v>
      </c>
      <c r="Q474">
        <v>8.3000000000000007</v>
      </c>
      <c r="R474" t="b">
        <v>1</v>
      </c>
      <c r="S474" t="s">
        <v>65</v>
      </c>
      <c r="T474">
        <v>13.9</v>
      </c>
      <c r="U474">
        <v>64.86</v>
      </c>
      <c r="V474" t="b">
        <v>1</v>
      </c>
      <c r="W474" t="s">
        <v>31</v>
      </c>
    </row>
    <row r="475" spans="1:23" x14ac:dyDescent="0.25">
      <c r="A475" t="s">
        <v>68</v>
      </c>
      <c r="B475" t="s">
        <v>73</v>
      </c>
      <c r="C475">
        <v>52.26</v>
      </c>
      <c r="D475">
        <v>107</v>
      </c>
      <c r="E475" t="b">
        <v>1</v>
      </c>
      <c r="F475" t="b">
        <v>1</v>
      </c>
      <c r="G475" t="b">
        <v>0</v>
      </c>
      <c r="H475" t="s">
        <v>25</v>
      </c>
      <c r="I475" t="s">
        <v>35</v>
      </c>
      <c r="J475" t="s">
        <v>45</v>
      </c>
      <c r="K475" t="s">
        <v>37</v>
      </c>
      <c r="L475" t="s">
        <v>38</v>
      </c>
      <c r="M475" t="s">
        <v>28</v>
      </c>
      <c r="N475" t="s">
        <v>46</v>
      </c>
      <c r="O475" t="b">
        <v>1</v>
      </c>
      <c r="P475" t="b">
        <v>1</v>
      </c>
      <c r="Q475">
        <v>8.3000000000000007</v>
      </c>
      <c r="R475" t="b">
        <v>0</v>
      </c>
      <c r="T475">
        <v>0</v>
      </c>
      <c r="U475">
        <v>41.46</v>
      </c>
      <c r="V475" t="b">
        <v>0</v>
      </c>
      <c r="W475" t="s">
        <v>58</v>
      </c>
    </row>
    <row r="476" spans="1:23" x14ac:dyDescent="0.25">
      <c r="A476" t="s">
        <v>32</v>
      </c>
      <c r="B476" t="s">
        <v>70</v>
      </c>
      <c r="C476">
        <v>74</v>
      </c>
      <c r="D476">
        <v>425</v>
      </c>
      <c r="E476" t="b">
        <v>0</v>
      </c>
      <c r="F476" t="b">
        <v>0</v>
      </c>
      <c r="G476" t="b">
        <v>0</v>
      </c>
      <c r="H476" t="s">
        <v>25</v>
      </c>
      <c r="I476" t="s">
        <v>26</v>
      </c>
      <c r="J476" t="s">
        <v>27</v>
      </c>
      <c r="K476" t="s">
        <v>37</v>
      </c>
      <c r="L476" t="s">
        <v>51</v>
      </c>
      <c r="M476" t="s">
        <v>39</v>
      </c>
      <c r="N476" t="s">
        <v>39</v>
      </c>
      <c r="P476" t="b">
        <v>1</v>
      </c>
      <c r="Q476">
        <v>6.9</v>
      </c>
      <c r="R476" t="b">
        <v>0</v>
      </c>
      <c r="T476">
        <v>0</v>
      </c>
      <c r="U476">
        <v>66.709999999999994</v>
      </c>
      <c r="V476" t="b">
        <v>1</v>
      </c>
      <c r="W476" t="s">
        <v>31</v>
      </c>
    </row>
    <row r="477" spans="1:23" x14ac:dyDescent="0.25">
      <c r="A477" t="s">
        <v>68</v>
      </c>
      <c r="B477" t="s">
        <v>33</v>
      </c>
      <c r="C477">
        <v>89.47</v>
      </c>
      <c r="D477">
        <v>102</v>
      </c>
      <c r="E477" t="b">
        <v>1</v>
      </c>
      <c r="F477" t="b">
        <v>0</v>
      </c>
      <c r="G477" t="b">
        <v>1</v>
      </c>
      <c r="H477" t="s">
        <v>25</v>
      </c>
      <c r="I477" t="s">
        <v>63</v>
      </c>
      <c r="J477" t="s">
        <v>54</v>
      </c>
      <c r="K477" t="s">
        <v>28</v>
      </c>
      <c r="L477" t="s">
        <v>29</v>
      </c>
      <c r="M477" t="s">
        <v>28</v>
      </c>
      <c r="N477" t="s">
        <v>39</v>
      </c>
      <c r="P477" t="b">
        <v>1</v>
      </c>
      <c r="Q477">
        <v>10</v>
      </c>
      <c r="R477" t="b">
        <v>0</v>
      </c>
      <c r="T477">
        <v>0</v>
      </c>
      <c r="U477">
        <v>74.94</v>
      </c>
      <c r="V477" t="b">
        <v>0</v>
      </c>
      <c r="W477" t="s">
        <v>58</v>
      </c>
    </row>
    <row r="478" spans="1:23" x14ac:dyDescent="0.25">
      <c r="A478" t="s">
        <v>32</v>
      </c>
      <c r="B478" t="s">
        <v>49</v>
      </c>
      <c r="C478">
        <v>66.53</v>
      </c>
      <c r="D478">
        <v>76</v>
      </c>
      <c r="E478" t="b">
        <v>0</v>
      </c>
      <c r="F478" t="b">
        <v>1</v>
      </c>
      <c r="G478" t="b">
        <v>0</v>
      </c>
      <c r="H478" t="s">
        <v>25</v>
      </c>
      <c r="I478" t="s">
        <v>67</v>
      </c>
      <c r="J478" t="s">
        <v>27</v>
      </c>
      <c r="K478" t="s">
        <v>39</v>
      </c>
      <c r="L478" t="s">
        <v>51</v>
      </c>
      <c r="M478" t="s">
        <v>39</v>
      </c>
      <c r="N478" t="s">
        <v>46</v>
      </c>
      <c r="P478" t="b">
        <v>1</v>
      </c>
      <c r="Q478">
        <v>5.9</v>
      </c>
      <c r="R478" t="b">
        <v>0</v>
      </c>
      <c r="T478">
        <v>0</v>
      </c>
      <c r="U478">
        <v>60.82</v>
      </c>
      <c r="V478" t="b">
        <v>1</v>
      </c>
      <c r="W478" t="s">
        <v>41</v>
      </c>
    </row>
    <row r="479" spans="1:23" x14ac:dyDescent="0.25">
      <c r="A479" t="s">
        <v>68</v>
      </c>
      <c r="B479" t="s">
        <v>76</v>
      </c>
      <c r="C479">
        <v>80.72</v>
      </c>
      <c r="D479">
        <v>550</v>
      </c>
      <c r="E479" t="b">
        <v>1</v>
      </c>
      <c r="F479" t="b">
        <v>0</v>
      </c>
      <c r="G479" t="b">
        <v>0</v>
      </c>
      <c r="H479" t="s">
        <v>25</v>
      </c>
      <c r="I479" t="s">
        <v>57</v>
      </c>
      <c r="J479" t="s">
        <v>36</v>
      </c>
      <c r="K479" t="s">
        <v>28</v>
      </c>
      <c r="L479" t="s">
        <v>69</v>
      </c>
      <c r="M479" t="s">
        <v>46</v>
      </c>
      <c r="N479" t="s">
        <v>28</v>
      </c>
      <c r="O479" t="b">
        <v>1</v>
      </c>
      <c r="P479" t="b">
        <v>0</v>
      </c>
      <c r="Q479">
        <v>10</v>
      </c>
      <c r="R479" t="b">
        <v>1</v>
      </c>
      <c r="S479" t="s">
        <v>52</v>
      </c>
      <c r="T479">
        <v>20</v>
      </c>
      <c r="U479">
        <v>88.02</v>
      </c>
      <c r="V479" t="b">
        <v>1</v>
      </c>
      <c r="W479" t="s">
        <v>31</v>
      </c>
    </row>
    <row r="480" spans="1:23" x14ac:dyDescent="0.25">
      <c r="A480" t="s">
        <v>56</v>
      </c>
      <c r="B480" t="s">
        <v>33</v>
      </c>
      <c r="C480">
        <v>89.5</v>
      </c>
      <c r="D480">
        <v>100</v>
      </c>
      <c r="E480" t="b">
        <v>1</v>
      </c>
      <c r="F480" t="b">
        <v>0</v>
      </c>
      <c r="G480" t="b">
        <v>1</v>
      </c>
      <c r="H480" t="s">
        <v>53</v>
      </c>
      <c r="I480" t="s">
        <v>63</v>
      </c>
      <c r="J480" t="s">
        <v>27</v>
      </c>
      <c r="K480" t="s">
        <v>39</v>
      </c>
      <c r="L480" t="s">
        <v>37</v>
      </c>
      <c r="M480" t="s">
        <v>47</v>
      </c>
      <c r="P480" t="b">
        <v>1</v>
      </c>
      <c r="Q480">
        <v>8.9</v>
      </c>
      <c r="R480" t="b">
        <v>0</v>
      </c>
      <c r="T480">
        <v>0</v>
      </c>
      <c r="U480">
        <v>94.86</v>
      </c>
      <c r="V480" t="b">
        <v>1</v>
      </c>
      <c r="W480" t="s">
        <v>58</v>
      </c>
    </row>
    <row r="481" spans="1:23" x14ac:dyDescent="0.25">
      <c r="A481" t="s">
        <v>56</v>
      </c>
      <c r="B481" t="s">
        <v>60</v>
      </c>
      <c r="C481">
        <v>41.35</v>
      </c>
      <c r="D481">
        <v>247</v>
      </c>
      <c r="E481" t="b">
        <v>0</v>
      </c>
      <c r="F481" t="b">
        <v>0</v>
      </c>
      <c r="G481" t="b">
        <v>1</v>
      </c>
      <c r="H481" t="s">
        <v>25</v>
      </c>
      <c r="I481" t="s">
        <v>57</v>
      </c>
      <c r="J481" t="s">
        <v>27</v>
      </c>
      <c r="K481" t="s">
        <v>39</v>
      </c>
      <c r="L481" t="s">
        <v>69</v>
      </c>
      <c r="M481" t="s">
        <v>47</v>
      </c>
      <c r="N481" t="s">
        <v>39</v>
      </c>
      <c r="O481" t="b">
        <v>0</v>
      </c>
      <c r="P481" t="b">
        <v>0</v>
      </c>
      <c r="Q481">
        <v>2.9</v>
      </c>
      <c r="R481" t="b">
        <v>1</v>
      </c>
      <c r="S481" t="s">
        <v>30</v>
      </c>
      <c r="T481">
        <v>39.5</v>
      </c>
      <c r="U481">
        <v>31.16</v>
      </c>
      <c r="V481" t="b">
        <v>1</v>
      </c>
      <c r="W481" t="s">
        <v>72</v>
      </c>
    </row>
    <row r="482" spans="1:23" x14ac:dyDescent="0.25">
      <c r="A482" t="s">
        <v>23</v>
      </c>
      <c r="B482" t="s">
        <v>49</v>
      </c>
      <c r="C482">
        <v>71.599999999999994</v>
      </c>
      <c r="D482">
        <v>748</v>
      </c>
      <c r="E482" t="b">
        <v>0</v>
      </c>
      <c r="F482" t="b">
        <v>1</v>
      </c>
      <c r="G482" t="b">
        <v>0</v>
      </c>
      <c r="H482" t="s">
        <v>34</v>
      </c>
      <c r="I482" t="s">
        <v>35</v>
      </c>
      <c r="J482" t="s">
        <v>45</v>
      </c>
      <c r="K482" t="s">
        <v>37</v>
      </c>
      <c r="L482" t="s">
        <v>29</v>
      </c>
      <c r="M482" t="s">
        <v>39</v>
      </c>
      <c r="O482" t="b">
        <v>1</v>
      </c>
      <c r="P482" t="b">
        <v>0</v>
      </c>
      <c r="Q482">
        <v>7.6</v>
      </c>
      <c r="R482" t="b">
        <v>1</v>
      </c>
      <c r="S482" t="s">
        <v>64</v>
      </c>
      <c r="T482">
        <v>42.4</v>
      </c>
      <c r="U482">
        <v>77.819999999999993</v>
      </c>
      <c r="V482" t="b">
        <v>1</v>
      </c>
      <c r="W482" t="s">
        <v>41</v>
      </c>
    </row>
    <row r="483" spans="1:23" x14ac:dyDescent="0.25">
      <c r="A483" t="s">
        <v>23</v>
      </c>
      <c r="B483" t="s">
        <v>24</v>
      </c>
      <c r="C483">
        <v>88.21</v>
      </c>
      <c r="D483">
        <v>661</v>
      </c>
      <c r="E483" t="b">
        <v>0</v>
      </c>
      <c r="F483" t="b">
        <v>1</v>
      </c>
      <c r="G483" t="b">
        <v>1</v>
      </c>
      <c r="H483" t="s">
        <v>53</v>
      </c>
      <c r="I483" t="s">
        <v>35</v>
      </c>
      <c r="J483" t="s">
        <v>36</v>
      </c>
      <c r="K483" t="s">
        <v>37</v>
      </c>
      <c r="L483" t="s">
        <v>51</v>
      </c>
      <c r="M483" t="s">
        <v>46</v>
      </c>
      <c r="N483" t="s">
        <v>28</v>
      </c>
      <c r="O483" t="b">
        <v>0</v>
      </c>
      <c r="P483" t="b">
        <v>1</v>
      </c>
      <c r="Q483">
        <v>7</v>
      </c>
      <c r="R483" t="b">
        <v>1</v>
      </c>
      <c r="S483" t="s">
        <v>64</v>
      </c>
      <c r="T483">
        <v>14.6</v>
      </c>
      <c r="U483">
        <v>76.31</v>
      </c>
      <c r="V483" t="b">
        <v>1</v>
      </c>
      <c r="W483" t="s">
        <v>41</v>
      </c>
    </row>
    <row r="484" spans="1:23" x14ac:dyDescent="0.25">
      <c r="A484" t="s">
        <v>61</v>
      </c>
      <c r="B484" t="s">
        <v>76</v>
      </c>
      <c r="C484">
        <v>72.09</v>
      </c>
      <c r="D484">
        <v>770</v>
      </c>
      <c r="E484" t="b">
        <v>1</v>
      </c>
      <c r="F484" t="b">
        <v>1</v>
      </c>
      <c r="G484" t="b">
        <v>1</v>
      </c>
      <c r="H484" t="s">
        <v>34</v>
      </c>
      <c r="I484" t="s">
        <v>57</v>
      </c>
      <c r="J484" t="s">
        <v>45</v>
      </c>
      <c r="K484" t="s">
        <v>28</v>
      </c>
      <c r="L484" t="s">
        <v>29</v>
      </c>
      <c r="M484" t="s">
        <v>28</v>
      </c>
      <c r="N484" t="s">
        <v>39</v>
      </c>
      <c r="O484" t="b">
        <v>1</v>
      </c>
      <c r="P484" t="b">
        <v>1</v>
      </c>
      <c r="Q484">
        <v>9.9</v>
      </c>
      <c r="R484" t="b">
        <v>0</v>
      </c>
      <c r="T484">
        <v>0</v>
      </c>
      <c r="U484">
        <v>70.5</v>
      </c>
      <c r="V484" t="b">
        <v>0</v>
      </c>
      <c r="W484" t="s">
        <v>58</v>
      </c>
    </row>
    <row r="485" spans="1:23" x14ac:dyDescent="0.25">
      <c r="A485" t="s">
        <v>61</v>
      </c>
      <c r="B485" t="s">
        <v>71</v>
      </c>
      <c r="C485">
        <v>52.4</v>
      </c>
      <c r="D485">
        <v>437</v>
      </c>
      <c r="E485" t="b">
        <v>1</v>
      </c>
      <c r="F485" t="b">
        <v>0</v>
      </c>
      <c r="G485" t="b">
        <v>1</v>
      </c>
      <c r="H485" t="s">
        <v>43</v>
      </c>
      <c r="I485" t="s">
        <v>35</v>
      </c>
      <c r="J485" t="s">
        <v>50</v>
      </c>
      <c r="K485" t="s">
        <v>28</v>
      </c>
      <c r="L485" t="s">
        <v>38</v>
      </c>
      <c r="M485" t="s">
        <v>28</v>
      </c>
      <c r="N485" t="s">
        <v>39</v>
      </c>
      <c r="O485" t="b">
        <v>0</v>
      </c>
      <c r="P485" t="b">
        <v>1</v>
      </c>
      <c r="Q485">
        <v>7.4</v>
      </c>
      <c r="R485" t="b">
        <v>0</v>
      </c>
      <c r="T485">
        <v>0</v>
      </c>
      <c r="U485">
        <v>48.39</v>
      </c>
      <c r="V485" t="b">
        <v>0</v>
      </c>
      <c r="W485" t="s">
        <v>31</v>
      </c>
    </row>
    <row r="486" spans="1:23" x14ac:dyDescent="0.25">
      <c r="A486" t="s">
        <v>23</v>
      </c>
      <c r="B486" t="s">
        <v>33</v>
      </c>
      <c r="C486">
        <v>84.1</v>
      </c>
      <c r="D486">
        <v>473</v>
      </c>
      <c r="E486" t="b">
        <v>1</v>
      </c>
      <c r="F486" t="b">
        <v>0</v>
      </c>
      <c r="G486" t="b">
        <v>1</v>
      </c>
      <c r="H486" t="s">
        <v>43</v>
      </c>
      <c r="I486" t="s">
        <v>44</v>
      </c>
      <c r="J486" t="s">
        <v>27</v>
      </c>
      <c r="K486" t="s">
        <v>46</v>
      </c>
      <c r="L486" t="s">
        <v>69</v>
      </c>
      <c r="M486" t="s">
        <v>47</v>
      </c>
      <c r="N486" t="s">
        <v>46</v>
      </c>
      <c r="O486" t="b">
        <v>0</v>
      </c>
      <c r="P486" t="b">
        <v>0</v>
      </c>
      <c r="Q486">
        <v>8.9</v>
      </c>
      <c r="R486" t="b">
        <v>1</v>
      </c>
      <c r="S486" t="s">
        <v>55</v>
      </c>
      <c r="T486">
        <v>37.700000000000003</v>
      </c>
      <c r="U486">
        <v>92.89</v>
      </c>
      <c r="V486" t="b">
        <v>1</v>
      </c>
      <c r="W486" t="s">
        <v>31</v>
      </c>
    </row>
    <row r="487" spans="1:23" x14ac:dyDescent="0.25">
      <c r="A487" t="s">
        <v>68</v>
      </c>
      <c r="B487" t="s">
        <v>70</v>
      </c>
      <c r="C487">
        <v>75.209999999999994</v>
      </c>
      <c r="D487">
        <v>180</v>
      </c>
      <c r="E487" t="b">
        <v>0</v>
      </c>
      <c r="F487" t="b">
        <v>1</v>
      </c>
      <c r="G487" t="b">
        <v>0</v>
      </c>
      <c r="H487" t="s">
        <v>34</v>
      </c>
      <c r="I487" t="s">
        <v>67</v>
      </c>
      <c r="J487" t="s">
        <v>50</v>
      </c>
      <c r="K487" t="s">
        <v>46</v>
      </c>
      <c r="L487" t="s">
        <v>37</v>
      </c>
      <c r="M487" t="s">
        <v>46</v>
      </c>
      <c r="N487" t="s">
        <v>46</v>
      </c>
      <c r="P487" t="b">
        <v>0</v>
      </c>
      <c r="Q487">
        <v>7.5</v>
      </c>
      <c r="R487" t="b">
        <v>1</v>
      </c>
      <c r="S487" t="s">
        <v>64</v>
      </c>
      <c r="T487">
        <v>22</v>
      </c>
      <c r="U487">
        <v>74.069999999999993</v>
      </c>
      <c r="V487" t="b">
        <v>1</v>
      </c>
      <c r="W487" t="s">
        <v>41</v>
      </c>
    </row>
    <row r="488" spans="1:23" x14ac:dyDescent="0.25">
      <c r="A488" t="s">
        <v>74</v>
      </c>
      <c r="B488" t="s">
        <v>70</v>
      </c>
      <c r="C488">
        <v>88.69</v>
      </c>
      <c r="D488">
        <v>101</v>
      </c>
      <c r="E488" t="b">
        <v>1</v>
      </c>
      <c r="F488" t="b">
        <v>0</v>
      </c>
      <c r="G488" t="b">
        <v>1</v>
      </c>
      <c r="H488" t="s">
        <v>43</v>
      </c>
      <c r="I488" t="s">
        <v>44</v>
      </c>
      <c r="J488" t="s">
        <v>27</v>
      </c>
      <c r="K488" t="s">
        <v>28</v>
      </c>
      <c r="L488" t="s">
        <v>69</v>
      </c>
      <c r="M488" t="s">
        <v>46</v>
      </c>
      <c r="N488" t="s">
        <v>39</v>
      </c>
      <c r="O488" t="b">
        <v>0</v>
      </c>
      <c r="P488" t="b">
        <v>0</v>
      </c>
      <c r="Q488">
        <v>10</v>
      </c>
      <c r="R488" t="b">
        <v>0</v>
      </c>
      <c r="T488">
        <v>0</v>
      </c>
      <c r="U488">
        <v>88.9</v>
      </c>
      <c r="V488" t="b">
        <v>1</v>
      </c>
      <c r="W488" t="s">
        <v>58</v>
      </c>
    </row>
    <row r="489" spans="1:23" x14ac:dyDescent="0.25">
      <c r="A489" t="s">
        <v>68</v>
      </c>
      <c r="B489" t="s">
        <v>62</v>
      </c>
      <c r="C489">
        <v>72.12</v>
      </c>
      <c r="D489">
        <v>345</v>
      </c>
      <c r="E489" t="b">
        <v>1</v>
      </c>
      <c r="F489" t="b">
        <v>1</v>
      </c>
      <c r="G489" t="b">
        <v>1</v>
      </c>
      <c r="H489" t="s">
        <v>25</v>
      </c>
      <c r="I489" t="s">
        <v>67</v>
      </c>
      <c r="J489" t="s">
        <v>36</v>
      </c>
      <c r="K489" t="s">
        <v>39</v>
      </c>
      <c r="L489" t="s">
        <v>29</v>
      </c>
      <c r="M489" t="s">
        <v>47</v>
      </c>
      <c r="O489" t="b">
        <v>0</v>
      </c>
      <c r="P489" t="b">
        <v>1</v>
      </c>
      <c r="Q489">
        <v>6</v>
      </c>
      <c r="R489" t="b">
        <v>1</v>
      </c>
      <c r="S489" t="s">
        <v>30</v>
      </c>
      <c r="T489">
        <v>43.1</v>
      </c>
      <c r="U489">
        <v>77.569999999999993</v>
      </c>
      <c r="V489" t="b">
        <v>1</v>
      </c>
      <c r="W489" t="s">
        <v>41</v>
      </c>
    </row>
    <row r="490" spans="1:23" x14ac:dyDescent="0.25">
      <c r="A490" t="s">
        <v>68</v>
      </c>
      <c r="B490" t="s">
        <v>33</v>
      </c>
      <c r="C490">
        <v>85.75</v>
      </c>
      <c r="D490">
        <v>180</v>
      </c>
      <c r="E490" t="b">
        <v>1</v>
      </c>
      <c r="F490" t="b">
        <v>0</v>
      </c>
      <c r="G490" t="b">
        <v>0</v>
      </c>
      <c r="H490" t="s">
        <v>43</v>
      </c>
      <c r="I490" t="s">
        <v>57</v>
      </c>
      <c r="J490" t="s">
        <v>36</v>
      </c>
      <c r="K490" t="s">
        <v>39</v>
      </c>
      <c r="L490" t="s">
        <v>69</v>
      </c>
      <c r="M490" t="s">
        <v>39</v>
      </c>
      <c r="N490" t="s">
        <v>39</v>
      </c>
      <c r="P490" t="b">
        <v>1</v>
      </c>
      <c r="Q490">
        <v>10</v>
      </c>
      <c r="R490" t="b">
        <v>1</v>
      </c>
      <c r="S490" t="s">
        <v>75</v>
      </c>
      <c r="T490">
        <v>41.8</v>
      </c>
      <c r="U490">
        <v>94.56</v>
      </c>
      <c r="V490" t="b">
        <v>1</v>
      </c>
      <c r="W490" t="s">
        <v>31</v>
      </c>
    </row>
    <row r="491" spans="1:23" x14ac:dyDescent="0.25">
      <c r="A491" t="s">
        <v>23</v>
      </c>
      <c r="B491" t="s">
        <v>73</v>
      </c>
      <c r="C491">
        <v>62.51</v>
      </c>
      <c r="D491">
        <v>377</v>
      </c>
      <c r="E491" t="b">
        <v>0</v>
      </c>
      <c r="F491" t="b">
        <v>1</v>
      </c>
      <c r="G491" t="b">
        <v>1</v>
      </c>
      <c r="H491" t="s">
        <v>34</v>
      </c>
      <c r="I491" t="s">
        <v>35</v>
      </c>
      <c r="J491" t="s">
        <v>36</v>
      </c>
      <c r="K491" t="s">
        <v>46</v>
      </c>
      <c r="L491" t="s">
        <v>38</v>
      </c>
      <c r="M491" t="s">
        <v>28</v>
      </c>
      <c r="N491" t="s">
        <v>28</v>
      </c>
      <c r="P491" t="b">
        <v>0</v>
      </c>
      <c r="Q491">
        <v>7.6</v>
      </c>
      <c r="R491" t="b">
        <v>1</v>
      </c>
      <c r="S491" t="s">
        <v>75</v>
      </c>
      <c r="T491">
        <v>15.6</v>
      </c>
      <c r="U491">
        <v>76.48</v>
      </c>
      <c r="V491" t="b">
        <v>1</v>
      </c>
      <c r="W491" t="s">
        <v>41</v>
      </c>
    </row>
    <row r="492" spans="1:23" x14ac:dyDescent="0.25">
      <c r="A492" t="s">
        <v>74</v>
      </c>
      <c r="B492" t="s">
        <v>49</v>
      </c>
      <c r="C492">
        <v>67.11</v>
      </c>
      <c r="D492">
        <v>653</v>
      </c>
      <c r="E492" t="b">
        <v>1</v>
      </c>
      <c r="F492" t="b">
        <v>1</v>
      </c>
      <c r="G492" t="b">
        <v>0</v>
      </c>
      <c r="H492" t="s">
        <v>25</v>
      </c>
      <c r="I492" t="s">
        <v>44</v>
      </c>
      <c r="J492" t="s">
        <v>45</v>
      </c>
      <c r="K492" t="s">
        <v>28</v>
      </c>
      <c r="L492" t="s">
        <v>29</v>
      </c>
      <c r="M492" t="s">
        <v>39</v>
      </c>
      <c r="N492" t="s">
        <v>28</v>
      </c>
      <c r="O492" t="b">
        <v>1</v>
      </c>
      <c r="P492" t="b">
        <v>0</v>
      </c>
      <c r="Q492">
        <v>8.4</v>
      </c>
      <c r="R492" t="b">
        <v>0</v>
      </c>
      <c r="T492">
        <v>0</v>
      </c>
      <c r="U492">
        <v>82.11</v>
      </c>
      <c r="V492" t="b">
        <v>1</v>
      </c>
      <c r="W492" t="s">
        <v>58</v>
      </c>
    </row>
    <row r="493" spans="1:23" x14ac:dyDescent="0.25">
      <c r="A493" t="s">
        <v>32</v>
      </c>
      <c r="B493" t="s">
        <v>24</v>
      </c>
      <c r="C493">
        <v>94.14</v>
      </c>
      <c r="D493">
        <v>767</v>
      </c>
      <c r="E493" t="b">
        <v>1</v>
      </c>
      <c r="F493" t="b">
        <v>1</v>
      </c>
      <c r="G493" t="b">
        <v>1</v>
      </c>
      <c r="H493" t="s">
        <v>34</v>
      </c>
      <c r="I493" t="s">
        <v>57</v>
      </c>
      <c r="J493" t="s">
        <v>36</v>
      </c>
      <c r="K493" t="s">
        <v>39</v>
      </c>
      <c r="L493" t="s">
        <v>69</v>
      </c>
      <c r="M493" t="s">
        <v>28</v>
      </c>
      <c r="O493" t="b">
        <v>1</v>
      </c>
      <c r="P493" t="b">
        <v>0</v>
      </c>
      <c r="Q493">
        <v>10</v>
      </c>
      <c r="R493" t="b">
        <v>1</v>
      </c>
      <c r="S493" t="s">
        <v>55</v>
      </c>
      <c r="T493">
        <v>38.6</v>
      </c>
      <c r="U493">
        <v>80.930000000000007</v>
      </c>
      <c r="V493" t="b">
        <v>1</v>
      </c>
      <c r="W493" t="s">
        <v>31</v>
      </c>
    </row>
    <row r="494" spans="1:23" x14ac:dyDescent="0.25">
      <c r="A494" t="s">
        <v>74</v>
      </c>
      <c r="B494" t="s">
        <v>66</v>
      </c>
      <c r="C494">
        <v>74.849999999999994</v>
      </c>
      <c r="D494">
        <v>664</v>
      </c>
      <c r="E494" t="b">
        <v>0</v>
      </c>
      <c r="F494" t="b">
        <v>1</v>
      </c>
      <c r="G494" t="b">
        <v>1</v>
      </c>
      <c r="H494" t="s">
        <v>25</v>
      </c>
      <c r="I494" t="s">
        <v>35</v>
      </c>
      <c r="J494" t="s">
        <v>45</v>
      </c>
      <c r="K494" t="s">
        <v>28</v>
      </c>
      <c r="L494" t="s">
        <v>51</v>
      </c>
      <c r="M494" t="s">
        <v>46</v>
      </c>
      <c r="N494" t="s">
        <v>46</v>
      </c>
      <c r="O494" t="b">
        <v>1</v>
      </c>
      <c r="P494" t="b">
        <v>0</v>
      </c>
      <c r="Q494">
        <v>9.1</v>
      </c>
      <c r="R494" t="b">
        <v>0</v>
      </c>
      <c r="T494">
        <v>0</v>
      </c>
      <c r="U494">
        <v>55.61</v>
      </c>
      <c r="V494" t="b">
        <v>0</v>
      </c>
      <c r="W494" t="s">
        <v>58</v>
      </c>
    </row>
    <row r="495" spans="1:23" x14ac:dyDescent="0.25">
      <c r="A495" t="s">
        <v>61</v>
      </c>
      <c r="B495" t="s">
        <v>42</v>
      </c>
      <c r="C495">
        <v>70.92</v>
      </c>
      <c r="D495">
        <v>532</v>
      </c>
      <c r="E495" t="b">
        <v>1</v>
      </c>
      <c r="F495" t="b">
        <v>0</v>
      </c>
      <c r="G495" t="b">
        <v>0</v>
      </c>
      <c r="H495" t="s">
        <v>53</v>
      </c>
      <c r="I495" t="s">
        <v>44</v>
      </c>
      <c r="J495" t="s">
        <v>45</v>
      </c>
      <c r="K495" t="s">
        <v>37</v>
      </c>
      <c r="L495" t="s">
        <v>38</v>
      </c>
      <c r="M495" t="s">
        <v>39</v>
      </c>
      <c r="O495" t="b">
        <v>1</v>
      </c>
      <c r="P495" t="b">
        <v>1</v>
      </c>
      <c r="Q495">
        <v>9.3000000000000007</v>
      </c>
      <c r="R495" t="b">
        <v>0</v>
      </c>
      <c r="T495">
        <v>0</v>
      </c>
      <c r="U495">
        <v>84.48</v>
      </c>
      <c r="V495" t="b">
        <v>1</v>
      </c>
      <c r="W495" t="s">
        <v>58</v>
      </c>
    </row>
    <row r="496" spans="1:23" x14ac:dyDescent="0.25">
      <c r="A496" t="s">
        <v>74</v>
      </c>
      <c r="B496" t="s">
        <v>24</v>
      </c>
      <c r="C496">
        <v>95.07</v>
      </c>
      <c r="D496">
        <v>540</v>
      </c>
      <c r="E496" t="b">
        <v>1</v>
      </c>
      <c r="F496" t="b">
        <v>0</v>
      </c>
      <c r="G496" t="b">
        <v>1</v>
      </c>
      <c r="H496" t="s">
        <v>34</v>
      </c>
      <c r="I496" t="s">
        <v>63</v>
      </c>
      <c r="J496" t="s">
        <v>27</v>
      </c>
      <c r="K496" t="s">
        <v>28</v>
      </c>
      <c r="L496" t="s">
        <v>38</v>
      </c>
      <c r="M496" t="s">
        <v>28</v>
      </c>
      <c r="N496" t="s">
        <v>28</v>
      </c>
      <c r="O496" t="b">
        <v>1</v>
      </c>
      <c r="P496" t="b">
        <v>0</v>
      </c>
      <c r="Q496">
        <v>10</v>
      </c>
      <c r="R496" t="b">
        <v>0</v>
      </c>
      <c r="T496">
        <v>0</v>
      </c>
      <c r="U496">
        <v>94.86</v>
      </c>
      <c r="V496" t="b">
        <v>1</v>
      </c>
      <c r="W496" t="s">
        <v>58</v>
      </c>
    </row>
    <row r="497" spans="1:23" x14ac:dyDescent="0.25">
      <c r="A497" t="s">
        <v>68</v>
      </c>
      <c r="B497" t="s">
        <v>59</v>
      </c>
      <c r="C497">
        <v>87.83</v>
      </c>
      <c r="D497">
        <v>532</v>
      </c>
      <c r="E497" t="b">
        <v>0</v>
      </c>
      <c r="F497" t="b">
        <v>1</v>
      </c>
      <c r="G497" t="b">
        <v>1</v>
      </c>
      <c r="H497" t="s">
        <v>34</v>
      </c>
      <c r="I497" t="s">
        <v>57</v>
      </c>
      <c r="J497" t="s">
        <v>36</v>
      </c>
      <c r="K497" t="s">
        <v>39</v>
      </c>
      <c r="L497" t="s">
        <v>29</v>
      </c>
      <c r="M497" t="s">
        <v>39</v>
      </c>
      <c r="N497" t="s">
        <v>28</v>
      </c>
      <c r="O497" t="b">
        <v>1</v>
      </c>
      <c r="P497" t="b">
        <v>0</v>
      </c>
      <c r="Q497">
        <v>9.1999999999999993</v>
      </c>
      <c r="R497" t="b">
        <v>1</v>
      </c>
      <c r="S497" t="s">
        <v>75</v>
      </c>
      <c r="T497">
        <v>33.9</v>
      </c>
      <c r="U497">
        <v>98.06</v>
      </c>
      <c r="V497" t="b">
        <v>1</v>
      </c>
      <c r="W497" t="s">
        <v>31</v>
      </c>
    </row>
    <row r="498" spans="1:23" x14ac:dyDescent="0.25">
      <c r="A498" t="s">
        <v>61</v>
      </c>
      <c r="B498" t="s">
        <v>60</v>
      </c>
      <c r="C498">
        <v>40.96</v>
      </c>
      <c r="D498">
        <v>56</v>
      </c>
      <c r="E498" t="b">
        <v>1</v>
      </c>
      <c r="F498" t="b">
        <v>0</v>
      </c>
      <c r="G498" t="b">
        <v>1</v>
      </c>
      <c r="H498" t="s">
        <v>53</v>
      </c>
      <c r="I498" t="s">
        <v>57</v>
      </c>
      <c r="J498" t="s">
        <v>36</v>
      </c>
      <c r="K498" t="s">
        <v>39</v>
      </c>
      <c r="L498" t="s">
        <v>51</v>
      </c>
      <c r="M498" t="s">
        <v>39</v>
      </c>
      <c r="N498" t="s">
        <v>46</v>
      </c>
      <c r="O498" t="b">
        <v>1</v>
      </c>
      <c r="P498" t="b">
        <v>1</v>
      </c>
      <c r="Q498">
        <v>5.4</v>
      </c>
      <c r="R498" t="b">
        <v>1</v>
      </c>
      <c r="S498" t="s">
        <v>55</v>
      </c>
      <c r="T498">
        <v>30.7</v>
      </c>
      <c r="U498">
        <v>27.51</v>
      </c>
      <c r="V498" t="b">
        <v>0</v>
      </c>
      <c r="W498" t="s">
        <v>41</v>
      </c>
    </row>
    <row r="499" spans="1:23" x14ac:dyDescent="0.25">
      <c r="A499" t="s">
        <v>74</v>
      </c>
      <c r="B499" t="s">
        <v>66</v>
      </c>
      <c r="C499">
        <v>78.08</v>
      </c>
      <c r="D499">
        <v>530</v>
      </c>
      <c r="E499" t="b">
        <v>0</v>
      </c>
      <c r="F499" t="b">
        <v>0</v>
      </c>
      <c r="G499" t="b">
        <v>0</v>
      </c>
      <c r="H499" t="s">
        <v>53</v>
      </c>
      <c r="I499" t="s">
        <v>26</v>
      </c>
      <c r="J499" t="s">
        <v>27</v>
      </c>
      <c r="K499" t="s">
        <v>39</v>
      </c>
      <c r="L499" t="s">
        <v>37</v>
      </c>
      <c r="M499" t="s">
        <v>39</v>
      </c>
      <c r="N499" t="s">
        <v>46</v>
      </c>
      <c r="O499" t="b">
        <v>1</v>
      </c>
      <c r="P499" t="b">
        <v>0</v>
      </c>
      <c r="Q499">
        <v>9.1</v>
      </c>
      <c r="R499" t="b">
        <v>1</v>
      </c>
      <c r="S499" t="s">
        <v>55</v>
      </c>
      <c r="T499">
        <v>21.8</v>
      </c>
      <c r="U499">
        <v>77.349999999999994</v>
      </c>
      <c r="V499" t="b">
        <v>1</v>
      </c>
      <c r="W499" t="s">
        <v>31</v>
      </c>
    </row>
    <row r="500" spans="1:23" x14ac:dyDescent="0.25">
      <c r="A500" t="s">
        <v>61</v>
      </c>
      <c r="B500" t="s">
        <v>71</v>
      </c>
      <c r="C500">
        <v>43.74</v>
      </c>
      <c r="D500">
        <v>581</v>
      </c>
      <c r="E500" t="b">
        <v>1</v>
      </c>
      <c r="F500" t="b">
        <v>1</v>
      </c>
      <c r="G500" t="b">
        <v>1</v>
      </c>
      <c r="H500" t="s">
        <v>34</v>
      </c>
      <c r="I500" t="s">
        <v>44</v>
      </c>
      <c r="J500" t="s">
        <v>45</v>
      </c>
      <c r="K500" t="s">
        <v>28</v>
      </c>
      <c r="L500" t="s">
        <v>37</v>
      </c>
      <c r="M500" t="s">
        <v>28</v>
      </c>
      <c r="P500" t="b">
        <v>0</v>
      </c>
      <c r="Q500">
        <v>5.7</v>
      </c>
      <c r="R500" t="b">
        <v>1</v>
      </c>
      <c r="S500" t="s">
        <v>64</v>
      </c>
      <c r="T500">
        <v>20.5</v>
      </c>
      <c r="U500">
        <v>39.21</v>
      </c>
      <c r="V500" t="b">
        <v>1</v>
      </c>
      <c r="W500" t="s">
        <v>41</v>
      </c>
    </row>
    <row r="501" spans="1:23" x14ac:dyDescent="0.25">
      <c r="A501" t="s">
        <v>56</v>
      </c>
      <c r="B501" t="s">
        <v>76</v>
      </c>
      <c r="C501">
        <v>70.739999999999995</v>
      </c>
      <c r="D501">
        <v>363</v>
      </c>
      <c r="E501" t="b">
        <v>0</v>
      </c>
      <c r="F501" t="b">
        <v>0</v>
      </c>
      <c r="G501" t="b">
        <v>1</v>
      </c>
      <c r="H501" t="s">
        <v>34</v>
      </c>
      <c r="I501" t="s">
        <v>35</v>
      </c>
      <c r="J501" t="s">
        <v>50</v>
      </c>
      <c r="K501" t="s">
        <v>37</v>
      </c>
      <c r="L501" t="s">
        <v>51</v>
      </c>
      <c r="M501" t="s">
        <v>47</v>
      </c>
      <c r="N501" t="s">
        <v>46</v>
      </c>
      <c r="P501" t="b">
        <v>1</v>
      </c>
      <c r="Q501">
        <v>6.1</v>
      </c>
      <c r="R501" t="b">
        <v>1</v>
      </c>
      <c r="S501" t="s">
        <v>40</v>
      </c>
      <c r="T501">
        <v>43.9</v>
      </c>
      <c r="U501">
        <v>62.62</v>
      </c>
      <c r="V501" t="b">
        <v>1</v>
      </c>
      <c r="W501" t="s">
        <v>41</v>
      </c>
    </row>
    <row r="502" spans="1:23" x14ac:dyDescent="0.25">
      <c r="A502" t="s">
        <v>61</v>
      </c>
      <c r="B502" t="s">
        <v>62</v>
      </c>
      <c r="C502">
        <v>62.68</v>
      </c>
      <c r="D502">
        <v>407</v>
      </c>
      <c r="E502" t="b">
        <v>0</v>
      </c>
      <c r="F502" t="b">
        <v>0</v>
      </c>
      <c r="G502" t="b">
        <v>0</v>
      </c>
      <c r="H502" t="s">
        <v>53</v>
      </c>
      <c r="I502" t="s">
        <v>44</v>
      </c>
      <c r="J502" t="s">
        <v>36</v>
      </c>
      <c r="K502" t="s">
        <v>37</v>
      </c>
      <c r="L502" t="s">
        <v>37</v>
      </c>
      <c r="M502" t="s">
        <v>47</v>
      </c>
      <c r="N502" t="s">
        <v>39</v>
      </c>
      <c r="O502" t="b">
        <v>1</v>
      </c>
      <c r="P502" t="b">
        <v>1</v>
      </c>
      <c r="Q502">
        <v>6.9</v>
      </c>
      <c r="R502" t="b">
        <v>1</v>
      </c>
      <c r="S502" t="s">
        <v>75</v>
      </c>
      <c r="T502">
        <v>21.8</v>
      </c>
      <c r="U502">
        <v>59.41</v>
      </c>
      <c r="V502" t="b">
        <v>1</v>
      </c>
      <c r="W502" t="s">
        <v>41</v>
      </c>
    </row>
    <row r="503" spans="1:23" x14ac:dyDescent="0.25">
      <c r="A503" t="s">
        <v>74</v>
      </c>
      <c r="B503" t="s">
        <v>76</v>
      </c>
      <c r="C503">
        <v>89.61</v>
      </c>
      <c r="D503">
        <v>780</v>
      </c>
      <c r="E503" t="b">
        <v>1</v>
      </c>
      <c r="F503" t="b">
        <v>0</v>
      </c>
      <c r="G503" t="b">
        <v>0</v>
      </c>
      <c r="H503" t="s">
        <v>25</v>
      </c>
      <c r="I503" t="s">
        <v>35</v>
      </c>
      <c r="J503" t="s">
        <v>36</v>
      </c>
      <c r="K503" t="s">
        <v>28</v>
      </c>
      <c r="L503" t="s">
        <v>37</v>
      </c>
      <c r="M503" t="s">
        <v>46</v>
      </c>
      <c r="N503" t="s">
        <v>28</v>
      </c>
      <c r="O503" t="b">
        <v>0</v>
      </c>
      <c r="P503" t="b">
        <v>1</v>
      </c>
      <c r="Q503">
        <v>9.5</v>
      </c>
      <c r="R503" t="b">
        <v>1</v>
      </c>
      <c r="S503" t="s">
        <v>75</v>
      </c>
      <c r="T503">
        <v>29.5</v>
      </c>
      <c r="U503">
        <v>80.5</v>
      </c>
      <c r="V503" t="b">
        <v>1</v>
      </c>
      <c r="W503" t="s">
        <v>31</v>
      </c>
    </row>
    <row r="504" spans="1:23" x14ac:dyDescent="0.25">
      <c r="A504" t="s">
        <v>56</v>
      </c>
      <c r="B504" t="s">
        <v>76</v>
      </c>
      <c r="C504">
        <v>78.69</v>
      </c>
      <c r="D504">
        <v>211</v>
      </c>
      <c r="E504" t="b">
        <v>1</v>
      </c>
      <c r="F504" t="b">
        <v>0</v>
      </c>
      <c r="G504" t="b">
        <v>1</v>
      </c>
      <c r="H504" t="s">
        <v>53</v>
      </c>
      <c r="I504" t="s">
        <v>44</v>
      </c>
      <c r="J504" t="s">
        <v>45</v>
      </c>
      <c r="K504" t="s">
        <v>46</v>
      </c>
      <c r="L504" t="s">
        <v>29</v>
      </c>
      <c r="M504" t="s">
        <v>46</v>
      </c>
      <c r="N504" t="s">
        <v>39</v>
      </c>
      <c r="O504" t="b">
        <v>1</v>
      </c>
      <c r="P504" t="b">
        <v>1</v>
      </c>
      <c r="Q504">
        <v>10</v>
      </c>
      <c r="R504" t="b">
        <v>0</v>
      </c>
      <c r="T504">
        <v>0</v>
      </c>
      <c r="U504">
        <v>91.86</v>
      </c>
      <c r="V504" t="b">
        <v>1</v>
      </c>
      <c r="W504" t="s">
        <v>58</v>
      </c>
    </row>
    <row r="505" spans="1:23" x14ac:dyDescent="0.25">
      <c r="A505" t="s">
        <v>68</v>
      </c>
      <c r="B505" t="s">
        <v>73</v>
      </c>
      <c r="C505">
        <v>55.46</v>
      </c>
      <c r="D505">
        <v>249</v>
      </c>
      <c r="E505" t="b">
        <v>0</v>
      </c>
      <c r="F505" t="b">
        <v>0</v>
      </c>
      <c r="G505" t="b">
        <v>1</v>
      </c>
      <c r="H505" t="s">
        <v>53</v>
      </c>
      <c r="I505" t="s">
        <v>26</v>
      </c>
      <c r="J505" t="s">
        <v>50</v>
      </c>
      <c r="K505" t="s">
        <v>39</v>
      </c>
      <c r="L505" t="s">
        <v>38</v>
      </c>
      <c r="M505" t="s">
        <v>39</v>
      </c>
      <c r="N505" t="s">
        <v>39</v>
      </c>
      <c r="O505" t="b">
        <v>1</v>
      </c>
      <c r="P505" t="b">
        <v>0</v>
      </c>
      <c r="Q505">
        <v>7.4</v>
      </c>
      <c r="R505" t="b">
        <v>1</v>
      </c>
      <c r="S505" t="s">
        <v>52</v>
      </c>
      <c r="T505">
        <v>30.3</v>
      </c>
      <c r="U505">
        <v>56.58</v>
      </c>
      <c r="V505" t="b">
        <v>1</v>
      </c>
      <c r="W505" t="s">
        <v>41</v>
      </c>
    </row>
    <row r="506" spans="1:23" x14ac:dyDescent="0.25">
      <c r="A506" t="s">
        <v>56</v>
      </c>
      <c r="B506" t="s">
        <v>24</v>
      </c>
      <c r="C506">
        <v>87.84</v>
      </c>
      <c r="D506">
        <v>753</v>
      </c>
      <c r="E506" t="b">
        <v>1</v>
      </c>
      <c r="F506" t="b">
        <v>1</v>
      </c>
      <c r="G506" t="b">
        <v>1</v>
      </c>
      <c r="H506" t="s">
        <v>34</v>
      </c>
      <c r="I506" t="s">
        <v>57</v>
      </c>
      <c r="J506" t="s">
        <v>36</v>
      </c>
      <c r="K506" t="s">
        <v>46</v>
      </c>
      <c r="L506" t="s">
        <v>29</v>
      </c>
      <c r="M506" t="s">
        <v>28</v>
      </c>
      <c r="N506" t="s">
        <v>46</v>
      </c>
      <c r="O506" t="b">
        <v>1</v>
      </c>
      <c r="P506" t="b">
        <v>0</v>
      </c>
      <c r="Q506">
        <v>10</v>
      </c>
      <c r="R506" t="b">
        <v>0</v>
      </c>
      <c r="T506">
        <v>0</v>
      </c>
      <c r="U506">
        <v>73.02</v>
      </c>
      <c r="V506" t="b">
        <v>0</v>
      </c>
      <c r="W506" t="s">
        <v>58</v>
      </c>
    </row>
    <row r="507" spans="1:23" x14ac:dyDescent="0.25">
      <c r="A507" t="s">
        <v>23</v>
      </c>
      <c r="B507" t="s">
        <v>62</v>
      </c>
      <c r="C507">
        <v>71.73</v>
      </c>
      <c r="D507">
        <v>750</v>
      </c>
      <c r="E507" t="b">
        <v>1</v>
      </c>
      <c r="F507" t="b">
        <v>1</v>
      </c>
      <c r="G507" t="b">
        <v>1</v>
      </c>
      <c r="H507" t="s">
        <v>25</v>
      </c>
      <c r="I507" t="s">
        <v>63</v>
      </c>
      <c r="J507" t="s">
        <v>50</v>
      </c>
      <c r="K507" t="s">
        <v>46</v>
      </c>
      <c r="L507" t="s">
        <v>69</v>
      </c>
      <c r="M507" t="s">
        <v>47</v>
      </c>
      <c r="N507" t="s">
        <v>28</v>
      </c>
      <c r="O507" t="b">
        <v>1</v>
      </c>
      <c r="P507" t="b">
        <v>1</v>
      </c>
      <c r="Q507">
        <v>9.8000000000000007</v>
      </c>
      <c r="R507" t="b">
        <v>1</v>
      </c>
      <c r="S507" t="s">
        <v>30</v>
      </c>
      <c r="T507">
        <v>28.8</v>
      </c>
      <c r="U507">
        <v>59.76</v>
      </c>
      <c r="V507" t="b">
        <v>0</v>
      </c>
      <c r="W507" t="s">
        <v>31</v>
      </c>
    </row>
    <row r="508" spans="1:23" x14ac:dyDescent="0.25">
      <c r="A508" t="s">
        <v>32</v>
      </c>
      <c r="B508" t="s">
        <v>71</v>
      </c>
      <c r="C508">
        <v>49.26</v>
      </c>
      <c r="D508">
        <v>510</v>
      </c>
      <c r="E508" t="b">
        <v>1</v>
      </c>
      <c r="F508" t="b">
        <v>0</v>
      </c>
      <c r="G508" t="b">
        <v>0</v>
      </c>
      <c r="H508" t="s">
        <v>25</v>
      </c>
      <c r="I508" t="s">
        <v>44</v>
      </c>
      <c r="J508" t="s">
        <v>54</v>
      </c>
      <c r="K508" t="s">
        <v>37</v>
      </c>
      <c r="L508" t="s">
        <v>38</v>
      </c>
      <c r="M508" t="s">
        <v>47</v>
      </c>
      <c r="N508" t="s">
        <v>46</v>
      </c>
      <c r="O508" t="b">
        <v>1</v>
      </c>
      <c r="P508" t="b">
        <v>0</v>
      </c>
      <c r="Q508">
        <v>7.7</v>
      </c>
      <c r="R508" t="b">
        <v>1</v>
      </c>
      <c r="S508" t="s">
        <v>55</v>
      </c>
      <c r="T508">
        <v>18.399999999999999</v>
      </c>
      <c r="U508">
        <v>25.18</v>
      </c>
      <c r="V508" t="b">
        <v>0</v>
      </c>
      <c r="W508" t="s">
        <v>41</v>
      </c>
    </row>
    <row r="509" spans="1:23" x14ac:dyDescent="0.25">
      <c r="A509" t="s">
        <v>74</v>
      </c>
      <c r="B509" t="s">
        <v>71</v>
      </c>
      <c r="C509">
        <v>40.659999999999997</v>
      </c>
      <c r="D509">
        <v>797</v>
      </c>
      <c r="E509" t="b">
        <v>0</v>
      </c>
      <c r="F509" t="b">
        <v>1</v>
      </c>
      <c r="G509" t="b">
        <v>1</v>
      </c>
      <c r="H509" t="s">
        <v>53</v>
      </c>
      <c r="I509" t="s">
        <v>67</v>
      </c>
      <c r="J509" t="s">
        <v>54</v>
      </c>
      <c r="K509" t="s">
        <v>28</v>
      </c>
      <c r="L509" t="s">
        <v>37</v>
      </c>
      <c r="M509" t="s">
        <v>39</v>
      </c>
      <c r="N509" t="s">
        <v>28</v>
      </c>
      <c r="O509" t="b">
        <v>0</v>
      </c>
      <c r="P509" t="b">
        <v>1</v>
      </c>
      <c r="Q509">
        <v>2.7</v>
      </c>
      <c r="R509" t="b">
        <v>1</v>
      </c>
      <c r="S509" t="s">
        <v>64</v>
      </c>
      <c r="T509">
        <v>36.700000000000003</v>
      </c>
      <c r="U509">
        <v>21.7</v>
      </c>
      <c r="V509" t="b">
        <v>1</v>
      </c>
      <c r="W509" t="s">
        <v>72</v>
      </c>
    </row>
    <row r="510" spans="1:23" x14ac:dyDescent="0.25">
      <c r="A510" t="s">
        <v>23</v>
      </c>
      <c r="B510" t="s">
        <v>24</v>
      </c>
      <c r="C510">
        <v>93.72</v>
      </c>
      <c r="D510">
        <v>498</v>
      </c>
      <c r="E510" t="b">
        <v>1</v>
      </c>
      <c r="F510" t="b">
        <v>0</v>
      </c>
      <c r="G510" t="b">
        <v>1</v>
      </c>
      <c r="H510" t="s">
        <v>53</v>
      </c>
      <c r="I510" t="s">
        <v>35</v>
      </c>
      <c r="J510" t="s">
        <v>27</v>
      </c>
      <c r="K510" t="s">
        <v>46</v>
      </c>
      <c r="L510" t="s">
        <v>51</v>
      </c>
      <c r="M510" t="s">
        <v>28</v>
      </c>
      <c r="N510" t="s">
        <v>46</v>
      </c>
      <c r="O510" t="b">
        <v>0</v>
      </c>
      <c r="P510" t="b">
        <v>1</v>
      </c>
      <c r="Q510">
        <v>10</v>
      </c>
      <c r="R510" t="b">
        <v>1</v>
      </c>
      <c r="S510" t="s">
        <v>52</v>
      </c>
      <c r="T510">
        <v>14.5</v>
      </c>
      <c r="U510">
        <v>84.93</v>
      </c>
      <c r="V510" t="b">
        <v>1</v>
      </c>
      <c r="W510" t="s">
        <v>31</v>
      </c>
    </row>
    <row r="511" spans="1:23" x14ac:dyDescent="0.25">
      <c r="A511" t="s">
        <v>68</v>
      </c>
      <c r="B511" t="s">
        <v>66</v>
      </c>
      <c r="C511">
        <v>60.62</v>
      </c>
      <c r="D511">
        <v>122</v>
      </c>
      <c r="E511" t="b">
        <v>1</v>
      </c>
      <c r="F511" t="b">
        <v>0</v>
      </c>
      <c r="G511" t="b">
        <v>1</v>
      </c>
      <c r="H511" t="s">
        <v>53</v>
      </c>
      <c r="I511" t="s">
        <v>35</v>
      </c>
      <c r="J511" t="s">
        <v>27</v>
      </c>
      <c r="K511" t="s">
        <v>39</v>
      </c>
      <c r="L511" t="s">
        <v>38</v>
      </c>
      <c r="M511" t="s">
        <v>39</v>
      </c>
      <c r="N511" t="s">
        <v>28</v>
      </c>
      <c r="P511" t="b">
        <v>1</v>
      </c>
      <c r="Q511">
        <v>7.4</v>
      </c>
      <c r="R511" t="b">
        <v>0</v>
      </c>
      <c r="T511">
        <v>0</v>
      </c>
      <c r="U511">
        <v>41.7</v>
      </c>
      <c r="V511" t="b">
        <v>0</v>
      </c>
      <c r="W511" t="s">
        <v>31</v>
      </c>
    </row>
    <row r="512" spans="1:23" x14ac:dyDescent="0.25">
      <c r="A512" t="s">
        <v>56</v>
      </c>
      <c r="B512" t="s">
        <v>66</v>
      </c>
      <c r="C512">
        <v>60.03</v>
      </c>
      <c r="D512">
        <v>773</v>
      </c>
      <c r="E512" t="b">
        <v>0</v>
      </c>
      <c r="F512" t="b">
        <v>1</v>
      </c>
      <c r="G512" t="b">
        <v>0</v>
      </c>
      <c r="H512" t="s">
        <v>43</v>
      </c>
      <c r="I512" t="s">
        <v>57</v>
      </c>
      <c r="J512" t="s">
        <v>36</v>
      </c>
      <c r="K512" t="s">
        <v>39</v>
      </c>
      <c r="L512" t="s">
        <v>29</v>
      </c>
      <c r="M512" t="s">
        <v>46</v>
      </c>
      <c r="N512" t="s">
        <v>39</v>
      </c>
      <c r="P512" t="b">
        <v>1</v>
      </c>
      <c r="Q512">
        <v>5.8</v>
      </c>
      <c r="R512" t="b">
        <v>0</v>
      </c>
      <c r="T512">
        <v>0</v>
      </c>
      <c r="U512">
        <v>53.96</v>
      </c>
      <c r="V512" t="b">
        <v>1</v>
      </c>
      <c r="W512" t="s">
        <v>41</v>
      </c>
    </row>
    <row r="513" spans="1:23" x14ac:dyDescent="0.25">
      <c r="A513" t="s">
        <v>32</v>
      </c>
      <c r="B513" t="s">
        <v>33</v>
      </c>
      <c r="C513">
        <v>88.13</v>
      </c>
      <c r="D513">
        <v>371</v>
      </c>
      <c r="E513" t="b">
        <v>1</v>
      </c>
      <c r="F513" t="b">
        <v>1</v>
      </c>
      <c r="G513" t="b">
        <v>1</v>
      </c>
      <c r="H513" t="s">
        <v>34</v>
      </c>
      <c r="I513" t="s">
        <v>63</v>
      </c>
      <c r="J513" t="s">
        <v>45</v>
      </c>
      <c r="K513" t="s">
        <v>28</v>
      </c>
      <c r="L513" t="s">
        <v>38</v>
      </c>
      <c r="M513" t="s">
        <v>28</v>
      </c>
      <c r="N513" t="s">
        <v>28</v>
      </c>
      <c r="O513" t="b">
        <v>1</v>
      </c>
      <c r="P513" t="b">
        <v>1</v>
      </c>
      <c r="Q513">
        <v>10</v>
      </c>
      <c r="R513" t="b">
        <v>0</v>
      </c>
      <c r="T513">
        <v>0</v>
      </c>
      <c r="U513">
        <v>81.650000000000006</v>
      </c>
      <c r="V513" t="b">
        <v>1</v>
      </c>
      <c r="W513" t="s">
        <v>58</v>
      </c>
    </row>
    <row r="514" spans="1:23" x14ac:dyDescent="0.25">
      <c r="A514" t="s">
        <v>61</v>
      </c>
      <c r="B514" t="s">
        <v>42</v>
      </c>
      <c r="C514">
        <v>79.459999999999994</v>
      </c>
      <c r="D514">
        <v>749</v>
      </c>
      <c r="E514" t="b">
        <v>0</v>
      </c>
      <c r="F514" t="b">
        <v>0</v>
      </c>
      <c r="G514" t="b">
        <v>0</v>
      </c>
      <c r="H514" t="s">
        <v>43</v>
      </c>
      <c r="I514" t="s">
        <v>57</v>
      </c>
      <c r="J514" t="s">
        <v>27</v>
      </c>
      <c r="K514" t="s">
        <v>39</v>
      </c>
      <c r="L514" t="s">
        <v>38</v>
      </c>
      <c r="M514" t="s">
        <v>39</v>
      </c>
      <c r="O514" t="b">
        <v>0</v>
      </c>
      <c r="P514" t="b">
        <v>1</v>
      </c>
      <c r="Q514">
        <v>7.2</v>
      </c>
      <c r="R514" t="b">
        <v>1</v>
      </c>
      <c r="S514" t="s">
        <v>52</v>
      </c>
      <c r="T514">
        <v>13.5</v>
      </c>
      <c r="U514">
        <v>85.81</v>
      </c>
      <c r="V514" t="b">
        <v>1</v>
      </c>
      <c r="W514" t="s">
        <v>41</v>
      </c>
    </row>
    <row r="515" spans="1:23" x14ac:dyDescent="0.25">
      <c r="A515" t="s">
        <v>32</v>
      </c>
      <c r="B515" t="s">
        <v>66</v>
      </c>
      <c r="C515">
        <v>73.11</v>
      </c>
      <c r="D515">
        <v>261</v>
      </c>
      <c r="E515" t="b">
        <v>1</v>
      </c>
      <c r="F515" t="b">
        <v>1</v>
      </c>
      <c r="G515" t="b">
        <v>0</v>
      </c>
      <c r="H515" t="s">
        <v>53</v>
      </c>
      <c r="I515" t="s">
        <v>63</v>
      </c>
      <c r="J515" t="s">
        <v>27</v>
      </c>
      <c r="K515" t="s">
        <v>46</v>
      </c>
      <c r="L515" t="s">
        <v>69</v>
      </c>
      <c r="M515" t="s">
        <v>28</v>
      </c>
      <c r="O515" t="b">
        <v>1</v>
      </c>
      <c r="P515" t="b">
        <v>1</v>
      </c>
      <c r="Q515">
        <v>10</v>
      </c>
      <c r="R515" t="b">
        <v>0</v>
      </c>
      <c r="T515">
        <v>0</v>
      </c>
      <c r="U515">
        <v>57.98</v>
      </c>
      <c r="V515" t="b">
        <v>0</v>
      </c>
      <c r="W515" t="s">
        <v>58</v>
      </c>
    </row>
    <row r="516" spans="1:23" x14ac:dyDescent="0.25">
      <c r="A516" t="s">
        <v>74</v>
      </c>
      <c r="B516" t="s">
        <v>59</v>
      </c>
      <c r="C516">
        <v>90.86</v>
      </c>
      <c r="D516">
        <v>708</v>
      </c>
      <c r="E516" t="b">
        <v>0</v>
      </c>
      <c r="F516" t="b">
        <v>1</v>
      </c>
      <c r="G516" t="b">
        <v>0</v>
      </c>
      <c r="H516" t="s">
        <v>25</v>
      </c>
      <c r="I516" t="s">
        <v>44</v>
      </c>
      <c r="J516" t="s">
        <v>50</v>
      </c>
      <c r="K516" t="s">
        <v>39</v>
      </c>
      <c r="L516" t="s">
        <v>69</v>
      </c>
      <c r="M516" t="s">
        <v>28</v>
      </c>
      <c r="N516" t="s">
        <v>28</v>
      </c>
      <c r="O516" t="b">
        <v>0</v>
      </c>
      <c r="P516" t="b">
        <v>0</v>
      </c>
      <c r="Q516">
        <v>8.8000000000000007</v>
      </c>
      <c r="R516" t="b">
        <v>1</v>
      </c>
      <c r="S516" t="s">
        <v>64</v>
      </c>
      <c r="T516">
        <v>29.8</v>
      </c>
      <c r="U516">
        <v>90.28</v>
      </c>
      <c r="V516" t="b">
        <v>1</v>
      </c>
      <c r="W516" t="s">
        <v>31</v>
      </c>
    </row>
    <row r="517" spans="1:23" x14ac:dyDescent="0.25">
      <c r="A517" t="s">
        <v>68</v>
      </c>
      <c r="B517" t="s">
        <v>49</v>
      </c>
      <c r="C517">
        <v>72.59</v>
      </c>
      <c r="D517">
        <v>551</v>
      </c>
      <c r="E517" t="b">
        <v>1</v>
      </c>
      <c r="F517" t="b">
        <v>0</v>
      </c>
      <c r="G517" t="b">
        <v>0</v>
      </c>
      <c r="H517" t="s">
        <v>43</v>
      </c>
      <c r="I517" t="s">
        <v>67</v>
      </c>
      <c r="J517" t="s">
        <v>45</v>
      </c>
      <c r="K517" t="s">
        <v>46</v>
      </c>
      <c r="L517" t="s">
        <v>29</v>
      </c>
      <c r="M517" t="s">
        <v>46</v>
      </c>
      <c r="N517" t="s">
        <v>28</v>
      </c>
      <c r="O517" t="b">
        <v>1</v>
      </c>
      <c r="P517" t="b">
        <v>0</v>
      </c>
      <c r="Q517">
        <v>10</v>
      </c>
      <c r="R517" t="b">
        <v>0</v>
      </c>
      <c r="T517">
        <v>0</v>
      </c>
      <c r="U517">
        <v>64.400000000000006</v>
      </c>
      <c r="V517" t="b">
        <v>0</v>
      </c>
      <c r="W517" t="s">
        <v>58</v>
      </c>
    </row>
    <row r="518" spans="1:23" x14ac:dyDescent="0.25">
      <c r="A518" t="s">
        <v>23</v>
      </c>
      <c r="B518" t="s">
        <v>49</v>
      </c>
      <c r="C518">
        <v>78.98</v>
      </c>
      <c r="D518">
        <v>769</v>
      </c>
      <c r="E518" t="b">
        <v>1</v>
      </c>
      <c r="F518" t="b">
        <v>1</v>
      </c>
      <c r="G518" t="b">
        <v>1</v>
      </c>
      <c r="H518" t="s">
        <v>53</v>
      </c>
      <c r="I518" t="s">
        <v>67</v>
      </c>
      <c r="J518" t="s">
        <v>45</v>
      </c>
      <c r="K518" t="s">
        <v>46</v>
      </c>
      <c r="L518" t="s">
        <v>29</v>
      </c>
      <c r="M518" t="s">
        <v>39</v>
      </c>
      <c r="N518" t="s">
        <v>28</v>
      </c>
      <c r="O518" t="b">
        <v>0</v>
      </c>
      <c r="P518" t="b">
        <v>0</v>
      </c>
      <c r="Q518">
        <v>7.9</v>
      </c>
      <c r="R518" t="b">
        <v>1</v>
      </c>
      <c r="S518" t="s">
        <v>52</v>
      </c>
      <c r="T518">
        <v>20.100000000000001</v>
      </c>
      <c r="U518">
        <v>76.12</v>
      </c>
      <c r="V518" t="b">
        <v>1</v>
      </c>
      <c r="W518" t="s">
        <v>41</v>
      </c>
    </row>
    <row r="519" spans="1:23" x14ac:dyDescent="0.25">
      <c r="A519" t="s">
        <v>56</v>
      </c>
      <c r="B519" t="s">
        <v>59</v>
      </c>
      <c r="C519">
        <v>91.2</v>
      </c>
      <c r="D519">
        <v>209</v>
      </c>
      <c r="E519" t="b">
        <v>0</v>
      </c>
      <c r="F519" t="b">
        <v>1</v>
      </c>
      <c r="G519" t="b">
        <v>1</v>
      </c>
      <c r="H519" t="s">
        <v>43</v>
      </c>
      <c r="I519" t="s">
        <v>57</v>
      </c>
      <c r="J519" t="s">
        <v>45</v>
      </c>
      <c r="K519" t="s">
        <v>46</v>
      </c>
      <c r="L519" t="s">
        <v>29</v>
      </c>
      <c r="M519" t="s">
        <v>39</v>
      </c>
      <c r="N519" t="s">
        <v>28</v>
      </c>
      <c r="O519" t="b">
        <v>0</v>
      </c>
      <c r="P519" t="b">
        <v>0</v>
      </c>
      <c r="Q519">
        <v>8.4</v>
      </c>
      <c r="R519" t="b">
        <v>0</v>
      </c>
      <c r="T519">
        <v>0</v>
      </c>
      <c r="U519">
        <v>94.93</v>
      </c>
      <c r="V519" t="b">
        <v>1</v>
      </c>
      <c r="W519" t="s">
        <v>58</v>
      </c>
    </row>
    <row r="520" spans="1:23" x14ac:dyDescent="0.25">
      <c r="A520" t="s">
        <v>61</v>
      </c>
      <c r="B520" t="s">
        <v>24</v>
      </c>
      <c r="C520">
        <v>88.33</v>
      </c>
      <c r="D520">
        <v>66</v>
      </c>
      <c r="E520" t="b">
        <v>0</v>
      </c>
      <c r="F520" t="b">
        <v>1</v>
      </c>
      <c r="G520" t="b">
        <v>1</v>
      </c>
      <c r="H520" t="s">
        <v>25</v>
      </c>
      <c r="I520" t="s">
        <v>67</v>
      </c>
      <c r="J520" t="s">
        <v>45</v>
      </c>
      <c r="K520" t="s">
        <v>46</v>
      </c>
      <c r="L520" t="s">
        <v>51</v>
      </c>
      <c r="M520" t="s">
        <v>39</v>
      </c>
      <c r="N520" t="s">
        <v>28</v>
      </c>
      <c r="O520" t="b">
        <v>0</v>
      </c>
      <c r="P520" t="b">
        <v>1</v>
      </c>
      <c r="Q520">
        <v>7.6</v>
      </c>
      <c r="R520" t="b">
        <v>0</v>
      </c>
      <c r="T520">
        <v>0</v>
      </c>
      <c r="U520">
        <v>96.34</v>
      </c>
      <c r="V520" t="b">
        <v>0</v>
      </c>
      <c r="W520" t="s">
        <v>31</v>
      </c>
    </row>
    <row r="521" spans="1:23" x14ac:dyDescent="0.25">
      <c r="A521" t="s">
        <v>23</v>
      </c>
      <c r="B521" t="s">
        <v>49</v>
      </c>
      <c r="C521">
        <v>65.739999999999995</v>
      </c>
      <c r="D521">
        <v>84</v>
      </c>
      <c r="E521" t="b">
        <v>0</v>
      </c>
      <c r="F521" t="b">
        <v>1</v>
      </c>
      <c r="G521" t="b">
        <v>1</v>
      </c>
      <c r="H521" t="s">
        <v>43</v>
      </c>
      <c r="I521" t="s">
        <v>67</v>
      </c>
      <c r="J521" t="s">
        <v>45</v>
      </c>
      <c r="K521" t="s">
        <v>46</v>
      </c>
      <c r="L521" t="s">
        <v>37</v>
      </c>
      <c r="M521" t="s">
        <v>28</v>
      </c>
      <c r="N521" t="s">
        <v>46</v>
      </c>
      <c r="O521" t="b">
        <v>0</v>
      </c>
      <c r="P521" t="b">
        <v>0</v>
      </c>
      <c r="Q521">
        <v>5.7</v>
      </c>
      <c r="R521" t="b">
        <v>1</v>
      </c>
      <c r="S521" t="s">
        <v>55</v>
      </c>
      <c r="T521">
        <v>44.5</v>
      </c>
      <c r="U521">
        <v>73.33</v>
      </c>
      <c r="V521" t="b">
        <v>1</v>
      </c>
      <c r="W521" t="s">
        <v>41</v>
      </c>
    </row>
    <row r="522" spans="1:23" x14ac:dyDescent="0.25">
      <c r="A522" t="s">
        <v>23</v>
      </c>
      <c r="B522" t="s">
        <v>33</v>
      </c>
      <c r="C522">
        <v>77.58</v>
      </c>
      <c r="D522">
        <v>108</v>
      </c>
      <c r="E522" t="b">
        <v>1</v>
      </c>
      <c r="F522" t="b">
        <v>0</v>
      </c>
      <c r="G522" t="b">
        <v>0</v>
      </c>
      <c r="H522" t="s">
        <v>34</v>
      </c>
      <c r="I522" t="s">
        <v>44</v>
      </c>
      <c r="J522" t="s">
        <v>27</v>
      </c>
      <c r="K522" t="s">
        <v>39</v>
      </c>
      <c r="L522" t="s">
        <v>29</v>
      </c>
      <c r="M522" t="s">
        <v>39</v>
      </c>
      <c r="N522" t="s">
        <v>39</v>
      </c>
      <c r="P522" t="b">
        <v>0</v>
      </c>
      <c r="Q522">
        <v>8.1999999999999993</v>
      </c>
      <c r="R522" t="b">
        <v>1</v>
      </c>
      <c r="S522" t="s">
        <v>30</v>
      </c>
      <c r="T522">
        <v>13.1</v>
      </c>
      <c r="U522">
        <v>62.7</v>
      </c>
      <c r="V522" t="b">
        <v>1</v>
      </c>
      <c r="W522" t="s">
        <v>31</v>
      </c>
    </row>
    <row r="523" spans="1:23" x14ac:dyDescent="0.25">
      <c r="A523" t="s">
        <v>23</v>
      </c>
      <c r="B523" t="s">
        <v>70</v>
      </c>
      <c r="C523">
        <v>94.5</v>
      </c>
      <c r="D523">
        <v>549</v>
      </c>
      <c r="E523" t="b">
        <v>0</v>
      </c>
      <c r="F523" t="b">
        <v>1</v>
      </c>
      <c r="G523" t="b">
        <v>0</v>
      </c>
      <c r="H523" t="s">
        <v>34</v>
      </c>
      <c r="I523" t="s">
        <v>44</v>
      </c>
      <c r="J523" t="s">
        <v>27</v>
      </c>
      <c r="K523" t="s">
        <v>37</v>
      </c>
      <c r="L523" t="s">
        <v>69</v>
      </c>
      <c r="M523" t="s">
        <v>39</v>
      </c>
      <c r="N523" t="s">
        <v>39</v>
      </c>
      <c r="O523" t="b">
        <v>1</v>
      </c>
      <c r="P523" t="b">
        <v>1</v>
      </c>
      <c r="Q523">
        <v>10</v>
      </c>
      <c r="R523" t="b">
        <v>0</v>
      </c>
      <c r="T523">
        <v>0</v>
      </c>
      <c r="U523">
        <v>100</v>
      </c>
      <c r="V523" t="b">
        <v>1</v>
      </c>
      <c r="W523" t="s">
        <v>58</v>
      </c>
    </row>
    <row r="524" spans="1:23" x14ac:dyDescent="0.25">
      <c r="A524" t="s">
        <v>56</v>
      </c>
      <c r="B524" t="s">
        <v>60</v>
      </c>
      <c r="C524">
        <v>40.85</v>
      </c>
      <c r="D524">
        <v>735</v>
      </c>
      <c r="E524" t="b">
        <v>1</v>
      </c>
      <c r="F524" t="b">
        <v>0</v>
      </c>
      <c r="G524" t="b">
        <v>0</v>
      </c>
      <c r="H524" t="s">
        <v>25</v>
      </c>
      <c r="I524" t="s">
        <v>44</v>
      </c>
      <c r="J524" t="s">
        <v>50</v>
      </c>
      <c r="K524" t="s">
        <v>37</v>
      </c>
      <c r="L524" t="s">
        <v>38</v>
      </c>
      <c r="M524" t="s">
        <v>46</v>
      </c>
      <c r="N524" t="s">
        <v>46</v>
      </c>
      <c r="O524" t="b">
        <v>1</v>
      </c>
      <c r="P524" t="b">
        <v>0</v>
      </c>
      <c r="Q524">
        <v>8</v>
      </c>
      <c r="R524" t="b">
        <v>0</v>
      </c>
      <c r="T524">
        <v>0</v>
      </c>
      <c r="U524">
        <v>42.37</v>
      </c>
      <c r="V524" t="b">
        <v>0</v>
      </c>
      <c r="W524" t="s">
        <v>58</v>
      </c>
    </row>
    <row r="525" spans="1:23" x14ac:dyDescent="0.25">
      <c r="A525" t="s">
        <v>74</v>
      </c>
      <c r="B525" t="s">
        <v>62</v>
      </c>
      <c r="C525">
        <v>74.77</v>
      </c>
      <c r="D525">
        <v>472</v>
      </c>
      <c r="E525" t="b">
        <v>1</v>
      </c>
      <c r="F525" t="b">
        <v>1</v>
      </c>
      <c r="G525" t="b">
        <v>1</v>
      </c>
      <c r="H525" t="s">
        <v>34</v>
      </c>
      <c r="I525" t="s">
        <v>26</v>
      </c>
      <c r="J525" t="s">
        <v>54</v>
      </c>
      <c r="K525" t="s">
        <v>37</v>
      </c>
      <c r="L525" t="s">
        <v>38</v>
      </c>
      <c r="M525" t="s">
        <v>47</v>
      </c>
      <c r="N525" t="s">
        <v>39</v>
      </c>
      <c r="O525" t="b">
        <v>0</v>
      </c>
      <c r="P525" t="b">
        <v>1</v>
      </c>
      <c r="Q525">
        <v>6.3</v>
      </c>
      <c r="R525" t="b">
        <v>0</v>
      </c>
      <c r="T525">
        <v>0</v>
      </c>
      <c r="U525">
        <v>76.680000000000007</v>
      </c>
      <c r="V525" t="b">
        <v>1</v>
      </c>
      <c r="W525" t="s">
        <v>31</v>
      </c>
    </row>
    <row r="526" spans="1:23" x14ac:dyDescent="0.25">
      <c r="A526" t="s">
        <v>23</v>
      </c>
      <c r="B526" t="s">
        <v>66</v>
      </c>
      <c r="C526">
        <v>58.96</v>
      </c>
      <c r="D526">
        <v>366</v>
      </c>
      <c r="E526" t="b">
        <v>0</v>
      </c>
      <c r="F526" t="b">
        <v>1</v>
      </c>
      <c r="G526" t="b">
        <v>1</v>
      </c>
      <c r="H526" t="s">
        <v>53</v>
      </c>
      <c r="I526" t="s">
        <v>35</v>
      </c>
      <c r="J526" t="s">
        <v>36</v>
      </c>
      <c r="K526" t="s">
        <v>37</v>
      </c>
      <c r="L526" t="s">
        <v>37</v>
      </c>
      <c r="M526" t="s">
        <v>47</v>
      </c>
      <c r="N526" t="s">
        <v>28</v>
      </c>
      <c r="O526" t="b">
        <v>0</v>
      </c>
      <c r="P526" t="b">
        <v>1</v>
      </c>
      <c r="Q526">
        <v>3.4</v>
      </c>
      <c r="R526" t="b">
        <v>1</v>
      </c>
      <c r="S526" t="s">
        <v>30</v>
      </c>
      <c r="T526">
        <v>28.6</v>
      </c>
      <c r="U526">
        <v>34.86</v>
      </c>
      <c r="V526" t="b">
        <v>1</v>
      </c>
      <c r="W526" t="s">
        <v>72</v>
      </c>
    </row>
    <row r="527" spans="1:23" x14ac:dyDescent="0.25">
      <c r="A527" t="s">
        <v>68</v>
      </c>
      <c r="B527" t="s">
        <v>70</v>
      </c>
      <c r="C527">
        <v>92</v>
      </c>
      <c r="D527">
        <v>286</v>
      </c>
      <c r="E527" t="b">
        <v>0</v>
      </c>
      <c r="F527" t="b">
        <v>0</v>
      </c>
      <c r="G527" t="b">
        <v>1</v>
      </c>
      <c r="H527" t="s">
        <v>25</v>
      </c>
      <c r="I527" t="s">
        <v>67</v>
      </c>
      <c r="J527" t="s">
        <v>36</v>
      </c>
      <c r="K527" t="s">
        <v>28</v>
      </c>
      <c r="L527" t="s">
        <v>51</v>
      </c>
      <c r="M527" t="s">
        <v>46</v>
      </c>
      <c r="P527" t="b">
        <v>0</v>
      </c>
      <c r="Q527">
        <v>9.6</v>
      </c>
      <c r="R527" t="b">
        <v>1</v>
      </c>
      <c r="S527" t="s">
        <v>40</v>
      </c>
      <c r="T527">
        <v>2.1</v>
      </c>
      <c r="U527">
        <v>86.29</v>
      </c>
      <c r="V527" t="b">
        <v>1</v>
      </c>
      <c r="W527" t="s">
        <v>31</v>
      </c>
    </row>
    <row r="528" spans="1:23" x14ac:dyDescent="0.25">
      <c r="A528" t="s">
        <v>61</v>
      </c>
      <c r="B528" t="s">
        <v>49</v>
      </c>
      <c r="C528">
        <v>79.12</v>
      </c>
      <c r="D528">
        <v>306</v>
      </c>
      <c r="E528" t="b">
        <v>0</v>
      </c>
      <c r="F528" t="b">
        <v>1</v>
      </c>
      <c r="G528" t="b">
        <v>1</v>
      </c>
      <c r="H528" t="s">
        <v>43</v>
      </c>
      <c r="I528" t="s">
        <v>63</v>
      </c>
      <c r="J528" t="s">
        <v>54</v>
      </c>
      <c r="K528" t="s">
        <v>28</v>
      </c>
      <c r="L528" t="s">
        <v>37</v>
      </c>
      <c r="M528" t="s">
        <v>47</v>
      </c>
      <c r="N528" t="s">
        <v>46</v>
      </c>
      <c r="P528" t="b">
        <v>0</v>
      </c>
      <c r="Q528">
        <v>6.8</v>
      </c>
      <c r="R528" t="b">
        <v>1</v>
      </c>
      <c r="S528" t="s">
        <v>48</v>
      </c>
      <c r="T528">
        <v>32.1</v>
      </c>
      <c r="U528">
        <v>71.989999999999995</v>
      </c>
      <c r="V528" t="b">
        <v>1</v>
      </c>
      <c r="W528" t="s">
        <v>41</v>
      </c>
    </row>
    <row r="529" spans="1:23" x14ac:dyDescent="0.25">
      <c r="A529" t="s">
        <v>61</v>
      </c>
      <c r="B529" t="s">
        <v>24</v>
      </c>
      <c r="C529">
        <v>87.83</v>
      </c>
      <c r="D529">
        <v>601</v>
      </c>
      <c r="E529" t="b">
        <v>1</v>
      </c>
      <c r="F529" t="b">
        <v>1</v>
      </c>
      <c r="G529" t="b">
        <v>0</v>
      </c>
      <c r="H529" t="s">
        <v>25</v>
      </c>
      <c r="I529" t="s">
        <v>44</v>
      </c>
      <c r="J529" t="s">
        <v>45</v>
      </c>
      <c r="K529" t="s">
        <v>46</v>
      </c>
      <c r="L529" t="s">
        <v>29</v>
      </c>
      <c r="M529" t="s">
        <v>39</v>
      </c>
      <c r="N529" t="s">
        <v>39</v>
      </c>
      <c r="O529" t="b">
        <v>0</v>
      </c>
      <c r="P529" t="b">
        <v>1</v>
      </c>
      <c r="Q529">
        <v>7.3</v>
      </c>
      <c r="R529" t="b">
        <v>0</v>
      </c>
      <c r="T529">
        <v>0</v>
      </c>
      <c r="U529">
        <v>89.17</v>
      </c>
      <c r="V529" t="b">
        <v>1</v>
      </c>
      <c r="W529" t="s">
        <v>31</v>
      </c>
    </row>
    <row r="530" spans="1:23" x14ac:dyDescent="0.25">
      <c r="A530" t="s">
        <v>32</v>
      </c>
      <c r="B530" t="s">
        <v>33</v>
      </c>
      <c r="C530">
        <v>76.97</v>
      </c>
      <c r="D530">
        <v>479</v>
      </c>
      <c r="E530" t="b">
        <v>1</v>
      </c>
      <c r="F530" t="b">
        <v>1</v>
      </c>
      <c r="G530" t="b">
        <v>0</v>
      </c>
      <c r="H530" t="s">
        <v>53</v>
      </c>
      <c r="I530" t="s">
        <v>35</v>
      </c>
      <c r="J530" t="s">
        <v>27</v>
      </c>
      <c r="K530" t="s">
        <v>37</v>
      </c>
      <c r="L530" t="s">
        <v>38</v>
      </c>
      <c r="M530" t="s">
        <v>46</v>
      </c>
      <c r="N530" t="s">
        <v>46</v>
      </c>
      <c r="P530" t="b">
        <v>0</v>
      </c>
      <c r="Q530">
        <v>8.6</v>
      </c>
      <c r="R530" t="b">
        <v>0</v>
      </c>
      <c r="T530">
        <v>0</v>
      </c>
      <c r="U530">
        <v>81.5</v>
      </c>
      <c r="V530" t="b">
        <v>1</v>
      </c>
      <c r="W530" t="s">
        <v>58</v>
      </c>
    </row>
    <row r="531" spans="1:23" x14ac:dyDescent="0.25">
      <c r="A531" t="s">
        <v>61</v>
      </c>
      <c r="B531" t="s">
        <v>76</v>
      </c>
      <c r="C531">
        <v>89.02</v>
      </c>
      <c r="D531">
        <v>70</v>
      </c>
      <c r="E531" t="b">
        <v>1</v>
      </c>
      <c r="F531" t="b">
        <v>1</v>
      </c>
      <c r="G531" t="b">
        <v>1</v>
      </c>
      <c r="H531" t="s">
        <v>34</v>
      </c>
      <c r="I531" t="s">
        <v>35</v>
      </c>
      <c r="J531" t="s">
        <v>54</v>
      </c>
      <c r="K531" t="s">
        <v>39</v>
      </c>
      <c r="L531" t="s">
        <v>29</v>
      </c>
      <c r="M531" t="s">
        <v>39</v>
      </c>
      <c r="N531" t="s">
        <v>46</v>
      </c>
      <c r="O531" t="b">
        <v>1</v>
      </c>
      <c r="P531" t="b">
        <v>0</v>
      </c>
      <c r="Q531">
        <v>10</v>
      </c>
      <c r="R531" t="b">
        <v>1</v>
      </c>
      <c r="S531" t="s">
        <v>64</v>
      </c>
      <c r="T531">
        <v>14.1</v>
      </c>
      <c r="U531">
        <v>80.099999999999994</v>
      </c>
      <c r="V531" t="b">
        <v>1</v>
      </c>
      <c r="W531" t="s">
        <v>31</v>
      </c>
    </row>
    <row r="532" spans="1:23" x14ac:dyDescent="0.25">
      <c r="A532" t="s">
        <v>56</v>
      </c>
      <c r="B532" t="s">
        <v>66</v>
      </c>
      <c r="C532">
        <v>62.35</v>
      </c>
      <c r="D532">
        <v>568</v>
      </c>
      <c r="E532" t="b">
        <v>1</v>
      </c>
      <c r="F532" t="b">
        <v>1</v>
      </c>
      <c r="G532" t="b">
        <v>1</v>
      </c>
      <c r="H532" t="s">
        <v>34</v>
      </c>
      <c r="I532" t="s">
        <v>67</v>
      </c>
      <c r="J532" t="s">
        <v>36</v>
      </c>
      <c r="K532" t="s">
        <v>28</v>
      </c>
      <c r="L532" t="s">
        <v>38</v>
      </c>
      <c r="M532" t="s">
        <v>46</v>
      </c>
      <c r="O532" t="b">
        <v>1</v>
      </c>
      <c r="P532" t="b">
        <v>1</v>
      </c>
      <c r="Q532">
        <v>10</v>
      </c>
      <c r="R532" t="b">
        <v>1</v>
      </c>
      <c r="S532" t="s">
        <v>64</v>
      </c>
      <c r="T532">
        <v>44.6</v>
      </c>
      <c r="U532">
        <v>62.61</v>
      </c>
      <c r="V532" t="b">
        <v>0</v>
      </c>
      <c r="W532" t="s">
        <v>31</v>
      </c>
    </row>
    <row r="533" spans="1:23" x14ac:dyDescent="0.25">
      <c r="A533" t="s">
        <v>61</v>
      </c>
      <c r="B533" t="s">
        <v>73</v>
      </c>
      <c r="C533">
        <v>45.88</v>
      </c>
      <c r="D533">
        <v>389</v>
      </c>
      <c r="E533" t="b">
        <v>0</v>
      </c>
      <c r="F533" t="b">
        <v>0</v>
      </c>
      <c r="G533" t="b">
        <v>1</v>
      </c>
      <c r="H533" t="s">
        <v>34</v>
      </c>
      <c r="I533" t="s">
        <v>35</v>
      </c>
      <c r="J533" t="s">
        <v>45</v>
      </c>
      <c r="K533" t="s">
        <v>39</v>
      </c>
      <c r="L533" t="s">
        <v>37</v>
      </c>
      <c r="M533" t="s">
        <v>47</v>
      </c>
      <c r="N533" t="s">
        <v>28</v>
      </c>
      <c r="O533" t="b">
        <v>0</v>
      </c>
      <c r="P533" t="b">
        <v>1</v>
      </c>
      <c r="Q533">
        <v>2.7</v>
      </c>
      <c r="R533" t="b">
        <v>1</v>
      </c>
      <c r="S533" t="s">
        <v>64</v>
      </c>
      <c r="T533">
        <v>7.8</v>
      </c>
      <c r="U533">
        <v>48.15</v>
      </c>
      <c r="V533" t="b">
        <v>0</v>
      </c>
      <c r="W533" t="s">
        <v>72</v>
      </c>
    </row>
    <row r="534" spans="1:23" x14ac:dyDescent="0.25">
      <c r="A534" t="s">
        <v>56</v>
      </c>
      <c r="B534" t="s">
        <v>59</v>
      </c>
      <c r="C534">
        <v>93.94</v>
      </c>
      <c r="D534">
        <v>162</v>
      </c>
      <c r="E534" t="b">
        <v>1</v>
      </c>
      <c r="F534" t="b">
        <v>1</v>
      </c>
      <c r="G534" t="b">
        <v>1</v>
      </c>
      <c r="H534" t="s">
        <v>34</v>
      </c>
      <c r="I534" t="s">
        <v>44</v>
      </c>
      <c r="J534" t="s">
        <v>54</v>
      </c>
      <c r="K534" t="s">
        <v>39</v>
      </c>
      <c r="L534" t="s">
        <v>37</v>
      </c>
      <c r="M534" t="s">
        <v>47</v>
      </c>
      <c r="N534" t="s">
        <v>46</v>
      </c>
      <c r="P534" t="b">
        <v>0</v>
      </c>
      <c r="Q534">
        <v>9.5</v>
      </c>
      <c r="R534" t="b">
        <v>1</v>
      </c>
      <c r="S534" t="s">
        <v>75</v>
      </c>
      <c r="T534">
        <v>14.6</v>
      </c>
      <c r="U534">
        <v>100</v>
      </c>
      <c r="V534" t="b">
        <v>1</v>
      </c>
      <c r="W534" t="s">
        <v>31</v>
      </c>
    </row>
    <row r="535" spans="1:23" x14ac:dyDescent="0.25">
      <c r="A535" t="s">
        <v>32</v>
      </c>
      <c r="B535" t="s">
        <v>71</v>
      </c>
      <c r="C535">
        <v>42.39</v>
      </c>
      <c r="D535">
        <v>365</v>
      </c>
      <c r="E535" t="b">
        <v>1</v>
      </c>
      <c r="F535" t="b">
        <v>0</v>
      </c>
      <c r="G535" t="b">
        <v>1</v>
      </c>
      <c r="H535" t="s">
        <v>43</v>
      </c>
      <c r="I535" t="s">
        <v>44</v>
      </c>
      <c r="J535" t="s">
        <v>27</v>
      </c>
      <c r="K535" t="s">
        <v>46</v>
      </c>
      <c r="L535" t="s">
        <v>51</v>
      </c>
      <c r="M535" t="s">
        <v>47</v>
      </c>
      <c r="N535" t="s">
        <v>28</v>
      </c>
      <c r="P535" t="b">
        <v>1</v>
      </c>
      <c r="Q535">
        <v>5</v>
      </c>
      <c r="R535" t="b">
        <v>1</v>
      </c>
      <c r="S535" t="s">
        <v>52</v>
      </c>
      <c r="T535">
        <v>11.3</v>
      </c>
      <c r="U535">
        <v>32.159999999999997</v>
      </c>
      <c r="V535" t="b">
        <v>1</v>
      </c>
      <c r="W535" t="s">
        <v>41</v>
      </c>
    </row>
    <row r="536" spans="1:23" x14ac:dyDescent="0.25">
      <c r="A536" t="s">
        <v>74</v>
      </c>
      <c r="B536" t="s">
        <v>60</v>
      </c>
      <c r="C536">
        <v>48.21</v>
      </c>
      <c r="D536">
        <v>215</v>
      </c>
      <c r="E536" t="b">
        <v>1</v>
      </c>
      <c r="F536" t="b">
        <v>1</v>
      </c>
      <c r="G536" t="b">
        <v>0</v>
      </c>
      <c r="H536" t="s">
        <v>43</v>
      </c>
      <c r="I536" t="s">
        <v>44</v>
      </c>
      <c r="J536" t="s">
        <v>50</v>
      </c>
      <c r="K536" t="s">
        <v>37</v>
      </c>
      <c r="L536" t="s">
        <v>69</v>
      </c>
      <c r="M536" t="s">
        <v>46</v>
      </c>
      <c r="N536" t="s">
        <v>39</v>
      </c>
      <c r="O536" t="b">
        <v>1</v>
      </c>
      <c r="P536" t="b">
        <v>0</v>
      </c>
      <c r="Q536">
        <v>7.3</v>
      </c>
      <c r="R536" t="b">
        <v>0</v>
      </c>
      <c r="T536">
        <v>0</v>
      </c>
      <c r="U536">
        <v>57.08</v>
      </c>
      <c r="V536" t="b">
        <v>1</v>
      </c>
      <c r="W536" t="s">
        <v>31</v>
      </c>
    </row>
    <row r="537" spans="1:23" x14ac:dyDescent="0.25">
      <c r="A537" t="s">
        <v>32</v>
      </c>
      <c r="B537" t="s">
        <v>71</v>
      </c>
      <c r="C537">
        <v>53.59</v>
      </c>
      <c r="D537">
        <v>322</v>
      </c>
      <c r="E537" t="b">
        <v>1</v>
      </c>
      <c r="F537" t="b">
        <v>0</v>
      </c>
      <c r="G537" t="b">
        <v>1</v>
      </c>
      <c r="H537" t="s">
        <v>53</v>
      </c>
      <c r="I537" t="s">
        <v>26</v>
      </c>
      <c r="J537" t="s">
        <v>54</v>
      </c>
      <c r="K537" t="s">
        <v>28</v>
      </c>
      <c r="L537" t="s">
        <v>69</v>
      </c>
      <c r="M537" t="s">
        <v>39</v>
      </c>
      <c r="N537" t="s">
        <v>39</v>
      </c>
      <c r="O537" t="b">
        <v>0</v>
      </c>
      <c r="P537" t="b">
        <v>1</v>
      </c>
      <c r="Q537">
        <v>6.6</v>
      </c>
      <c r="R537" t="b">
        <v>0</v>
      </c>
      <c r="T537">
        <v>0</v>
      </c>
      <c r="U537">
        <v>36.29</v>
      </c>
      <c r="V537" t="b">
        <v>0</v>
      </c>
      <c r="W537" t="s">
        <v>31</v>
      </c>
    </row>
    <row r="538" spans="1:23" x14ac:dyDescent="0.25">
      <c r="A538" t="s">
        <v>68</v>
      </c>
      <c r="B538" t="s">
        <v>59</v>
      </c>
      <c r="C538">
        <v>77.34</v>
      </c>
      <c r="D538">
        <v>688</v>
      </c>
      <c r="E538" t="b">
        <v>0</v>
      </c>
      <c r="F538" t="b">
        <v>1</v>
      </c>
      <c r="G538" t="b">
        <v>1</v>
      </c>
      <c r="H538" t="s">
        <v>53</v>
      </c>
      <c r="I538" t="s">
        <v>26</v>
      </c>
      <c r="J538" t="s">
        <v>50</v>
      </c>
      <c r="K538" t="s">
        <v>46</v>
      </c>
      <c r="L538" t="s">
        <v>37</v>
      </c>
      <c r="M538" t="s">
        <v>39</v>
      </c>
      <c r="N538" t="s">
        <v>28</v>
      </c>
      <c r="O538" t="b">
        <v>1</v>
      </c>
      <c r="P538" t="b">
        <v>0</v>
      </c>
      <c r="Q538">
        <v>8.3000000000000007</v>
      </c>
      <c r="R538" t="b">
        <v>1</v>
      </c>
      <c r="S538" t="s">
        <v>75</v>
      </c>
      <c r="T538">
        <v>14</v>
      </c>
      <c r="U538">
        <v>85.9</v>
      </c>
      <c r="V538" t="b">
        <v>1</v>
      </c>
      <c r="W538" t="s">
        <v>31</v>
      </c>
    </row>
    <row r="539" spans="1:23" x14ac:dyDescent="0.25">
      <c r="A539" t="s">
        <v>61</v>
      </c>
      <c r="B539" t="s">
        <v>49</v>
      </c>
      <c r="C539">
        <v>64.7</v>
      </c>
      <c r="D539">
        <v>638</v>
      </c>
      <c r="E539" t="b">
        <v>1</v>
      </c>
      <c r="F539" t="b">
        <v>0</v>
      </c>
      <c r="G539" t="b">
        <v>1</v>
      </c>
      <c r="H539" t="s">
        <v>34</v>
      </c>
      <c r="I539" t="s">
        <v>35</v>
      </c>
      <c r="J539" t="s">
        <v>54</v>
      </c>
      <c r="K539" t="s">
        <v>37</v>
      </c>
      <c r="L539" t="s">
        <v>37</v>
      </c>
      <c r="M539" t="s">
        <v>28</v>
      </c>
      <c r="N539" t="s">
        <v>28</v>
      </c>
      <c r="O539" t="b">
        <v>1</v>
      </c>
      <c r="P539" t="b">
        <v>1</v>
      </c>
      <c r="Q539">
        <v>8.6</v>
      </c>
      <c r="R539" t="b">
        <v>1</v>
      </c>
      <c r="S539" t="s">
        <v>40</v>
      </c>
      <c r="T539">
        <v>2.5</v>
      </c>
      <c r="U539">
        <v>77.89</v>
      </c>
      <c r="V539" t="b">
        <v>1</v>
      </c>
      <c r="W539" t="s">
        <v>31</v>
      </c>
    </row>
    <row r="540" spans="1:23" x14ac:dyDescent="0.25">
      <c r="A540" t="s">
        <v>32</v>
      </c>
      <c r="B540" t="s">
        <v>59</v>
      </c>
      <c r="C540">
        <v>89.59</v>
      </c>
      <c r="D540">
        <v>427</v>
      </c>
      <c r="E540" t="b">
        <v>1</v>
      </c>
      <c r="F540" t="b">
        <v>1</v>
      </c>
      <c r="G540" t="b">
        <v>0</v>
      </c>
      <c r="H540" t="s">
        <v>53</v>
      </c>
      <c r="I540" t="s">
        <v>35</v>
      </c>
      <c r="J540" t="s">
        <v>50</v>
      </c>
      <c r="K540" t="s">
        <v>46</v>
      </c>
      <c r="L540" t="s">
        <v>51</v>
      </c>
      <c r="M540" t="s">
        <v>28</v>
      </c>
      <c r="P540" t="b">
        <v>1</v>
      </c>
      <c r="Q540">
        <v>10</v>
      </c>
      <c r="R540" t="b">
        <v>0</v>
      </c>
      <c r="T540">
        <v>0</v>
      </c>
      <c r="U540">
        <v>89.37</v>
      </c>
      <c r="V540" t="b">
        <v>1</v>
      </c>
      <c r="W540" t="s">
        <v>58</v>
      </c>
    </row>
    <row r="541" spans="1:23" x14ac:dyDescent="0.25">
      <c r="A541" t="s">
        <v>32</v>
      </c>
      <c r="B541" t="s">
        <v>33</v>
      </c>
      <c r="C541">
        <v>88.7</v>
      </c>
      <c r="D541">
        <v>797</v>
      </c>
      <c r="E541" t="b">
        <v>1</v>
      </c>
      <c r="F541" t="b">
        <v>1</v>
      </c>
      <c r="G541" t="b">
        <v>1</v>
      </c>
      <c r="H541" t="s">
        <v>43</v>
      </c>
      <c r="I541" t="s">
        <v>63</v>
      </c>
      <c r="J541" t="s">
        <v>54</v>
      </c>
      <c r="K541" t="s">
        <v>46</v>
      </c>
      <c r="L541" t="s">
        <v>51</v>
      </c>
      <c r="M541" t="s">
        <v>28</v>
      </c>
      <c r="P541" t="b">
        <v>1</v>
      </c>
      <c r="Q541">
        <v>10</v>
      </c>
      <c r="R541" t="b">
        <v>1</v>
      </c>
      <c r="S541" t="s">
        <v>40</v>
      </c>
      <c r="T541">
        <v>38.799999999999997</v>
      </c>
      <c r="U541">
        <v>89.05</v>
      </c>
      <c r="V541" t="b">
        <v>1</v>
      </c>
      <c r="W541" t="s">
        <v>31</v>
      </c>
    </row>
    <row r="542" spans="1:23" x14ac:dyDescent="0.25">
      <c r="A542" t="s">
        <v>23</v>
      </c>
      <c r="B542" t="s">
        <v>33</v>
      </c>
      <c r="C542">
        <v>87.01</v>
      </c>
      <c r="D542">
        <v>307</v>
      </c>
      <c r="E542" t="b">
        <v>0</v>
      </c>
      <c r="F542" t="b">
        <v>1</v>
      </c>
      <c r="G542" t="b">
        <v>0</v>
      </c>
      <c r="H542" t="s">
        <v>43</v>
      </c>
      <c r="I542" t="s">
        <v>26</v>
      </c>
      <c r="J542" t="s">
        <v>45</v>
      </c>
      <c r="K542" t="s">
        <v>28</v>
      </c>
      <c r="L542" t="s">
        <v>51</v>
      </c>
      <c r="M542" t="s">
        <v>47</v>
      </c>
      <c r="O542" t="b">
        <v>0</v>
      </c>
      <c r="P542" t="b">
        <v>1</v>
      </c>
      <c r="Q542">
        <v>6.4</v>
      </c>
      <c r="R542" t="b">
        <v>1</v>
      </c>
      <c r="S542" t="s">
        <v>55</v>
      </c>
      <c r="T542">
        <v>30.3</v>
      </c>
      <c r="U542">
        <v>72.08</v>
      </c>
      <c r="V542" t="b">
        <v>1</v>
      </c>
      <c r="W542" t="s">
        <v>41</v>
      </c>
    </row>
    <row r="543" spans="1:23" x14ac:dyDescent="0.25">
      <c r="A543" t="s">
        <v>56</v>
      </c>
      <c r="B543" t="s">
        <v>49</v>
      </c>
      <c r="C543">
        <v>66.349999999999994</v>
      </c>
      <c r="D543">
        <v>322</v>
      </c>
      <c r="E543" t="b">
        <v>1</v>
      </c>
      <c r="F543" t="b">
        <v>1</v>
      </c>
      <c r="G543" t="b">
        <v>1</v>
      </c>
      <c r="H543" t="s">
        <v>43</v>
      </c>
      <c r="I543" t="s">
        <v>67</v>
      </c>
      <c r="J543" t="s">
        <v>50</v>
      </c>
      <c r="K543" t="s">
        <v>46</v>
      </c>
      <c r="L543" t="s">
        <v>37</v>
      </c>
      <c r="M543" t="s">
        <v>28</v>
      </c>
      <c r="N543" t="s">
        <v>39</v>
      </c>
      <c r="P543" t="b">
        <v>1</v>
      </c>
      <c r="Q543">
        <v>8.1999999999999993</v>
      </c>
      <c r="R543" t="b">
        <v>0</v>
      </c>
      <c r="T543">
        <v>0</v>
      </c>
      <c r="U543">
        <v>60.35</v>
      </c>
      <c r="V543" t="b">
        <v>0</v>
      </c>
      <c r="W543" t="s">
        <v>58</v>
      </c>
    </row>
    <row r="544" spans="1:23" x14ac:dyDescent="0.25">
      <c r="A544" t="s">
        <v>68</v>
      </c>
      <c r="B544" t="s">
        <v>42</v>
      </c>
      <c r="C544">
        <v>77.52</v>
      </c>
      <c r="D544">
        <v>357</v>
      </c>
      <c r="E544" t="b">
        <v>0</v>
      </c>
      <c r="F544" t="b">
        <v>0</v>
      </c>
      <c r="G544" t="b">
        <v>1</v>
      </c>
      <c r="H544" t="s">
        <v>53</v>
      </c>
      <c r="I544" t="s">
        <v>63</v>
      </c>
      <c r="J544" t="s">
        <v>36</v>
      </c>
      <c r="K544" t="s">
        <v>39</v>
      </c>
      <c r="L544" t="s">
        <v>38</v>
      </c>
      <c r="M544" t="s">
        <v>28</v>
      </c>
      <c r="N544" t="s">
        <v>28</v>
      </c>
      <c r="O544" t="b">
        <v>0</v>
      </c>
      <c r="P544" t="b">
        <v>1</v>
      </c>
      <c r="Q544">
        <v>8</v>
      </c>
      <c r="R544" t="b">
        <v>0</v>
      </c>
      <c r="T544">
        <v>0</v>
      </c>
      <c r="U544">
        <v>79.260000000000005</v>
      </c>
      <c r="V544" t="b">
        <v>1</v>
      </c>
      <c r="W544" t="s">
        <v>58</v>
      </c>
    </row>
    <row r="545" spans="1:23" x14ac:dyDescent="0.25">
      <c r="A545" t="s">
        <v>23</v>
      </c>
      <c r="B545" t="s">
        <v>59</v>
      </c>
      <c r="C545">
        <v>94.76</v>
      </c>
      <c r="D545">
        <v>595</v>
      </c>
      <c r="E545" t="b">
        <v>0</v>
      </c>
      <c r="F545" t="b">
        <v>0</v>
      </c>
      <c r="G545" t="b">
        <v>1</v>
      </c>
      <c r="H545" t="s">
        <v>43</v>
      </c>
      <c r="I545" t="s">
        <v>67</v>
      </c>
      <c r="J545" t="s">
        <v>54</v>
      </c>
      <c r="K545" t="s">
        <v>28</v>
      </c>
      <c r="L545" t="s">
        <v>37</v>
      </c>
      <c r="M545" t="s">
        <v>28</v>
      </c>
      <c r="N545" t="s">
        <v>46</v>
      </c>
      <c r="O545" t="b">
        <v>1</v>
      </c>
      <c r="P545" t="b">
        <v>0</v>
      </c>
      <c r="Q545">
        <v>10</v>
      </c>
      <c r="R545" t="b">
        <v>0</v>
      </c>
      <c r="T545">
        <v>0</v>
      </c>
      <c r="U545">
        <v>93.69</v>
      </c>
      <c r="V545" t="b">
        <v>1</v>
      </c>
      <c r="W545" t="s">
        <v>58</v>
      </c>
    </row>
    <row r="546" spans="1:23" x14ac:dyDescent="0.25">
      <c r="A546" t="s">
        <v>61</v>
      </c>
      <c r="B546" t="s">
        <v>70</v>
      </c>
      <c r="C546">
        <v>80.42</v>
      </c>
      <c r="D546">
        <v>422</v>
      </c>
      <c r="E546" t="b">
        <v>1</v>
      </c>
      <c r="F546" t="b">
        <v>0</v>
      </c>
      <c r="G546" t="b">
        <v>0</v>
      </c>
      <c r="H546" t="s">
        <v>43</v>
      </c>
      <c r="I546" t="s">
        <v>67</v>
      </c>
      <c r="J546" t="s">
        <v>50</v>
      </c>
      <c r="K546" t="s">
        <v>37</v>
      </c>
      <c r="L546" t="s">
        <v>29</v>
      </c>
      <c r="M546" t="s">
        <v>39</v>
      </c>
      <c r="N546" t="s">
        <v>39</v>
      </c>
      <c r="O546" t="b">
        <v>0</v>
      </c>
      <c r="P546" t="b">
        <v>1</v>
      </c>
      <c r="Q546">
        <v>7.1</v>
      </c>
      <c r="R546" t="b">
        <v>1</v>
      </c>
      <c r="S546" t="s">
        <v>75</v>
      </c>
      <c r="T546">
        <v>43.5</v>
      </c>
      <c r="U546">
        <v>73.44</v>
      </c>
      <c r="V546" t="b">
        <v>1</v>
      </c>
      <c r="W546" t="s">
        <v>41</v>
      </c>
    </row>
    <row r="547" spans="1:23" x14ac:dyDescent="0.25">
      <c r="A547" t="s">
        <v>23</v>
      </c>
      <c r="B547" t="s">
        <v>73</v>
      </c>
      <c r="C547">
        <v>69.66</v>
      </c>
      <c r="D547">
        <v>233</v>
      </c>
      <c r="E547" t="b">
        <v>1</v>
      </c>
      <c r="F547" t="b">
        <v>0</v>
      </c>
      <c r="G547" t="b">
        <v>1</v>
      </c>
      <c r="H547" t="s">
        <v>25</v>
      </c>
      <c r="I547" t="s">
        <v>67</v>
      </c>
      <c r="J547" t="s">
        <v>45</v>
      </c>
      <c r="K547" t="s">
        <v>28</v>
      </c>
      <c r="L547" t="s">
        <v>29</v>
      </c>
      <c r="M547" t="s">
        <v>47</v>
      </c>
      <c r="N547" t="s">
        <v>39</v>
      </c>
      <c r="P547" t="b">
        <v>0</v>
      </c>
      <c r="Q547">
        <v>7.6</v>
      </c>
      <c r="R547" t="b">
        <v>1</v>
      </c>
      <c r="S547" t="s">
        <v>64</v>
      </c>
      <c r="T547">
        <v>32.799999999999997</v>
      </c>
      <c r="U547">
        <v>83.54</v>
      </c>
      <c r="V547" t="b">
        <v>1</v>
      </c>
      <c r="W547" t="s">
        <v>41</v>
      </c>
    </row>
    <row r="548" spans="1:23" x14ac:dyDescent="0.25">
      <c r="A548" t="s">
        <v>32</v>
      </c>
      <c r="B548" t="s">
        <v>71</v>
      </c>
      <c r="C548">
        <v>49.78</v>
      </c>
      <c r="D548">
        <v>453</v>
      </c>
      <c r="E548" t="b">
        <v>0</v>
      </c>
      <c r="F548" t="b">
        <v>0</v>
      </c>
      <c r="G548" t="b">
        <v>0</v>
      </c>
      <c r="H548" t="s">
        <v>34</v>
      </c>
      <c r="I548" t="s">
        <v>57</v>
      </c>
      <c r="J548" t="s">
        <v>50</v>
      </c>
      <c r="K548" t="s">
        <v>28</v>
      </c>
      <c r="L548" t="s">
        <v>69</v>
      </c>
      <c r="M548" t="s">
        <v>28</v>
      </c>
      <c r="N548" t="s">
        <v>28</v>
      </c>
      <c r="O548" t="b">
        <v>1</v>
      </c>
      <c r="P548" t="b">
        <v>1</v>
      </c>
      <c r="Q548">
        <v>8.8000000000000007</v>
      </c>
      <c r="R548" t="b">
        <v>1</v>
      </c>
      <c r="S548" t="s">
        <v>75</v>
      </c>
      <c r="T548">
        <v>21.6</v>
      </c>
      <c r="U548">
        <v>29.97</v>
      </c>
      <c r="V548" t="b">
        <v>0</v>
      </c>
      <c r="W548" t="s">
        <v>31</v>
      </c>
    </row>
    <row r="549" spans="1:23" x14ac:dyDescent="0.25">
      <c r="A549" t="s">
        <v>68</v>
      </c>
      <c r="B549" t="s">
        <v>42</v>
      </c>
      <c r="C549">
        <v>83.74</v>
      </c>
      <c r="D549">
        <v>186</v>
      </c>
      <c r="E549" t="b">
        <v>1</v>
      </c>
      <c r="F549" t="b">
        <v>1</v>
      </c>
      <c r="G549" t="b">
        <v>1</v>
      </c>
      <c r="H549" t="s">
        <v>43</v>
      </c>
      <c r="I549" t="s">
        <v>63</v>
      </c>
      <c r="J549" t="s">
        <v>54</v>
      </c>
      <c r="K549" t="s">
        <v>37</v>
      </c>
      <c r="L549" t="s">
        <v>51</v>
      </c>
      <c r="M549" t="s">
        <v>28</v>
      </c>
      <c r="N549" t="s">
        <v>28</v>
      </c>
      <c r="O549" t="b">
        <v>1</v>
      </c>
      <c r="P549" t="b">
        <v>0</v>
      </c>
      <c r="Q549">
        <v>10</v>
      </c>
      <c r="R549" t="b">
        <v>0</v>
      </c>
      <c r="T549">
        <v>0</v>
      </c>
      <c r="U549">
        <v>82.74</v>
      </c>
      <c r="V549" t="b">
        <v>1</v>
      </c>
      <c r="W549" t="s">
        <v>58</v>
      </c>
    </row>
    <row r="550" spans="1:23" x14ac:dyDescent="0.25">
      <c r="A550" t="s">
        <v>56</v>
      </c>
      <c r="B550" t="s">
        <v>76</v>
      </c>
      <c r="C550">
        <v>87.25</v>
      </c>
      <c r="D550">
        <v>441</v>
      </c>
      <c r="E550" t="b">
        <v>1</v>
      </c>
      <c r="F550" t="b">
        <v>1</v>
      </c>
      <c r="G550" t="b">
        <v>0</v>
      </c>
      <c r="H550" t="s">
        <v>43</v>
      </c>
      <c r="I550" t="s">
        <v>26</v>
      </c>
      <c r="J550" t="s">
        <v>50</v>
      </c>
      <c r="K550" t="s">
        <v>37</v>
      </c>
      <c r="L550" t="s">
        <v>37</v>
      </c>
      <c r="M550" t="s">
        <v>28</v>
      </c>
      <c r="N550" t="s">
        <v>28</v>
      </c>
      <c r="O550" t="b">
        <v>0</v>
      </c>
      <c r="P550" t="b">
        <v>1</v>
      </c>
      <c r="Q550">
        <v>8.5</v>
      </c>
      <c r="R550" t="b">
        <v>1</v>
      </c>
      <c r="S550" t="s">
        <v>75</v>
      </c>
      <c r="T550">
        <v>3.3</v>
      </c>
      <c r="U550">
        <v>80.27</v>
      </c>
      <c r="V550" t="b">
        <v>1</v>
      </c>
      <c r="W550" t="s">
        <v>31</v>
      </c>
    </row>
    <row r="551" spans="1:23" x14ac:dyDescent="0.25">
      <c r="A551" t="s">
        <v>68</v>
      </c>
      <c r="B551" t="s">
        <v>42</v>
      </c>
      <c r="C551">
        <v>83.45</v>
      </c>
      <c r="D551">
        <v>124</v>
      </c>
      <c r="E551" t="b">
        <v>0</v>
      </c>
      <c r="F551" t="b">
        <v>1</v>
      </c>
      <c r="G551" t="b">
        <v>0</v>
      </c>
      <c r="H551" t="s">
        <v>25</v>
      </c>
      <c r="I551" t="s">
        <v>35</v>
      </c>
      <c r="J551" t="s">
        <v>36</v>
      </c>
      <c r="K551" t="s">
        <v>39</v>
      </c>
      <c r="L551" t="s">
        <v>38</v>
      </c>
      <c r="M551" t="s">
        <v>46</v>
      </c>
      <c r="N551" t="s">
        <v>39</v>
      </c>
      <c r="P551" t="b">
        <v>1</v>
      </c>
      <c r="Q551">
        <v>8.8000000000000007</v>
      </c>
      <c r="R551" t="b">
        <v>0</v>
      </c>
      <c r="T551">
        <v>0</v>
      </c>
      <c r="U551">
        <v>96.22</v>
      </c>
      <c r="V551" t="b">
        <v>1</v>
      </c>
      <c r="W551" t="s">
        <v>58</v>
      </c>
    </row>
    <row r="552" spans="1:23" x14ac:dyDescent="0.25">
      <c r="A552" t="s">
        <v>74</v>
      </c>
      <c r="B552" t="s">
        <v>33</v>
      </c>
      <c r="C552">
        <v>75.459999999999994</v>
      </c>
      <c r="D552">
        <v>740</v>
      </c>
      <c r="E552" t="b">
        <v>0</v>
      </c>
      <c r="F552" t="b">
        <v>0</v>
      </c>
      <c r="G552" t="b">
        <v>1</v>
      </c>
      <c r="H552" t="s">
        <v>43</v>
      </c>
      <c r="I552" t="s">
        <v>57</v>
      </c>
      <c r="J552" t="s">
        <v>54</v>
      </c>
      <c r="K552" t="s">
        <v>37</v>
      </c>
      <c r="L552" t="s">
        <v>51</v>
      </c>
      <c r="M552" t="s">
        <v>46</v>
      </c>
      <c r="N552" t="s">
        <v>46</v>
      </c>
      <c r="P552" t="b">
        <v>1</v>
      </c>
      <c r="Q552">
        <v>7.5</v>
      </c>
      <c r="R552" t="b">
        <v>1</v>
      </c>
      <c r="S552" t="s">
        <v>48</v>
      </c>
      <c r="T552">
        <v>20.8</v>
      </c>
      <c r="U552">
        <v>75.040000000000006</v>
      </c>
      <c r="V552" t="b">
        <v>1</v>
      </c>
      <c r="W552" t="s">
        <v>41</v>
      </c>
    </row>
    <row r="553" spans="1:23" x14ac:dyDescent="0.25">
      <c r="A553" t="s">
        <v>32</v>
      </c>
      <c r="B553" t="s">
        <v>62</v>
      </c>
      <c r="C553">
        <v>64.790000000000006</v>
      </c>
      <c r="D553">
        <v>155</v>
      </c>
      <c r="E553" t="b">
        <v>0</v>
      </c>
      <c r="F553" t="b">
        <v>1</v>
      </c>
      <c r="G553" t="b">
        <v>1</v>
      </c>
      <c r="H553" t="s">
        <v>34</v>
      </c>
      <c r="I553" t="s">
        <v>44</v>
      </c>
      <c r="J553" t="s">
        <v>50</v>
      </c>
      <c r="K553" t="s">
        <v>46</v>
      </c>
      <c r="L553" t="s">
        <v>51</v>
      </c>
      <c r="M553" t="s">
        <v>47</v>
      </c>
      <c r="N553" t="s">
        <v>28</v>
      </c>
      <c r="P553" t="b">
        <v>0</v>
      </c>
      <c r="Q553">
        <v>5.6</v>
      </c>
      <c r="R553" t="b">
        <v>1</v>
      </c>
      <c r="S553" t="s">
        <v>64</v>
      </c>
      <c r="T553">
        <v>8.3000000000000007</v>
      </c>
      <c r="U553">
        <v>50.55</v>
      </c>
      <c r="V553" t="b">
        <v>1</v>
      </c>
      <c r="W553" t="s">
        <v>41</v>
      </c>
    </row>
    <row r="554" spans="1:23" x14ac:dyDescent="0.25">
      <c r="A554" t="s">
        <v>74</v>
      </c>
      <c r="B554" t="s">
        <v>76</v>
      </c>
      <c r="C554">
        <v>78.760000000000005</v>
      </c>
      <c r="D554">
        <v>317</v>
      </c>
      <c r="E554" t="b">
        <v>0</v>
      </c>
      <c r="F554" t="b">
        <v>0</v>
      </c>
      <c r="G554" t="b">
        <v>0</v>
      </c>
      <c r="H554" t="s">
        <v>34</v>
      </c>
      <c r="I554" t="s">
        <v>63</v>
      </c>
      <c r="J554" t="s">
        <v>27</v>
      </c>
      <c r="K554" t="s">
        <v>37</v>
      </c>
      <c r="L554" t="s">
        <v>29</v>
      </c>
      <c r="M554" t="s">
        <v>39</v>
      </c>
      <c r="N554" t="s">
        <v>28</v>
      </c>
      <c r="P554" t="b">
        <v>1</v>
      </c>
      <c r="Q554">
        <v>7.4</v>
      </c>
      <c r="R554" t="b">
        <v>1</v>
      </c>
      <c r="S554" t="s">
        <v>64</v>
      </c>
      <c r="T554">
        <v>19.2</v>
      </c>
      <c r="U554">
        <v>67.91</v>
      </c>
      <c r="V554" t="b">
        <v>1</v>
      </c>
      <c r="W554" t="s">
        <v>41</v>
      </c>
    </row>
    <row r="555" spans="1:23" x14ac:dyDescent="0.25">
      <c r="A555" t="s">
        <v>61</v>
      </c>
      <c r="B555" t="s">
        <v>24</v>
      </c>
      <c r="C555">
        <v>86.3</v>
      </c>
      <c r="D555">
        <v>108</v>
      </c>
      <c r="E555" t="b">
        <v>0</v>
      </c>
      <c r="F555" t="b">
        <v>1</v>
      </c>
      <c r="G555" t="b">
        <v>1</v>
      </c>
      <c r="H555" t="s">
        <v>25</v>
      </c>
      <c r="I555" t="s">
        <v>26</v>
      </c>
      <c r="J555" t="s">
        <v>50</v>
      </c>
      <c r="K555" t="s">
        <v>37</v>
      </c>
      <c r="L555" t="s">
        <v>29</v>
      </c>
      <c r="M555" t="s">
        <v>28</v>
      </c>
      <c r="N555" t="s">
        <v>28</v>
      </c>
      <c r="P555" t="b">
        <v>0</v>
      </c>
      <c r="Q555">
        <v>8.6999999999999993</v>
      </c>
      <c r="R555" t="b">
        <v>0</v>
      </c>
      <c r="T555">
        <v>0</v>
      </c>
      <c r="U555">
        <v>82.08</v>
      </c>
      <c r="V555" t="b">
        <v>1</v>
      </c>
      <c r="W555" t="s">
        <v>58</v>
      </c>
    </row>
    <row r="556" spans="1:23" x14ac:dyDescent="0.25">
      <c r="A556" t="s">
        <v>74</v>
      </c>
      <c r="B556" t="s">
        <v>33</v>
      </c>
      <c r="C556">
        <v>78.739999999999995</v>
      </c>
      <c r="D556">
        <v>749</v>
      </c>
      <c r="E556" t="b">
        <v>0</v>
      </c>
      <c r="F556" t="b">
        <v>0</v>
      </c>
      <c r="G556" t="b">
        <v>0</v>
      </c>
      <c r="H556" t="s">
        <v>43</v>
      </c>
      <c r="I556" t="s">
        <v>35</v>
      </c>
      <c r="J556" t="s">
        <v>27</v>
      </c>
      <c r="K556" t="s">
        <v>46</v>
      </c>
      <c r="L556" t="s">
        <v>38</v>
      </c>
      <c r="M556" t="s">
        <v>47</v>
      </c>
      <c r="N556" t="s">
        <v>39</v>
      </c>
      <c r="O556" t="b">
        <v>0</v>
      </c>
      <c r="P556" t="b">
        <v>0</v>
      </c>
      <c r="Q556">
        <v>7.1</v>
      </c>
      <c r="R556" t="b">
        <v>1</v>
      </c>
      <c r="S556" t="s">
        <v>52</v>
      </c>
      <c r="T556">
        <v>26.8</v>
      </c>
      <c r="U556">
        <v>81.27</v>
      </c>
      <c r="V556" t="b">
        <v>1</v>
      </c>
      <c r="W556" t="s">
        <v>41</v>
      </c>
    </row>
    <row r="557" spans="1:23" x14ac:dyDescent="0.25">
      <c r="A557" t="s">
        <v>56</v>
      </c>
      <c r="B557" t="s">
        <v>59</v>
      </c>
      <c r="C557">
        <v>80.849999999999994</v>
      </c>
      <c r="D557">
        <v>474</v>
      </c>
      <c r="E557" t="b">
        <v>1</v>
      </c>
      <c r="F557" t="b">
        <v>0</v>
      </c>
      <c r="G557" t="b">
        <v>0</v>
      </c>
      <c r="H557" t="s">
        <v>53</v>
      </c>
      <c r="I557" t="s">
        <v>63</v>
      </c>
      <c r="J557" t="s">
        <v>27</v>
      </c>
      <c r="K557" t="s">
        <v>39</v>
      </c>
      <c r="L557" t="s">
        <v>51</v>
      </c>
      <c r="M557" t="s">
        <v>28</v>
      </c>
      <c r="N557" t="s">
        <v>28</v>
      </c>
      <c r="O557" t="b">
        <v>0</v>
      </c>
      <c r="P557" t="b">
        <v>1</v>
      </c>
      <c r="Q557">
        <v>8.6999999999999993</v>
      </c>
      <c r="R557" t="b">
        <v>1</v>
      </c>
      <c r="S557" t="s">
        <v>52</v>
      </c>
      <c r="T557">
        <v>38</v>
      </c>
      <c r="U557">
        <v>94.29</v>
      </c>
      <c r="V557" t="b">
        <v>1</v>
      </c>
      <c r="W557" t="s">
        <v>31</v>
      </c>
    </row>
    <row r="558" spans="1:23" x14ac:dyDescent="0.25">
      <c r="A558" t="s">
        <v>68</v>
      </c>
      <c r="B558" t="s">
        <v>33</v>
      </c>
      <c r="C558">
        <v>78.42</v>
      </c>
      <c r="D558">
        <v>791</v>
      </c>
      <c r="E558" t="b">
        <v>1</v>
      </c>
      <c r="F558" t="b">
        <v>1</v>
      </c>
      <c r="G558" t="b">
        <v>1</v>
      </c>
      <c r="H558" t="s">
        <v>43</v>
      </c>
      <c r="I558" t="s">
        <v>35</v>
      </c>
      <c r="J558" t="s">
        <v>36</v>
      </c>
      <c r="K558" t="s">
        <v>37</v>
      </c>
      <c r="L558" t="s">
        <v>69</v>
      </c>
      <c r="M558" t="s">
        <v>28</v>
      </c>
      <c r="O558" t="b">
        <v>0</v>
      </c>
      <c r="P558" t="b">
        <v>1</v>
      </c>
      <c r="Q558">
        <v>9.1</v>
      </c>
      <c r="R558" t="b">
        <v>1</v>
      </c>
      <c r="S558" t="s">
        <v>30</v>
      </c>
      <c r="T558">
        <v>11.5</v>
      </c>
      <c r="U558">
        <v>68.02</v>
      </c>
      <c r="V558" t="b">
        <v>0</v>
      </c>
      <c r="W558" t="s">
        <v>31</v>
      </c>
    </row>
    <row r="559" spans="1:23" x14ac:dyDescent="0.25">
      <c r="A559" t="s">
        <v>32</v>
      </c>
      <c r="B559" t="s">
        <v>42</v>
      </c>
      <c r="C559">
        <v>82.62</v>
      </c>
      <c r="D559">
        <v>92</v>
      </c>
      <c r="E559" t="b">
        <v>0</v>
      </c>
      <c r="F559" t="b">
        <v>1</v>
      </c>
      <c r="G559" t="b">
        <v>0</v>
      </c>
      <c r="H559" t="s">
        <v>25</v>
      </c>
      <c r="I559" t="s">
        <v>35</v>
      </c>
      <c r="J559" t="s">
        <v>50</v>
      </c>
      <c r="K559" t="s">
        <v>37</v>
      </c>
      <c r="L559" t="s">
        <v>69</v>
      </c>
      <c r="M559" t="s">
        <v>39</v>
      </c>
      <c r="N559" t="s">
        <v>28</v>
      </c>
      <c r="P559" t="b">
        <v>1</v>
      </c>
      <c r="Q559">
        <v>8.1</v>
      </c>
      <c r="R559" t="b">
        <v>1</v>
      </c>
      <c r="S559" t="s">
        <v>52</v>
      </c>
      <c r="T559">
        <v>7.5</v>
      </c>
      <c r="U559">
        <v>93.63</v>
      </c>
      <c r="V559" t="b">
        <v>1</v>
      </c>
      <c r="W559" t="s">
        <v>31</v>
      </c>
    </row>
    <row r="560" spans="1:23" x14ac:dyDescent="0.25">
      <c r="A560" t="s">
        <v>68</v>
      </c>
      <c r="B560" t="s">
        <v>60</v>
      </c>
      <c r="C560">
        <v>44.99</v>
      </c>
      <c r="D560">
        <v>660</v>
      </c>
      <c r="E560" t="b">
        <v>1</v>
      </c>
      <c r="F560" t="b">
        <v>1</v>
      </c>
      <c r="G560" t="b">
        <v>0</v>
      </c>
      <c r="H560" t="s">
        <v>43</v>
      </c>
      <c r="I560" t="s">
        <v>63</v>
      </c>
      <c r="J560" t="s">
        <v>36</v>
      </c>
      <c r="K560" t="s">
        <v>39</v>
      </c>
      <c r="L560" t="s">
        <v>38</v>
      </c>
      <c r="M560" t="s">
        <v>47</v>
      </c>
      <c r="N560" t="s">
        <v>46</v>
      </c>
      <c r="O560" t="b">
        <v>0</v>
      </c>
      <c r="P560" t="b">
        <v>0</v>
      </c>
      <c r="Q560">
        <v>4.4000000000000004</v>
      </c>
      <c r="R560" t="b">
        <v>1</v>
      </c>
      <c r="S560" t="s">
        <v>52</v>
      </c>
      <c r="T560">
        <v>9.1999999999999993</v>
      </c>
      <c r="U560">
        <v>34.99</v>
      </c>
      <c r="V560" t="b">
        <v>1</v>
      </c>
      <c r="W560" t="s">
        <v>72</v>
      </c>
    </row>
    <row r="561" spans="1:23" x14ac:dyDescent="0.25">
      <c r="A561" t="s">
        <v>56</v>
      </c>
      <c r="B561" t="s">
        <v>70</v>
      </c>
      <c r="C561">
        <v>88.79</v>
      </c>
      <c r="D561">
        <v>234</v>
      </c>
      <c r="E561" t="b">
        <v>0</v>
      </c>
      <c r="F561" t="b">
        <v>0</v>
      </c>
      <c r="G561" t="b">
        <v>0</v>
      </c>
      <c r="H561" t="s">
        <v>25</v>
      </c>
      <c r="I561" t="s">
        <v>67</v>
      </c>
      <c r="J561" t="s">
        <v>45</v>
      </c>
      <c r="K561" t="s">
        <v>37</v>
      </c>
      <c r="L561" t="s">
        <v>37</v>
      </c>
      <c r="M561" t="s">
        <v>46</v>
      </c>
      <c r="N561" t="s">
        <v>46</v>
      </c>
      <c r="P561" t="b">
        <v>0</v>
      </c>
      <c r="Q561">
        <v>8.9</v>
      </c>
      <c r="R561" t="b">
        <v>0</v>
      </c>
      <c r="T561">
        <v>0</v>
      </c>
      <c r="U561">
        <v>79.5</v>
      </c>
      <c r="V561" t="b">
        <v>1</v>
      </c>
      <c r="W561" t="s">
        <v>58</v>
      </c>
    </row>
    <row r="562" spans="1:23" x14ac:dyDescent="0.25">
      <c r="A562" t="s">
        <v>68</v>
      </c>
      <c r="B562" t="s">
        <v>70</v>
      </c>
      <c r="C562">
        <v>92.76</v>
      </c>
      <c r="D562">
        <v>204</v>
      </c>
      <c r="E562" t="b">
        <v>0</v>
      </c>
      <c r="F562" t="b">
        <v>0</v>
      </c>
      <c r="G562" t="b">
        <v>1</v>
      </c>
      <c r="H562" t="s">
        <v>53</v>
      </c>
      <c r="I562" t="s">
        <v>26</v>
      </c>
      <c r="J562" t="s">
        <v>36</v>
      </c>
      <c r="K562" t="s">
        <v>39</v>
      </c>
      <c r="L562" t="s">
        <v>37</v>
      </c>
      <c r="M562" t="s">
        <v>39</v>
      </c>
      <c r="N562" t="s">
        <v>39</v>
      </c>
      <c r="O562" t="b">
        <v>1</v>
      </c>
      <c r="P562" t="b">
        <v>1</v>
      </c>
      <c r="Q562">
        <v>10</v>
      </c>
      <c r="R562" t="b">
        <v>0</v>
      </c>
      <c r="T562">
        <v>0</v>
      </c>
      <c r="U562">
        <v>100</v>
      </c>
      <c r="V562" t="b">
        <v>1</v>
      </c>
      <c r="W562" t="s">
        <v>58</v>
      </c>
    </row>
    <row r="563" spans="1:23" x14ac:dyDescent="0.25">
      <c r="A563" t="s">
        <v>32</v>
      </c>
      <c r="B563" t="s">
        <v>62</v>
      </c>
      <c r="C563">
        <v>63.01</v>
      </c>
      <c r="D563">
        <v>298</v>
      </c>
      <c r="E563" t="b">
        <v>1</v>
      </c>
      <c r="F563" t="b">
        <v>1</v>
      </c>
      <c r="G563" t="b">
        <v>1</v>
      </c>
      <c r="H563" t="s">
        <v>34</v>
      </c>
      <c r="I563" t="s">
        <v>26</v>
      </c>
      <c r="J563" t="s">
        <v>54</v>
      </c>
      <c r="K563" t="s">
        <v>28</v>
      </c>
      <c r="L563" t="s">
        <v>29</v>
      </c>
      <c r="M563" t="s">
        <v>47</v>
      </c>
      <c r="N563" t="s">
        <v>28</v>
      </c>
      <c r="O563" t="b">
        <v>0</v>
      </c>
      <c r="P563" t="b">
        <v>0</v>
      </c>
      <c r="Q563">
        <v>5.8</v>
      </c>
      <c r="R563" t="b">
        <v>1</v>
      </c>
      <c r="S563" t="s">
        <v>52</v>
      </c>
      <c r="T563">
        <v>5</v>
      </c>
      <c r="U563">
        <v>72</v>
      </c>
      <c r="V563" t="b">
        <v>1</v>
      </c>
      <c r="W563" t="s">
        <v>41</v>
      </c>
    </row>
    <row r="564" spans="1:23" x14ac:dyDescent="0.25">
      <c r="A564" t="s">
        <v>56</v>
      </c>
      <c r="B564" t="s">
        <v>60</v>
      </c>
      <c r="C564">
        <v>51.8</v>
      </c>
      <c r="D564">
        <v>261</v>
      </c>
      <c r="E564" t="b">
        <v>1</v>
      </c>
      <c r="F564" t="b">
        <v>0</v>
      </c>
      <c r="G564" t="b">
        <v>1</v>
      </c>
      <c r="H564" t="s">
        <v>53</v>
      </c>
      <c r="I564" t="s">
        <v>35</v>
      </c>
      <c r="J564" t="s">
        <v>27</v>
      </c>
      <c r="K564" t="s">
        <v>46</v>
      </c>
      <c r="L564" t="s">
        <v>29</v>
      </c>
      <c r="M564" t="s">
        <v>46</v>
      </c>
      <c r="N564" t="s">
        <v>39</v>
      </c>
      <c r="O564" t="b">
        <v>0</v>
      </c>
      <c r="P564" t="b">
        <v>0</v>
      </c>
      <c r="Q564">
        <v>6.4</v>
      </c>
      <c r="R564" t="b">
        <v>1</v>
      </c>
      <c r="S564" t="s">
        <v>40</v>
      </c>
      <c r="T564">
        <v>35.799999999999997</v>
      </c>
      <c r="U564">
        <v>57.82</v>
      </c>
      <c r="V564" t="b">
        <v>1</v>
      </c>
      <c r="W564" t="s">
        <v>41</v>
      </c>
    </row>
    <row r="565" spans="1:23" x14ac:dyDescent="0.25">
      <c r="A565" t="s">
        <v>23</v>
      </c>
      <c r="B565" t="s">
        <v>70</v>
      </c>
      <c r="C565">
        <v>93.17</v>
      </c>
      <c r="D565">
        <v>682</v>
      </c>
      <c r="E565" t="b">
        <v>1</v>
      </c>
      <c r="F565" t="b">
        <v>0</v>
      </c>
      <c r="G565" t="b">
        <v>0</v>
      </c>
      <c r="H565" t="s">
        <v>25</v>
      </c>
      <c r="I565" t="s">
        <v>44</v>
      </c>
      <c r="J565" t="s">
        <v>54</v>
      </c>
      <c r="K565" t="s">
        <v>37</v>
      </c>
      <c r="L565" t="s">
        <v>29</v>
      </c>
      <c r="M565" t="s">
        <v>47</v>
      </c>
      <c r="N565" t="s">
        <v>46</v>
      </c>
      <c r="O565" t="b">
        <v>1</v>
      </c>
      <c r="P565" t="b">
        <v>1</v>
      </c>
      <c r="Q565">
        <v>10</v>
      </c>
      <c r="R565" t="b">
        <v>1</v>
      </c>
      <c r="S565" t="s">
        <v>75</v>
      </c>
      <c r="T565">
        <v>40.9</v>
      </c>
      <c r="U565">
        <v>85.61</v>
      </c>
      <c r="V565" t="b">
        <v>1</v>
      </c>
      <c r="W565" t="s">
        <v>31</v>
      </c>
    </row>
    <row r="566" spans="1:23" x14ac:dyDescent="0.25">
      <c r="A566" t="s">
        <v>68</v>
      </c>
      <c r="B566" t="s">
        <v>42</v>
      </c>
      <c r="C566">
        <v>74.260000000000005</v>
      </c>
      <c r="D566">
        <v>91</v>
      </c>
      <c r="E566" t="b">
        <v>1</v>
      </c>
      <c r="F566" t="b">
        <v>0</v>
      </c>
      <c r="G566" t="b">
        <v>0</v>
      </c>
      <c r="H566" t="s">
        <v>25</v>
      </c>
      <c r="I566" t="s">
        <v>26</v>
      </c>
      <c r="J566" t="s">
        <v>50</v>
      </c>
      <c r="K566" t="s">
        <v>46</v>
      </c>
      <c r="L566" t="s">
        <v>38</v>
      </c>
      <c r="M566" t="s">
        <v>28</v>
      </c>
      <c r="N566" t="s">
        <v>39</v>
      </c>
      <c r="P566" t="b">
        <v>0</v>
      </c>
      <c r="Q566">
        <v>10</v>
      </c>
      <c r="R566" t="b">
        <v>0</v>
      </c>
      <c r="T566">
        <v>0</v>
      </c>
      <c r="U566">
        <v>69.98</v>
      </c>
      <c r="V566" t="b">
        <v>0</v>
      </c>
      <c r="W566" t="s">
        <v>58</v>
      </c>
    </row>
    <row r="567" spans="1:23" x14ac:dyDescent="0.25">
      <c r="A567" t="s">
        <v>32</v>
      </c>
      <c r="B567" t="s">
        <v>73</v>
      </c>
      <c r="C567">
        <v>67.67</v>
      </c>
      <c r="D567">
        <v>720</v>
      </c>
      <c r="E567" t="b">
        <v>1</v>
      </c>
      <c r="F567" t="b">
        <v>0</v>
      </c>
      <c r="G567" t="b">
        <v>1</v>
      </c>
      <c r="H567" t="s">
        <v>43</v>
      </c>
      <c r="I567" t="s">
        <v>35</v>
      </c>
      <c r="J567" t="s">
        <v>36</v>
      </c>
      <c r="K567" t="s">
        <v>39</v>
      </c>
      <c r="L567" t="s">
        <v>29</v>
      </c>
      <c r="M567" t="s">
        <v>47</v>
      </c>
      <c r="N567" t="s">
        <v>39</v>
      </c>
      <c r="O567" t="b">
        <v>1</v>
      </c>
      <c r="P567" t="b">
        <v>1</v>
      </c>
      <c r="Q567">
        <v>8</v>
      </c>
      <c r="R567" t="b">
        <v>1</v>
      </c>
      <c r="S567" t="s">
        <v>64</v>
      </c>
      <c r="T567">
        <v>11.5</v>
      </c>
      <c r="U567">
        <v>57.18</v>
      </c>
      <c r="V567" t="b">
        <v>0</v>
      </c>
      <c r="W567" t="s">
        <v>31</v>
      </c>
    </row>
    <row r="568" spans="1:23" x14ac:dyDescent="0.25">
      <c r="A568" t="s">
        <v>61</v>
      </c>
      <c r="B568" t="s">
        <v>60</v>
      </c>
      <c r="C568">
        <v>51.26</v>
      </c>
      <c r="D568">
        <v>53</v>
      </c>
      <c r="E568" t="b">
        <v>0</v>
      </c>
      <c r="F568" t="b">
        <v>0</v>
      </c>
      <c r="G568" t="b">
        <v>0</v>
      </c>
      <c r="H568" t="s">
        <v>25</v>
      </c>
      <c r="I568" t="s">
        <v>26</v>
      </c>
      <c r="J568" t="s">
        <v>50</v>
      </c>
      <c r="K568" t="s">
        <v>28</v>
      </c>
      <c r="L568" t="s">
        <v>38</v>
      </c>
      <c r="M568" t="s">
        <v>39</v>
      </c>
      <c r="N568" t="s">
        <v>28</v>
      </c>
      <c r="O568" t="b">
        <v>1</v>
      </c>
      <c r="P568" t="b">
        <v>1</v>
      </c>
      <c r="Q568">
        <v>7.9</v>
      </c>
      <c r="R568" t="b">
        <v>1</v>
      </c>
      <c r="S568" t="s">
        <v>64</v>
      </c>
      <c r="T568">
        <v>33.1</v>
      </c>
      <c r="U568">
        <v>42.22</v>
      </c>
      <c r="V568" t="b">
        <v>0</v>
      </c>
      <c r="W568" t="s">
        <v>41</v>
      </c>
    </row>
    <row r="569" spans="1:23" x14ac:dyDescent="0.25">
      <c r="A569" t="s">
        <v>68</v>
      </c>
      <c r="B569" t="s">
        <v>76</v>
      </c>
      <c r="C569">
        <v>79.38</v>
      </c>
      <c r="D569">
        <v>563</v>
      </c>
      <c r="E569" t="b">
        <v>0</v>
      </c>
      <c r="F569" t="b">
        <v>0</v>
      </c>
      <c r="G569" t="b">
        <v>1</v>
      </c>
      <c r="H569" t="s">
        <v>53</v>
      </c>
      <c r="I569" t="s">
        <v>63</v>
      </c>
      <c r="J569" t="s">
        <v>50</v>
      </c>
      <c r="K569" t="s">
        <v>46</v>
      </c>
      <c r="L569" t="s">
        <v>29</v>
      </c>
      <c r="M569" t="s">
        <v>46</v>
      </c>
      <c r="P569" t="b">
        <v>1</v>
      </c>
      <c r="Q569">
        <v>8.4</v>
      </c>
      <c r="R569" t="b">
        <v>1</v>
      </c>
      <c r="S569" t="s">
        <v>40</v>
      </c>
      <c r="T569">
        <v>40.4</v>
      </c>
      <c r="U569">
        <v>66.59</v>
      </c>
      <c r="V569" t="b">
        <v>1</v>
      </c>
      <c r="W569" t="s">
        <v>31</v>
      </c>
    </row>
    <row r="570" spans="1:23" x14ac:dyDescent="0.25">
      <c r="A570" t="s">
        <v>74</v>
      </c>
      <c r="B570" t="s">
        <v>59</v>
      </c>
      <c r="C570">
        <v>79.2</v>
      </c>
      <c r="D570">
        <v>626</v>
      </c>
      <c r="E570" t="b">
        <v>1</v>
      </c>
      <c r="F570" t="b">
        <v>0</v>
      </c>
      <c r="G570" t="b">
        <v>0</v>
      </c>
      <c r="H570" t="s">
        <v>25</v>
      </c>
      <c r="I570" t="s">
        <v>44</v>
      </c>
      <c r="J570" t="s">
        <v>27</v>
      </c>
      <c r="K570" t="s">
        <v>37</v>
      </c>
      <c r="L570" t="s">
        <v>29</v>
      </c>
      <c r="M570" t="s">
        <v>28</v>
      </c>
      <c r="N570" t="s">
        <v>39</v>
      </c>
      <c r="O570" t="b">
        <v>1</v>
      </c>
      <c r="P570" t="b">
        <v>1</v>
      </c>
      <c r="Q570">
        <v>10</v>
      </c>
      <c r="R570" t="b">
        <v>0</v>
      </c>
      <c r="T570">
        <v>0</v>
      </c>
      <c r="U570">
        <v>91.28</v>
      </c>
      <c r="V570" t="b">
        <v>1</v>
      </c>
      <c r="W570" t="s">
        <v>58</v>
      </c>
    </row>
    <row r="571" spans="1:23" x14ac:dyDescent="0.25">
      <c r="A571" t="s">
        <v>61</v>
      </c>
      <c r="B571" t="s">
        <v>71</v>
      </c>
      <c r="C571">
        <v>42.99</v>
      </c>
      <c r="D571">
        <v>360</v>
      </c>
      <c r="E571" t="b">
        <v>1</v>
      </c>
      <c r="F571" t="b">
        <v>1</v>
      </c>
      <c r="G571" t="b">
        <v>0</v>
      </c>
      <c r="H571" t="s">
        <v>25</v>
      </c>
      <c r="I571" t="s">
        <v>57</v>
      </c>
      <c r="J571" t="s">
        <v>50</v>
      </c>
      <c r="K571" t="s">
        <v>37</v>
      </c>
      <c r="L571" t="s">
        <v>37</v>
      </c>
      <c r="M571" t="s">
        <v>28</v>
      </c>
      <c r="O571" t="b">
        <v>1</v>
      </c>
      <c r="P571" t="b">
        <v>1</v>
      </c>
      <c r="Q571">
        <v>7</v>
      </c>
      <c r="R571" t="b">
        <v>1</v>
      </c>
      <c r="S571" t="s">
        <v>55</v>
      </c>
      <c r="T571">
        <v>21.3</v>
      </c>
      <c r="U571">
        <v>46.79</v>
      </c>
      <c r="V571" t="b">
        <v>0</v>
      </c>
      <c r="W571" t="s">
        <v>41</v>
      </c>
    </row>
    <row r="572" spans="1:23" x14ac:dyDescent="0.25">
      <c r="A572" t="s">
        <v>68</v>
      </c>
      <c r="B572" t="s">
        <v>71</v>
      </c>
      <c r="C572">
        <v>42.16</v>
      </c>
      <c r="D572">
        <v>264</v>
      </c>
      <c r="E572" t="b">
        <v>0</v>
      </c>
      <c r="F572" t="b">
        <v>1</v>
      </c>
      <c r="G572" t="b">
        <v>0</v>
      </c>
      <c r="H572" t="s">
        <v>25</v>
      </c>
      <c r="I572" t="s">
        <v>67</v>
      </c>
      <c r="J572" t="s">
        <v>36</v>
      </c>
      <c r="K572" t="s">
        <v>46</v>
      </c>
      <c r="L572" t="s">
        <v>38</v>
      </c>
      <c r="M572" t="s">
        <v>39</v>
      </c>
      <c r="P572" t="b">
        <v>0</v>
      </c>
      <c r="Q572">
        <v>5.2</v>
      </c>
      <c r="R572" t="b">
        <v>1</v>
      </c>
      <c r="S572" t="s">
        <v>30</v>
      </c>
      <c r="T572">
        <v>16.100000000000001</v>
      </c>
      <c r="U572">
        <v>28.78</v>
      </c>
      <c r="V572" t="b">
        <v>0</v>
      </c>
      <c r="W572" t="s">
        <v>41</v>
      </c>
    </row>
    <row r="573" spans="1:23" x14ac:dyDescent="0.25">
      <c r="A573" t="s">
        <v>68</v>
      </c>
      <c r="B573" t="s">
        <v>24</v>
      </c>
      <c r="C573">
        <v>95.97</v>
      </c>
      <c r="D573">
        <v>613</v>
      </c>
      <c r="E573" t="b">
        <v>0</v>
      </c>
      <c r="F573" t="b">
        <v>0</v>
      </c>
      <c r="G573" t="b">
        <v>1</v>
      </c>
      <c r="H573" t="s">
        <v>53</v>
      </c>
      <c r="I573" t="s">
        <v>57</v>
      </c>
      <c r="J573" t="s">
        <v>27</v>
      </c>
      <c r="K573" t="s">
        <v>37</v>
      </c>
      <c r="L573" t="s">
        <v>51</v>
      </c>
      <c r="M573" t="s">
        <v>28</v>
      </c>
      <c r="O573" t="b">
        <v>1</v>
      </c>
      <c r="P573" t="b">
        <v>1</v>
      </c>
      <c r="Q573">
        <v>10</v>
      </c>
      <c r="R573" t="b">
        <v>1</v>
      </c>
      <c r="S573" t="s">
        <v>55</v>
      </c>
      <c r="T573">
        <v>11.9</v>
      </c>
      <c r="U573">
        <v>95.69</v>
      </c>
      <c r="V573" t="b">
        <v>1</v>
      </c>
      <c r="W573" t="s">
        <v>31</v>
      </c>
    </row>
    <row r="574" spans="1:23" x14ac:dyDescent="0.25">
      <c r="A574" t="s">
        <v>56</v>
      </c>
      <c r="B574" t="s">
        <v>49</v>
      </c>
      <c r="C574">
        <v>64.400000000000006</v>
      </c>
      <c r="D574">
        <v>347</v>
      </c>
      <c r="E574" t="b">
        <v>1</v>
      </c>
      <c r="F574" t="b">
        <v>1</v>
      </c>
      <c r="G574" t="b">
        <v>1</v>
      </c>
      <c r="H574" t="s">
        <v>43</v>
      </c>
      <c r="I574" t="s">
        <v>44</v>
      </c>
      <c r="J574" t="s">
        <v>45</v>
      </c>
      <c r="K574" t="s">
        <v>37</v>
      </c>
      <c r="L574" t="s">
        <v>51</v>
      </c>
      <c r="M574" t="s">
        <v>46</v>
      </c>
      <c r="N574" t="s">
        <v>39</v>
      </c>
      <c r="P574" t="b">
        <v>1</v>
      </c>
      <c r="Q574">
        <v>7.4</v>
      </c>
      <c r="R574" t="b">
        <v>0</v>
      </c>
      <c r="T574">
        <v>0</v>
      </c>
      <c r="U574">
        <v>57.29</v>
      </c>
      <c r="V574" t="b">
        <v>1</v>
      </c>
      <c r="W574" t="s">
        <v>31</v>
      </c>
    </row>
    <row r="575" spans="1:23" x14ac:dyDescent="0.25">
      <c r="A575" t="s">
        <v>68</v>
      </c>
      <c r="B575" t="s">
        <v>66</v>
      </c>
      <c r="C575">
        <v>79.98</v>
      </c>
      <c r="D575">
        <v>342</v>
      </c>
      <c r="E575" t="b">
        <v>1</v>
      </c>
      <c r="F575" t="b">
        <v>1</v>
      </c>
      <c r="G575" t="b">
        <v>1</v>
      </c>
      <c r="H575" t="s">
        <v>34</v>
      </c>
      <c r="I575" t="s">
        <v>63</v>
      </c>
      <c r="J575" t="s">
        <v>27</v>
      </c>
      <c r="K575" t="s">
        <v>37</v>
      </c>
      <c r="L575" t="s">
        <v>38</v>
      </c>
      <c r="M575" t="s">
        <v>28</v>
      </c>
      <c r="N575" t="s">
        <v>28</v>
      </c>
      <c r="P575" t="b">
        <v>1</v>
      </c>
      <c r="Q575">
        <v>10</v>
      </c>
      <c r="R575" t="b">
        <v>0</v>
      </c>
      <c r="T575">
        <v>0</v>
      </c>
      <c r="U575">
        <v>59.5</v>
      </c>
      <c r="V575" t="b">
        <v>0</v>
      </c>
      <c r="W575" t="s">
        <v>58</v>
      </c>
    </row>
    <row r="576" spans="1:23" x14ac:dyDescent="0.25">
      <c r="A576" t="s">
        <v>56</v>
      </c>
      <c r="B576" t="s">
        <v>70</v>
      </c>
      <c r="C576">
        <v>81.59</v>
      </c>
      <c r="D576">
        <v>337</v>
      </c>
      <c r="E576" t="b">
        <v>0</v>
      </c>
      <c r="F576" t="b">
        <v>0</v>
      </c>
      <c r="G576" t="b">
        <v>1</v>
      </c>
      <c r="H576" t="s">
        <v>53</v>
      </c>
      <c r="I576" t="s">
        <v>67</v>
      </c>
      <c r="J576" t="s">
        <v>45</v>
      </c>
      <c r="K576" t="s">
        <v>46</v>
      </c>
      <c r="L576" t="s">
        <v>38</v>
      </c>
      <c r="M576" t="s">
        <v>28</v>
      </c>
      <c r="N576" t="s">
        <v>46</v>
      </c>
      <c r="O576" t="b">
        <v>0</v>
      </c>
      <c r="P576" t="b">
        <v>1</v>
      </c>
      <c r="Q576">
        <v>8.6</v>
      </c>
      <c r="R576" t="b">
        <v>0</v>
      </c>
      <c r="T576">
        <v>0</v>
      </c>
      <c r="U576">
        <v>78.37</v>
      </c>
      <c r="V576" t="b">
        <v>1</v>
      </c>
      <c r="W576" t="s">
        <v>58</v>
      </c>
    </row>
    <row r="577" spans="1:23" x14ac:dyDescent="0.25">
      <c r="A577" t="s">
        <v>56</v>
      </c>
      <c r="B577" t="s">
        <v>70</v>
      </c>
      <c r="C577">
        <v>90.34</v>
      </c>
      <c r="D577">
        <v>301</v>
      </c>
      <c r="E577" t="b">
        <v>0</v>
      </c>
      <c r="F577" t="b">
        <v>1</v>
      </c>
      <c r="G577" t="b">
        <v>0</v>
      </c>
      <c r="H577" t="s">
        <v>34</v>
      </c>
      <c r="I577" t="s">
        <v>44</v>
      </c>
      <c r="J577" t="s">
        <v>45</v>
      </c>
      <c r="K577" t="s">
        <v>28</v>
      </c>
      <c r="L577" t="s">
        <v>38</v>
      </c>
      <c r="M577" t="s">
        <v>47</v>
      </c>
      <c r="N577" t="s">
        <v>28</v>
      </c>
      <c r="O577" t="b">
        <v>1</v>
      </c>
      <c r="P577" t="b">
        <v>1</v>
      </c>
      <c r="Q577">
        <v>10</v>
      </c>
      <c r="R577" t="b">
        <v>0</v>
      </c>
      <c r="T577">
        <v>0</v>
      </c>
      <c r="U577">
        <v>98.94</v>
      </c>
      <c r="V577" t="b">
        <v>1</v>
      </c>
      <c r="W577" t="s">
        <v>58</v>
      </c>
    </row>
    <row r="578" spans="1:23" x14ac:dyDescent="0.25">
      <c r="A578" t="s">
        <v>32</v>
      </c>
      <c r="B578" t="s">
        <v>70</v>
      </c>
      <c r="C578">
        <v>80.63</v>
      </c>
      <c r="D578">
        <v>639</v>
      </c>
      <c r="E578" t="b">
        <v>1</v>
      </c>
      <c r="F578" t="b">
        <v>1</v>
      </c>
      <c r="G578" t="b">
        <v>0</v>
      </c>
      <c r="H578" t="s">
        <v>34</v>
      </c>
      <c r="I578" t="s">
        <v>57</v>
      </c>
      <c r="J578" t="s">
        <v>27</v>
      </c>
      <c r="K578" t="s">
        <v>28</v>
      </c>
      <c r="L578" t="s">
        <v>29</v>
      </c>
      <c r="M578" t="s">
        <v>47</v>
      </c>
      <c r="N578" t="s">
        <v>28</v>
      </c>
      <c r="P578" t="b">
        <v>0</v>
      </c>
      <c r="Q578">
        <v>8.3000000000000007</v>
      </c>
      <c r="R578" t="b">
        <v>1</v>
      </c>
      <c r="S578" t="s">
        <v>65</v>
      </c>
      <c r="T578">
        <v>14.6</v>
      </c>
      <c r="U578">
        <v>81.36</v>
      </c>
      <c r="V578" t="b">
        <v>1</v>
      </c>
      <c r="W578" t="s">
        <v>31</v>
      </c>
    </row>
    <row r="579" spans="1:23" x14ac:dyDescent="0.25">
      <c r="A579" t="s">
        <v>74</v>
      </c>
      <c r="B579" t="s">
        <v>60</v>
      </c>
      <c r="C579">
        <v>43.78</v>
      </c>
      <c r="D579">
        <v>231</v>
      </c>
      <c r="E579" t="b">
        <v>1</v>
      </c>
      <c r="F579" t="b">
        <v>0</v>
      </c>
      <c r="G579" t="b">
        <v>0</v>
      </c>
      <c r="H579" t="s">
        <v>43</v>
      </c>
      <c r="I579" t="s">
        <v>63</v>
      </c>
      <c r="J579" t="s">
        <v>50</v>
      </c>
      <c r="K579" t="s">
        <v>39</v>
      </c>
      <c r="L579" t="s">
        <v>37</v>
      </c>
      <c r="M579" t="s">
        <v>47</v>
      </c>
      <c r="N579" t="s">
        <v>28</v>
      </c>
      <c r="O579" t="b">
        <v>1</v>
      </c>
      <c r="P579" t="b">
        <v>1</v>
      </c>
      <c r="Q579">
        <v>6.3</v>
      </c>
      <c r="R579" t="b">
        <v>1</v>
      </c>
      <c r="S579" t="s">
        <v>75</v>
      </c>
      <c r="T579">
        <v>40.299999999999997</v>
      </c>
      <c r="U579">
        <v>46.21</v>
      </c>
      <c r="V579" t="b">
        <v>1</v>
      </c>
      <c r="W579" t="s">
        <v>41</v>
      </c>
    </row>
    <row r="580" spans="1:23" x14ac:dyDescent="0.25">
      <c r="A580" t="s">
        <v>68</v>
      </c>
      <c r="B580" t="s">
        <v>62</v>
      </c>
      <c r="C580">
        <v>68.39</v>
      </c>
      <c r="D580">
        <v>749</v>
      </c>
      <c r="E580" t="b">
        <v>0</v>
      </c>
      <c r="F580" t="b">
        <v>1</v>
      </c>
      <c r="G580" t="b">
        <v>1</v>
      </c>
      <c r="H580" t="s">
        <v>25</v>
      </c>
      <c r="I580" t="s">
        <v>67</v>
      </c>
      <c r="J580" t="s">
        <v>45</v>
      </c>
      <c r="K580" t="s">
        <v>28</v>
      </c>
      <c r="L580" t="s">
        <v>51</v>
      </c>
      <c r="M580" t="s">
        <v>46</v>
      </c>
      <c r="N580" t="s">
        <v>28</v>
      </c>
      <c r="O580" t="b">
        <v>1</v>
      </c>
      <c r="P580" t="b">
        <v>1</v>
      </c>
      <c r="Q580">
        <v>8.5</v>
      </c>
      <c r="R580" t="b">
        <v>0</v>
      </c>
      <c r="T580">
        <v>0</v>
      </c>
      <c r="U580">
        <v>79.58</v>
      </c>
      <c r="V580" t="b">
        <v>1</v>
      </c>
      <c r="W580" t="s">
        <v>58</v>
      </c>
    </row>
    <row r="581" spans="1:23" x14ac:dyDescent="0.25">
      <c r="A581" t="s">
        <v>32</v>
      </c>
      <c r="B581" t="s">
        <v>33</v>
      </c>
      <c r="C581">
        <v>79.84</v>
      </c>
      <c r="D581">
        <v>539</v>
      </c>
      <c r="E581" t="b">
        <v>0</v>
      </c>
      <c r="F581" t="b">
        <v>1</v>
      </c>
      <c r="G581" t="b">
        <v>0</v>
      </c>
      <c r="H581" t="s">
        <v>53</v>
      </c>
      <c r="I581" t="s">
        <v>44</v>
      </c>
      <c r="J581" t="s">
        <v>36</v>
      </c>
      <c r="K581" t="s">
        <v>46</v>
      </c>
      <c r="L581" t="s">
        <v>69</v>
      </c>
      <c r="M581" t="s">
        <v>39</v>
      </c>
      <c r="N581" t="s">
        <v>28</v>
      </c>
      <c r="P581" t="b">
        <v>0</v>
      </c>
      <c r="Q581">
        <v>8.6</v>
      </c>
      <c r="R581" t="b">
        <v>0</v>
      </c>
      <c r="T581">
        <v>0</v>
      </c>
      <c r="U581">
        <v>72.56</v>
      </c>
      <c r="V581" t="b">
        <v>1</v>
      </c>
      <c r="W581" t="s">
        <v>58</v>
      </c>
    </row>
    <row r="582" spans="1:23" x14ac:dyDescent="0.25">
      <c r="A582" t="s">
        <v>56</v>
      </c>
      <c r="B582" t="s">
        <v>76</v>
      </c>
      <c r="C582">
        <v>77.349999999999994</v>
      </c>
      <c r="D582">
        <v>119</v>
      </c>
      <c r="E582" t="b">
        <v>0</v>
      </c>
      <c r="F582" t="b">
        <v>1</v>
      </c>
      <c r="G582" t="b">
        <v>1</v>
      </c>
      <c r="H582" t="s">
        <v>25</v>
      </c>
      <c r="I582" t="s">
        <v>44</v>
      </c>
      <c r="J582" t="s">
        <v>36</v>
      </c>
      <c r="K582" t="s">
        <v>28</v>
      </c>
      <c r="L582" t="s">
        <v>38</v>
      </c>
      <c r="M582" t="s">
        <v>46</v>
      </c>
      <c r="N582" t="s">
        <v>28</v>
      </c>
      <c r="O582" t="b">
        <v>0</v>
      </c>
      <c r="P582" t="b">
        <v>0</v>
      </c>
      <c r="Q582">
        <v>8</v>
      </c>
      <c r="R582" t="b">
        <v>1</v>
      </c>
      <c r="S582" t="s">
        <v>55</v>
      </c>
      <c r="T582">
        <v>32.1</v>
      </c>
      <c r="U582">
        <v>62.63</v>
      </c>
      <c r="V582" t="b">
        <v>1</v>
      </c>
      <c r="W582" t="s">
        <v>31</v>
      </c>
    </row>
    <row r="583" spans="1:23" x14ac:dyDescent="0.25">
      <c r="A583" t="s">
        <v>68</v>
      </c>
      <c r="B583" t="s">
        <v>33</v>
      </c>
      <c r="C583">
        <v>83.24</v>
      </c>
      <c r="D583">
        <v>380</v>
      </c>
      <c r="E583" t="b">
        <v>0</v>
      </c>
      <c r="F583" t="b">
        <v>1</v>
      </c>
      <c r="G583" t="b">
        <v>0</v>
      </c>
      <c r="H583" t="s">
        <v>25</v>
      </c>
      <c r="I583" t="s">
        <v>26</v>
      </c>
      <c r="J583" t="s">
        <v>36</v>
      </c>
      <c r="K583" t="s">
        <v>37</v>
      </c>
      <c r="L583" t="s">
        <v>69</v>
      </c>
      <c r="M583" t="s">
        <v>47</v>
      </c>
      <c r="N583" t="s">
        <v>28</v>
      </c>
      <c r="O583" t="b">
        <v>0</v>
      </c>
      <c r="P583" t="b">
        <v>0</v>
      </c>
      <c r="Q583">
        <v>5.7</v>
      </c>
      <c r="R583" t="b">
        <v>1</v>
      </c>
      <c r="S583" t="s">
        <v>48</v>
      </c>
      <c r="T583">
        <v>22.4</v>
      </c>
      <c r="U583">
        <v>79.5</v>
      </c>
      <c r="V583" t="b">
        <v>0</v>
      </c>
      <c r="W583" t="s">
        <v>41</v>
      </c>
    </row>
    <row r="584" spans="1:23" x14ac:dyDescent="0.25">
      <c r="A584" t="s">
        <v>56</v>
      </c>
      <c r="B584" t="s">
        <v>60</v>
      </c>
      <c r="C584">
        <v>47.15</v>
      </c>
      <c r="D584">
        <v>128</v>
      </c>
      <c r="E584" t="b">
        <v>1</v>
      </c>
      <c r="F584" t="b">
        <v>0</v>
      </c>
      <c r="G584" t="b">
        <v>0</v>
      </c>
      <c r="H584" t="s">
        <v>34</v>
      </c>
      <c r="I584" t="s">
        <v>44</v>
      </c>
      <c r="J584" t="s">
        <v>50</v>
      </c>
      <c r="K584" t="s">
        <v>46</v>
      </c>
      <c r="L584" t="s">
        <v>51</v>
      </c>
      <c r="M584" t="s">
        <v>39</v>
      </c>
      <c r="N584" t="s">
        <v>39</v>
      </c>
      <c r="P584" t="b">
        <v>1</v>
      </c>
      <c r="Q584">
        <v>5.7</v>
      </c>
      <c r="R584" t="b">
        <v>1</v>
      </c>
      <c r="S584" t="s">
        <v>40</v>
      </c>
      <c r="T584">
        <v>18.2</v>
      </c>
      <c r="U584">
        <v>56.05</v>
      </c>
      <c r="V584" t="b">
        <v>1</v>
      </c>
      <c r="W584" t="s">
        <v>41</v>
      </c>
    </row>
    <row r="585" spans="1:23" x14ac:dyDescent="0.25">
      <c r="A585" t="s">
        <v>61</v>
      </c>
      <c r="B585" t="s">
        <v>71</v>
      </c>
      <c r="C585">
        <v>57.76</v>
      </c>
      <c r="D585">
        <v>435</v>
      </c>
      <c r="E585" t="b">
        <v>0</v>
      </c>
      <c r="F585" t="b">
        <v>0</v>
      </c>
      <c r="G585" t="b">
        <v>1</v>
      </c>
      <c r="H585" t="s">
        <v>43</v>
      </c>
      <c r="I585" t="s">
        <v>35</v>
      </c>
      <c r="J585" t="s">
        <v>45</v>
      </c>
      <c r="K585" t="s">
        <v>37</v>
      </c>
      <c r="L585" t="s">
        <v>29</v>
      </c>
      <c r="M585" t="s">
        <v>46</v>
      </c>
      <c r="N585" t="s">
        <v>39</v>
      </c>
      <c r="O585" t="b">
        <v>1</v>
      </c>
      <c r="P585" t="b">
        <v>1</v>
      </c>
      <c r="Q585">
        <v>7.5</v>
      </c>
      <c r="R585" t="b">
        <v>0</v>
      </c>
      <c r="T585">
        <v>0</v>
      </c>
      <c r="U585">
        <v>56.14</v>
      </c>
      <c r="V585" t="b">
        <v>1</v>
      </c>
      <c r="W585" t="s">
        <v>31</v>
      </c>
    </row>
    <row r="586" spans="1:23" x14ac:dyDescent="0.25">
      <c r="A586" t="s">
        <v>68</v>
      </c>
      <c r="B586" t="s">
        <v>62</v>
      </c>
      <c r="C586">
        <v>74.84</v>
      </c>
      <c r="D586">
        <v>301</v>
      </c>
      <c r="E586" t="b">
        <v>0</v>
      </c>
      <c r="F586" t="b">
        <v>1</v>
      </c>
      <c r="G586" t="b">
        <v>1</v>
      </c>
      <c r="H586" t="s">
        <v>25</v>
      </c>
      <c r="I586" t="s">
        <v>35</v>
      </c>
      <c r="J586" t="s">
        <v>45</v>
      </c>
      <c r="K586" t="s">
        <v>28</v>
      </c>
      <c r="L586" t="s">
        <v>29</v>
      </c>
      <c r="M586" t="s">
        <v>39</v>
      </c>
      <c r="N586" t="s">
        <v>46</v>
      </c>
      <c r="O586" t="b">
        <v>0</v>
      </c>
      <c r="P586" t="b">
        <v>1</v>
      </c>
      <c r="Q586">
        <v>5.6</v>
      </c>
      <c r="R586" t="b">
        <v>1</v>
      </c>
      <c r="S586" t="s">
        <v>40</v>
      </c>
      <c r="T586">
        <v>17.7</v>
      </c>
      <c r="U586">
        <v>71.53</v>
      </c>
      <c r="V586" t="b">
        <v>1</v>
      </c>
      <c r="W586" t="s">
        <v>41</v>
      </c>
    </row>
    <row r="587" spans="1:23" x14ac:dyDescent="0.25">
      <c r="A587" t="s">
        <v>61</v>
      </c>
      <c r="B587" t="s">
        <v>70</v>
      </c>
      <c r="C587">
        <v>88.1</v>
      </c>
      <c r="D587">
        <v>135</v>
      </c>
      <c r="E587" t="b">
        <v>1</v>
      </c>
      <c r="F587" t="b">
        <v>1</v>
      </c>
      <c r="G587" t="b">
        <v>0</v>
      </c>
      <c r="H587" t="s">
        <v>34</v>
      </c>
      <c r="I587" t="s">
        <v>67</v>
      </c>
      <c r="J587" t="s">
        <v>27</v>
      </c>
      <c r="K587" t="s">
        <v>37</v>
      </c>
      <c r="L587" t="s">
        <v>38</v>
      </c>
      <c r="M587" t="s">
        <v>39</v>
      </c>
      <c r="O587" t="b">
        <v>1</v>
      </c>
      <c r="P587" t="b">
        <v>1</v>
      </c>
      <c r="Q587">
        <v>10</v>
      </c>
      <c r="R587" t="b">
        <v>0</v>
      </c>
      <c r="T587">
        <v>0</v>
      </c>
      <c r="U587">
        <v>97.81</v>
      </c>
      <c r="V587" t="b">
        <v>1</v>
      </c>
      <c r="W587" t="s">
        <v>58</v>
      </c>
    </row>
    <row r="588" spans="1:23" x14ac:dyDescent="0.25">
      <c r="A588" t="s">
        <v>68</v>
      </c>
      <c r="B588" t="s">
        <v>24</v>
      </c>
      <c r="C588">
        <v>92.99</v>
      </c>
      <c r="D588">
        <v>394</v>
      </c>
      <c r="E588" t="b">
        <v>0</v>
      </c>
      <c r="F588" t="b">
        <v>0</v>
      </c>
      <c r="G588" t="b">
        <v>0</v>
      </c>
      <c r="H588" t="s">
        <v>53</v>
      </c>
      <c r="I588" t="s">
        <v>26</v>
      </c>
      <c r="J588" t="s">
        <v>54</v>
      </c>
      <c r="K588" t="s">
        <v>37</v>
      </c>
      <c r="L588" t="s">
        <v>29</v>
      </c>
      <c r="M588" t="s">
        <v>46</v>
      </c>
      <c r="O588" t="b">
        <v>0</v>
      </c>
      <c r="P588" t="b">
        <v>1</v>
      </c>
      <c r="Q588">
        <v>8.6999999999999993</v>
      </c>
      <c r="R588" t="b">
        <v>1</v>
      </c>
      <c r="S588" t="s">
        <v>65</v>
      </c>
      <c r="T588">
        <v>13.8</v>
      </c>
      <c r="U588">
        <v>95.21</v>
      </c>
      <c r="V588" t="b">
        <v>1</v>
      </c>
      <c r="W588" t="s">
        <v>31</v>
      </c>
    </row>
    <row r="589" spans="1:23" x14ac:dyDescent="0.25">
      <c r="A589" t="s">
        <v>74</v>
      </c>
      <c r="B589" t="s">
        <v>62</v>
      </c>
      <c r="C589">
        <v>68.319999999999993</v>
      </c>
      <c r="D589">
        <v>641</v>
      </c>
      <c r="E589" t="b">
        <v>1</v>
      </c>
      <c r="F589" t="b">
        <v>1</v>
      </c>
      <c r="G589" t="b">
        <v>0</v>
      </c>
      <c r="H589" t="s">
        <v>25</v>
      </c>
      <c r="I589" t="s">
        <v>57</v>
      </c>
      <c r="J589" t="s">
        <v>54</v>
      </c>
      <c r="K589" t="s">
        <v>39</v>
      </c>
      <c r="L589" t="s">
        <v>37</v>
      </c>
      <c r="M589" t="s">
        <v>39</v>
      </c>
      <c r="N589" t="s">
        <v>39</v>
      </c>
      <c r="P589" t="b">
        <v>1</v>
      </c>
      <c r="Q589">
        <v>6.8</v>
      </c>
      <c r="R589" t="b">
        <v>1</v>
      </c>
      <c r="S589" t="s">
        <v>65</v>
      </c>
      <c r="T589">
        <v>22.9</v>
      </c>
      <c r="U589">
        <v>71.34</v>
      </c>
      <c r="V589" t="b">
        <v>1</v>
      </c>
      <c r="W589" t="s">
        <v>41</v>
      </c>
    </row>
    <row r="590" spans="1:23" x14ac:dyDescent="0.25">
      <c r="A590" t="s">
        <v>23</v>
      </c>
      <c r="B590" t="s">
        <v>59</v>
      </c>
      <c r="C590">
        <v>82.97</v>
      </c>
      <c r="D590">
        <v>235</v>
      </c>
      <c r="E590" t="b">
        <v>1</v>
      </c>
      <c r="F590" t="b">
        <v>0</v>
      </c>
      <c r="G590" t="b">
        <v>1</v>
      </c>
      <c r="H590" t="s">
        <v>53</v>
      </c>
      <c r="I590" t="s">
        <v>67</v>
      </c>
      <c r="J590" t="s">
        <v>27</v>
      </c>
      <c r="K590" t="s">
        <v>37</v>
      </c>
      <c r="L590" t="s">
        <v>69</v>
      </c>
      <c r="M590" t="s">
        <v>28</v>
      </c>
      <c r="N590" t="s">
        <v>46</v>
      </c>
      <c r="O590" t="b">
        <v>0</v>
      </c>
      <c r="P590" t="b">
        <v>1</v>
      </c>
      <c r="Q590">
        <v>9.6999999999999993</v>
      </c>
      <c r="R590" t="b">
        <v>1</v>
      </c>
      <c r="S590" t="s">
        <v>30</v>
      </c>
      <c r="T590">
        <v>16.600000000000001</v>
      </c>
      <c r="U590">
        <v>77.31</v>
      </c>
      <c r="V590" t="b">
        <v>1</v>
      </c>
      <c r="W590" t="s">
        <v>31</v>
      </c>
    </row>
    <row r="591" spans="1:23" x14ac:dyDescent="0.25">
      <c r="A591" t="s">
        <v>56</v>
      </c>
      <c r="B591" t="s">
        <v>71</v>
      </c>
      <c r="C591">
        <v>54.6</v>
      </c>
      <c r="D591">
        <v>763</v>
      </c>
      <c r="E591" t="b">
        <v>1</v>
      </c>
      <c r="F591" t="b">
        <v>1</v>
      </c>
      <c r="G591" t="b">
        <v>0</v>
      </c>
      <c r="H591" t="s">
        <v>53</v>
      </c>
      <c r="I591" t="s">
        <v>44</v>
      </c>
      <c r="J591" t="s">
        <v>27</v>
      </c>
      <c r="K591" t="s">
        <v>28</v>
      </c>
      <c r="L591" t="s">
        <v>37</v>
      </c>
      <c r="M591" t="s">
        <v>46</v>
      </c>
      <c r="N591" t="s">
        <v>46</v>
      </c>
      <c r="O591" t="b">
        <v>0</v>
      </c>
      <c r="P591" t="b">
        <v>0</v>
      </c>
      <c r="Q591">
        <v>6.1</v>
      </c>
      <c r="R591" t="b">
        <v>0</v>
      </c>
      <c r="T591">
        <v>0</v>
      </c>
      <c r="U591">
        <v>42.94</v>
      </c>
      <c r="V591" t="b">
        <v>1</v>
      </c>
      <c r="W591" t="s">
        <v>31</v>
      </c>
    </row>
    <row r="592" spans="1:23" x14ac:dyDescent="0.25">
      <c r="A592" t="s">
        <v>23</v>
      </c>
      <c r="B592" t="s">
        <v>60</v>
      </c>
      <c r="C592">
        <v>60.6</v>
      </c>
      <c r="D592">
        <v>728</v>
      </c>
      <c r="E592" t="b">
        <v>0</v>
      </c>
      <c r="F592" t="b">
        <v>0</v>
      </c>
      <c r="G592" t="b">
        <v>1</v>
      </c>
      <c r="H592" t="s">
        <v>25</v>
      </c>
      <c r="I592" t="s">
        <v>57</v>
      </c>
      <c r="J592" t="s">
        <v>45</v>
      </c>
      <c r="K592" t="s">
        <v>46</v>
      </c>
      <c r="L592" t="s">
        <v>69</v>
      </c>
      <c r="M592" t="s">
        <v>46</v>
      </c>
      <c r="P592" t="b">
        <v>1</v>
      </c>
      <c r="Q592">
        <v>7.8</v>
      </c>
      <c r="R592" t="b">
        <v>0</v>
      </c>
      <c r="T592">
        <v>0</v>
      </c>
      <c r="U592">
        <v>53.07</v>
      </c>
      <c r="V592" t="b">
        <v>0</v>
      </c>
      <c r="W592" t="s">
        <v>31</v>
      </c>
    </row>
    <row r="593" spans="1:23" x14ac:dyDescent="0.25">
      <c r="A593" t="s">
        <v>61</v>
      </c>
      <c r="B593" t="s">
        <v>24</v>
      </c>
      <c r="C593">
        <v>94.7</v>
      </c>
      <c r="D593">
        <v>154</v>
      </c>
      <c r="E593" t="b">
        <v>0</v>
      </c>
      <c r="F593" t="b">
        <v>1</v>
      </c>
      <c r="G593" t="b">
        <v>0</v>
      </c>
      <c r="H593" t="s">
        <v>25</v>
      </c>
      <c r="I593" t="s">
        <v>67</v>
      </c>
      <c r="J593" t="s">
        <v>36</v>
      </c>
      <c r="K593" t="s">
        <v>46</v>
      </c>
      <c r="L593" t="s">
        <v>51</v>
      </c>
      <c r="M593" t="s">
        <v>39</v>
      </c>
      <c r="N593" t="s">
        <v>39</v>
      </c>
      <c r="P593" t="b">
        <v>0</v>
      </c>
      <c r="Q593">
        <v>9.1999999999999993</v>
      </c>
      <c r="R593" t="b">
        <v>1</v>
      </c>
      <c r="S593" t="s">
        <v>40</v>
      </c>
      <c r="T593">
        <v>3.4</v>
      </c>
      <c r="U593">
        <v>99.72</v>
      </c>
      <c r="V593" t="b">
        <v>1</v>
      </c>
      <c r="W593" t="s">
        <v>31</v>
      </c>
    </row>
    <row r="594" spans="1:23" x14ac:dyDescent="0.25">
      <c r="A594" t="s">
        <v>23</v>
      </c>
      <c r="B594" t="s">
        <v>42</v>
      </c>
      <c r="C594">
        <v>70.55</v>
      </c>
      <c r="D594">
        <v>719</v>
      </c>
      <c r="E594" t="b">
        <v>1</v>
      </c>
      <c r="F594" t="b">
        <v>1</v>
      </c>
      <c r="G594" t="b">
        <v>1</v>
      </c>
      <c r="H594" t="s">
        <v>43</v>
      </c>
      <c r="I594" t="s">
        <v>67</v>
      </c>
      <c r="J594" t="s">
        <v>54</v>
      </c>
      <c r="K594" t="s">
        <v>46</v>
      </c>
      <c r="L594" t="s">
        <v>69</v>
      </c>
      <c r="M594" t="s">
        <v>47</v>
      </c>
      <c r="N594" t="s">
        <v>46</v>
      </c>
      <c r="O594" t="b">
        <v>1</v>
      </c>
      <c r="P594" t="b">
        <v>0</v>
      </c>
      <c r="Q594">
        <v>10</v>
      </c>
      <c r="R594" t="b">
        <v>0</v>
      </c>
      <c r="T594">
        <v>0</v>
      </c>
      <c r="U594">
        <v>73.17</v>
      </c>
      <c r="V594" t="b">
        <v>0</v>
      </c>
      <c r="W594" t="s">
        <v>58</v>
      </c>
    </row>
    <row r="595" spans="1:23" x14ac:dyDescent="0.25">
      <c r="A595" t="s">
        <v>68</v>
      </c>
      <c r="B595" t="s">
        <v>66</v>
      </c>
      <c r="C595">
        <v>75.349999999999994</v>
      </c>
      <c r="D595">
        <v>451</v>
      </c>
      <c r="E595" t="b">
        <v>1</v>
      </c>
      <c r="F595" t="b">
        <v>1</v>
      </c>
      <c r="G595" t="b">
        <v>1</v>
      </c>
      <c r="H595" t="s">
        <v>25</v>
      </c>
      <c r="I595" t="s">
        <v>26</v>
      </c>
      <c r="J595" t="s">
        <v>45</v>
      </c>
      <c r="K595" t="s">
        <v>39</v>
      </c>
      <c r="L595" t="s">
        <v>51</v>
      </c>
      <c r="M595" t="s">
        <v>39</v>
      </c>
      <c r="O595" t="b">
        <v>0</v>
      </c>
      <c r="P595" t="b">
        <v>0</v>
      </c>
      <c r="Q595">
        <v>6.3</v>
      </c>
      <c r="R595" t="b">
        <v>1</v>
      </c>
      <c r="S595" t="s">
        <v>55</v>
      </c>
      <c r="T595">
        <v>20.6</v>
      </c>
      <c r="U595">
        <v>64.33</v>
      </c>
      <c r="V595" t="b">
        <v>1</v>
      </c>
      <c r="W595" t="s">
        <v>41</v>
      </c>
    </row>
    <row r="596" spans="1:23" x14ac:dyDescent="0.25">
      <c r="A596" t="s">
        <v>32</v>
      </c>
      <c r="B596" t="s">
        <v>42</v>
      </c>
      <c r="C596">
        <v>71.709999999999994</v>
      </c>
      <c r="D596">
        <v>683</v>
      </c>
      <c r="E596" t="b">
        <v>0</v>
      </c>
      <c r="F596" t="b">
        <v>1</v>
      </c>
      <c r="G596" t="b">
        <v>1</v>
      </c>
      <c r="H596" t="s">
        <v>34</v>
      </c>
      <c r="I596" t="s">
        <v>67</v>
      </c>
      <c r="J596" t="s">
        <v>50</v>
      </c>
      <c r="K596" t="s">
        <v>37</v>
      </c>
      <c r="L596" t="s">
        <v>37</v>
      </c>
      <c r="M596" t="s">
        <v>46</v>
      </c>
      <c r="N596" t="s">
        <v>28</v>
      </c>
      <c r="P596" t="b">
        <v>0</v>
      </c>
      <c r="Q596">
        <v>6.8</v>
      </c>
      <c r="R596" t="b">
        <v>0</v>
      </c>
      <c r="T596">
        <v>0</v>
      </c>
      <c r="U596">
        <v>81.83</v>
      </c>
      <c r="V596" t="b">
        <v>1</v>
      </c>
      <c r="W596" t="s">
        <v>31</v>
      </c>
    </row>
    <row r="597" spans="1:23" x14ac:dyDescent="0.25">
      <c r="A597" t="s">
        <v>61</v>
      </c>
      <c r="B597" t="s">
        <v>76</v>
      </c>
      <c r="C597">
        <v>70.86</v>
      </c>
      <c r="D597">
        <v>581</v>
      </c>
      <c r="E597" t="b">
        <v>0</v>
      </c>
      <c r="F597" t="b">
        <v>1</v>
      </c>
      <c r="G597" t="b">
        <v>0</v>
      </c>
      <c r="H597" t="s">
        <v>43</v>
      </c>
      <c r="I597" t="s">
        <v>35</v>
      </c>
      <c r="J597" t="s">
        <v>36</v>
      </c>
      <c r="K597" t="s">
        <v>28</v>
      </c>
      <c r="L597" t="s">
        <v>51</v>
      </c>
      <c r="M597" t="s">
        <v>28</v>
      </c>
      <c r="N597" t="s">
        <v>46</v>
      </c>
      <c r="O597" t="b">
        <v>0</v>
      </c>
      <c r="P597" t="b">
        <v>1</v>
      </c>
      <c r="Q597">
        <v>6.4</v>
      </c>
      <c r="R597" t="b">
        <v>1</v>
      </c>
      <c r="S597" t="s">
        <v>52</v>
      </c>
      <c r="T597">
        <v>11.2</v>
      </c>
      <c r="U597">
        <v>72.540000000000006</v>
      </c>
      <c r="V597" t="b">
        <v>1</v>
      </c>
      <c r="W597" t="s">
        <v>41</v>
      </c>
    </row>
    <row r="598" spans="1:23" x14ac:dyDescent="0.25">
      <c r="A598" t="s">
        <v>32</v>
      </c>
      <c r="B598" t="s">
        <v>24</v>
      </c>
      <c r="C598">
        <v>90.19</v>
      </c>
      <c r="D598">
        <v>624</v>
      </c>
      <c r="E598" t="b">
        <v>0</v>
      </c>
      <c r="F598" t="b">
        <v>1</v>
      </c>
      <c r="G598" t="b">
        <v>1</v>
      </c>
      <c r="H598" t="s">
        <v>43</v>
      </c>
      <c r="I598" t="s">
        <v>26</v>
      </c>
      <c r="J598" t="s">
        <v>50</v>
      </c>
      <c r="K598" t="s">
        <v>28</v>
      </c>
      <c r="L598" t="s">
        <v>37</v>
      </c>
      <c r="M598" t="s">
        <v>46</v>
      </c>
      <c r="N598" t="s">
        <v>28</v>
      </c>
      <c r="P598" t="b">
        <v>0</v>
      </c>
      <c r="Q598">
        <v>9</v>
      </c>
      <c r="R598" t="b">
        <v>1</v>
      </c>
      <c r="S598" t="s">
        <v>40</v>
      </c>
      <c r="T598">
        <v>20.3</v>
      </c>
      <c r="U598">
        <v>96.9</v>
      </c>
      <c r="V598" t="b">
        <v>1</v>
      </c>
      <c r="W598" t="s">
        <v>31</v>
      </c>
    </row>
    <row r="599" spans="1:23" x14ac:dyDescent="0.25">
      <c r="A599" t="s">
        <v>61</v>
      </c>
      <c r="B599" t="s">
        <v>33</v>
      </c>
      <c r="C599">
        <v>77.430000000000007</v>
      </c>
      <c r="D599">
        <v>734</v>
      </c>
      <c r="E599" t="b">
        <v>1</v>
      </c>
      <c r="F599" t="b">
        <v>1</v>
      </c>
      <c r="G599" t="b">
        <v>1</v>
      </c>
      <c r="H599" t="s">
        <v>53</v>
      </c>
      <c r="I599" t="s">
        <v>26</v>
      </c>
      <c r="J599" t="s">
        <v>54</v>
      </c>
      <c r="K599" t="s">
        <v>39</v>
      </c>
      <c r="L599" t="s">
        <v>29</v>
      </c>
      <c r="M599" t="s">
        <v>39</v>
      </c>
      <c r="P599" t="b">
        <v>1</v>
      </c>
      <c r="Q599">
        <v>7.8</v>
      </c>
      <c r="R599" t="b">
        <v>1</v>
      </c>
      <c r="S599" t="s">
        <v>48</v>
      </c>
      <c r="T599">
        <v>2.5</v>
      </c>
      <c r="U599">
        <v>91.09</v>
      </c>
      <c r="V599" t="b">
        <v>1</v>
      </c>
      <c r="W599" t="s">
        <v>41</v>
      </c>
    </row>
    <row r="600" spans="1:23" x14ac:dyDescent="0.25">
      <c r="A600" t="s">
        <v>74</v>
      </c>
      <c r="B600" t="s">
        <v>33</v>
      </c>
      <c r="C600">
        <v>85.73</v>
      </c>
      <c r="D600">
        <v>278</v>
      </c>
      <c r="E600" t="b">
        <v>1</v>
      </c>
      <c r="F600" t="b">
        <v>1</v>
      </c>
      <c r="G600" t="b">
        <v>1</v>
      </c>
      <c r="H600" t="s">
        <v>53</v>
      </c>
      <c r="I600" t="s">
        <v>26</v>
      </c>
      <c r="J600" t="s">
        <v>36</v>
      </c>
      <c r="K600" t="s">
        <v>39</v>
      </c>
      <c r="L600" t="s">
        <v>69</v>
      </c>
      <c r="M600" t="s">
        <v>47</v>
      </c>
      <c r="O600" t="b">
        <v>0</v>
      </c>
      <c r="P600" t="b">
        <v>0</v>
      </c>
      <c r="Q600">
        <v>7.1</v>
      </c>
      <c r="R600" t="b">
        <v>1</v>
      </c>
      <c r="S600" t="s">
        <v>48</v>
      </c>
      <c r="T600">
        <v>33.299999999999997</v>
      </c>
      <c r="U600">
        <v>86.39</v>
      </c>
      <c r="V600" t="b">
        <v>1</v>
      </c>
      <c r="W600" t="s">
        <v>41</v>
      </c>
    </row>
    <row r="601" spans="1:23" x14ac:dyDescent="0.25">
      <c r="A601" t="s">
        <v>68</v>
      </c>
      <c r="B601" t="s">
        <v>33</v>
      </c>
      <c r="C601">
        <v>89.89</v>
      </c>
      <c r="D601">
        <v>292</v>
      </c>
      <c r="E601" t="b">
        <v>1</v>
      </c>
      <c r="F601" t="b">
        <v>1</v>
      </c>
      <c r="G601" t="b">
        <v>1</v>
      </c>
      <c r="H601" t="s">
        <v>25</v>
      </c>
      <c r="I601" t="s">
        <v>57</v>
      </c>
      <c r="J601" t="s">
        <v>50</v>
      </c>
      <c r="K601" t="s">
        <v>46</v>
      </c>
      <c r="L601" t="s">
        <v>69</v>
      </c>
      <c r="M601" t="s">
        <v>47</v>
      </c>
      <c r="N601" t="s">
        <v>28</v>
      </c>
      <c r="O601" t="b">
        <v>0</v>
      </c>
      <c r="P601" t="b">
        <v>1</v>
      </c>
      <c r="Q601">
        <v>8.3000000000000007</v>
      </c>
      <c r="R601" t="b">
        <v>1</v>
      </c>
      <c r="S601" t="s">
        <v>75</v>
      </c>
      <c r="T601">
        <v>6.1</v>
      </c>
      <c r="U601">
        <v>87.71</v>
      </c>
      <c r="V601" t="b">
        <v>1</v>
      </c>
      <c r="W601" t="s">
        <v>31</v>
      </c>
    </row>
    <row r="602" spans="1:23" x14ac:dyDescent="0.25">
      <c r="A602" t="s">
        <v>23</v>
      </c>
      <c r="B602" t="s">
        <v>76</v>
      </c>
      <c r="C602">
        <v>82.32</v>
      </c>
      <c r="D602">
        <v>268</v>
      </c>
      <c r="E602" t="b">
        <v>0</v>
      </c>
      <c r="F602" t="b">
        <v>0</v>
      </c>
      <c r="G602" t="b">
        <v>1</v>
      </c>
      <c r="H602" t="s">
        <v>34</v>
      </c>
      <c r="I602" t="s">
        <v>35</v>
      </c>
      <c r="J602" t="s">
        <v>27</v>
      </c>
      <c r="K602" t="s">
        <v>37</v>
      </c>
      <c r="L602" t="s">
        <v>29</v>
      </c>
      <c r="M602" t="s">
        <v>39</v>
      </c>
      <c r="N602" t="s">
        <v>28</v>
      </c>
      <c r="P602" t="b">
        <v>0</v>
      </c>
      <c r="Q602">
        <v>7.7</v>
      </c>
      <c r="R602" t="b">
        <v>1</v>
      </c>
      <c r="S602" t="s">
        <v>55</v>
      </c>
      <c r="T602">
        <v>44.5</v>
      </c>
      <c r="U602">
        <v>90.16</v>
      </c>
      <c r="V602" t="b">
        <v>1</v>
      </c>
      <c r="W602" t="s">
        <v>41</v>
      </c>
    </row>
    <row r="603" spans="1:23" x14ac:dyDescent="0.25">
      <c r="A603" t="s">
        <v>56</v>
      </c>
      <c r="B603" t="s">
        <v>59</v>
      </c>
      <c r="C603">
        <v>94.61</v>
      </c>
      <c r="D603">
        <v>310</v>
      </c>
      <c r="E603" t="b">
        <v>0</v>
      </c>
      <c r="F603" t="b">
        <v>0</v>
      </c>
      <c r="G603" t="b">
        <v>0</v>
      </c>
      <c r="H603" t="s">
        <v>53</v>
      </c>
      <c r="I603" t="s">
        <v>35</v>
      </c>
      <c r="J603" t="s">
        <v>50</v>
      </c>
      <c r="K603" t="s">
        <v>37</v>
      </c>
      <c r="L603" t="s">
        <v>69</v>
      </c>
      <c r="M603" t="s">
        <v>39</v>
      </c>
      <c r="N603" t="s">
        <v>28</v>
      </c>
      <c r="O603" t="b">
        <v>1</v>
      </c>
      <c r="P603" t="b">
        <v>1</v>
      </c>
      <c r="Q603">
        <v>10</v>
      </c>
      <c r="R603" t="b">
        <v>1</v>
      </c>
      <c r="S603" t="s">
        <v>64</v>
      </c>
      <c r="T603">
        <v>4.9000000000000004</v>
      </c>
      <c r="U603">
        <v>80.12</v>
      </c>
      <c r="V603" t="b">
        <v>1</v>
      </c>
      <c r="W603" t="s">
        <v>31</v>
      </c>
    </row>
    <row r="604" spans="1:23" x14ac:dyDescent="0.25">
      <c r="A604" t="s">
        <v>32</v>
      </c>
      <c r="B604" t="s">
        <v>49</v>
      </c>
      <c r="C604">
        <v>61.32</v>
      </c>
      <c r="D604">
        <v>142</v>
      </c>
      <c r="E604" t="b">
        <v>0</v>
      </c>
      <c r="F604" t="b">
        <v>1</v>
      </c>
      <c r="G604" t="b">
        <v>0</v>
      </c>
      <c r="H604" t="s">
        <v>34</v>
      </c>
      <c r="I604" t="s">
        <v>35</v>
      </c>
      <c r="J604" t="s">
        <v>45</v>
      </c>
      <c r="K604" t="s">
        <v>37</v>
      </c>
      <c r="L604" t="s">
        <v>37</v>
      </c>
      <c r="M604" t="s">
        <v>28</v>
      </c>
      <c r="N604" t="s">
        <v>28</v>
      </c>
      <c r="O604" t="b">
        <v>1</v>
      </c>
      <c r="P604" t="b">
        <v>0</v>
      </c>
      <c r="Q604">
        <v>7.6</v>
      </c>
      <c r="R604" t="b">
        <v>1</v>
      </c>
      <c r="S604" t="s">
        <v>55</v>
      </c>
      <c r="T604">
        <v>14</v>
      </c>
      <c r="U604">
        <v>73.94</v>
      </c>
      <c r="V604" t="b">
        <v>1</v>
      </c>
      <c r="W604" t="s">
        <v>41</v>
      </c>
    </row>
    <row r="605" spans="1:23" x14ac:dyDescent="0.25">
      <c r="A605" t="s">
        <v>68</v>
      </c>
      <c r="B605" t="s">
        <v>59</v>
      </c>
      <c r="C605">
        <v>89.36</v>
      </c>
      <c r="D605">
        <v>341</v>
      </c>
      <c r="E605" t="b">
        <v>1</v>
      </c>
      <c r="F605" t="b">
        <v>0</v>
      </c>
      <c r="G605" t="b">
        <v>0</v>
      </c>
      <c r="H605" t="s">
        <v>34</v>
      </c>
      <c r="I605" t="s">
        <v>63</v>
      </c>
      <c r="J605" t="s">
        <v>45</v>
      </c>
      <c r="K605" t="s">
        <v>37</v>
      </c>
      <c r="L605" t="s">
        <v>69</v>
      </c>
      <c r="M605" t="s">
        <v>46</v>
      </c>
      <c r="N605" t="s">
        <v>28</v>
      </c>
      <c r="O605" t="b">
        <v>0</v>
      </c>
      <c r="P605" t="b">
        <v>0</v>
      </c>
      <c r="Q605">
        <v>9.6</v>
      </c>
      <c r="R605" t="b">
        <v>0</v>
      </c>
      <c r="T605">
        <v>0</v>
      </c>
      <c r="U605">
        <v>100</v>
      </c>
      <c r="V605" t="b">
        <v>1</v>
      </c>
      <c r="W605" t="s">
        <v>58</v>
      </c>
    </row>
    <row r="606" spans="1:23" x14ac:dyDescent="0.25">
      <c r="A606" t="s">
        <v>32</v>
      </c>
      <c r="B606" t="s">
        <v>71</v>
      </c>
      <c r="C606">
        <v>55.87</v>
      </c>
      <c r="D606">
        <v>728</v>
      </c>
      <c r="E606" t="b">
        <v>0</v>
      </c>
      <c r="F606" t="b">
        <v>1</v>
      </c>
      <c r="G606" t="b">
        <v>0</v>
      </c>
      <c r="H606" t="s">
        <v>43</v>
      </c>
      <c r="I606" t="s">
        <v>67</v>
      </c>
      <c r="J606" t="s">
        <v>45</v>
      </c>
      <c r="K606" t="s">
        <v>39</v>
      </c>
      <c r="L606" t="s">
        <v>38</v>
      </c>
      <c r="M606" t="s">
        <v>28</v>
      </c>
      <c r="N606" t="s">
        <v>39</v>
      </c>
      <c r="O606" t="b">
        <v>0</v>
      </c>
      <c r="P606" t="b">
        <v>1</v>
      </c>
      <c r="Q606">
        <v>5.5</v>
      </c>
      <c r="R606" t="b">
        <v>0</v>
      </c>
      <c r="T606">
        <v>0</v>
      </c>
      <c r="U606">
        <v>49.36</v>
      </c>
      <c r="V606" t="b">
        <v>1</v>
      </c>
      <c r="W606" t="s">
        <v>41</v>
      </c>
    </row>
    <row r="607" spans="1:23" x14ac:dyDescent="0.25">
      <c r="A607" t="s">
        <v>61</v>
      </c>
      <c r="B607" t="s">
        <v>24</v>
      </c>
      <c r="C607">
        <v>90.42</v>
      </c>
      <c r="D607">
        <v>642</v>
      </c>
      <c r="E607" t="b">
        <v>0</v>
      </c>
      <c r="F607" t="b">
        <v>1</v>
      </c>
      <c r="G607" t="b">
        <v>0</v>
      </c>
      <c r="H607" t="s">
        <v>43</v>
      </c>
      <c r="I607" t="s">
        <v>44</v>
      </c>
      <c r="J607" t="s">
        <v>36</v>
      </c>
      <c r="K607" t="s">
        <v>28</v>
      </c>
      <c r="L607" t="s">
        <v>51</v>
      </c>
      <c r="M607" t="s">
        <v>28</v>
      </c>
      <c r="N607" t="s">
        <v>46</v>
      </c>
      <c r="P607" t="b">
        <v>0</v>
      </c>
      <c r="Q607">
        <v>9.8000000000000007</v>
      </c>
      <c r="R607" t="b">
        <v>1</v>
      </c>
      <c r="S607" t="s">
        <v>40</v>
      </c>
      <c r="T607">
        <v>21.5</v>
      </c>
      <c r="U607">
        <v>82.06</v>
      </c>
      <c r="V607" t="b">
        <v>1</v>
      </c>
      <c r="W607" t="s">
        <v>31</v>
      </c>
    </row>
    <row r="608" spans="1:23" x14ac:dyDescent="0.25">
      <c r="A608" t="s">
        <v>68</v>
      </c>
      <c r="B608" t="s">
        <v>33</v>
      </c>
      <c r="C608">
        <v>86.18</v>
      </c>
      <c r="D608">
        <v>468</v>
      </c>
      <c r="E608" t="b">
        <v>0</v>
      </c>
      <c r="F608" t="b">
        <v>0</v>
      </c>
      <c r="G608" t="b">
        <v>1</v>
      </c>
      <c r="H608" t="s">
        <v>34</v>
      </c>
      <c r="I608" t="s">
        <v>35</v>
      </c>
      <c r="J608" t="s">
        <v>45</v>
      </c>
      <c r="K608" t="s">
        <v>28</v>
      </c>
      <c r="L608" t="s">
        <v>51</v>
      </c>
      <c r="M608" t="s">
        <v>47</v>
      </c>
      <c r="N608" t="s">
        <v>28</v>
      </c>
      <c r="P608" t="b">
        <v>0</v>
      </c>
      <c r="Q608">
        <v>8.5</v>
      </c>
      <c r="R608" t="b">
        <v>1</v>
      </c>
      <c r="S608" t="s">
        <v>55</v>
      </c>
      <c r="T608">
        <v>31.9</v>
      </c>
      <c r="U608">
        <v>97.51</v>
      </c>
      <c r="V608" t="b">
        <v>1</v>
      </c>
      <c r="W608" t="s">
        <v>31</v>
      </c>
    </row>
    <row r="609" spans="1:23" x14ac:dyDescent="0.25">
      <c r="A609" t="s">
        <v>32</v>
      </c>
      <c r="B609" t="s">
        <v>71</v>
      </c>
      <c r="C609">
        <v>44.19</v>
      </c>
      <c r="D609">
        <v>192</v>
      </c>
      <c r="E609" t="b">
        <v>0</v>
      </c>
      <c r="F609" t="b">
        <v>0</v>
      </c>
      <c r="G609" t="b">
        <v>1</v>
      </c>
      <c r="H609" t="s">
        <v>25</v>
      </c>
      <c r="I609" t="s">
        <v>26</v>
      </c>
      <c r="J609" t="s">
        <v>54</v>
      </c>
      <c r="K609" t="s">
        <v>28</v>
      </c>
      <c r="L609" t="s">
        <v>29</v>
      </c>
      <c r="M609" t="s">
        <v>46</v>
      </c>
      <c r="N609" t="s">
        <v>46</v>
      </c>
      <c r="O609" t="b">
        <v>1</v>
      </c>
      <c r="P609" t="b">
        <v>0</v>
      </c>
      <c r="Q609">
        <v>6</v>
      </c>
      <c r="R609" t="b">
        <v>1</v>
      </c>
      <c r="S609" t="s">
        <v>48</v>
      </c>
      <c r="T609">
        <v>36</v>
      </c>
      <c r="U609">
        <v>25.54</v>
      </c>
      <c r="V609" t="b">
        <v>0</v>
      </c>
      <c r="W609" t="s">
        <v>41</v>
      </c>
    </row>
    <row r="610" spans="1:23" x14ac:dyDescent="0.25">
      <c r="A610" t="s">
        <v>68</v>
      </c>
      <c r="B610" t="s">
        <v>76</v>
      </c>
      <c r="C610">
        <v>83.61</v>
      </c>
      <c r="D610">
        <v>197</v>
      </c>
      <c r="E610" t="b">
        <v>0</v>
      </c>
      <c r="F610" t="b">
        <v>0</v>
      </c>
      <c r="G610" t="b">
        <v>0</v>
      </c>
      <c r="H610" t="s">
        <v>43</v>
      </c>
      <c r="I610" t="s">
        <v>67</v>
      </c>
      <c r="J610" t="s">
        <v>27</v>
      </c>
      <c r="K610" t="s">
        <v>28</v>
      </c>
      <c r="L610" t="s">
        <v>29</v>
      </c>
      <c r="M610" t="s">
        <v>39</v>
      </c>
      <c r="O610" t="b">
        <v>0</v>
      </c>
      <c r="P610" t="b">
        <v>1</v>
      </c>
      <c r="Q610">
        <v>8</v>
      </c>
      <c r="R610" t="b">
        <v>1</v>
      </c>
      <c r="S610" t="s">
        <v>75</v>
      </c>
      <c r="T610">
        <v>41.8</v>
      </c>
      <c r="U610">
        <v>69.38</v>
      </c>
      <c r="V610" t="b">
        <v>1</v>
      </c>
      <c r="W610" t="s">
        <v>31</v>
      </c>
    </row>
    <row r="611" spans="1:23" x14ac:dyDescent="0.25">
      <c r="A611" t="s">
        <v>23</v>
      </c>
      <c r="B611" t="s">
        <v>66</v>
      </c>
      <c r="C611">
        <v>58.28</v>
      </c>
      <c r="D611">
        <v>378</v>
      </c>
      <c r="E611" t="b">
        <v>1</v>
      </c>
      <c r="F611" t="b">
        <v>1</v>
      </c>
      <c r="G611" t="b">
        <v>0</v>
      </c>
      <c r="H611" t="s">
        <v>43</v>
      </c>
      <c r="I611" t="s">
        <v>44</v>
      </c>
      <c r="J611" t="s">
        <v>50</v>
      </c>
      <c r="K611" t="s">
        <v>28</v>
      </c>
      <c r="L611" t="s">
        <v>38</v>
      </c>
      <c r="M611" t="s">
        <v>47</v>
      </c>
      <c r="O611" t="b">
        <v>0</v>
      </c>
      <c r="P611" t="b">
        <v>0</v>
      </c>
      <c r="Q611">
        <v>6.3</v>
      </c>
      <c r="R611" t="b">
        <v>1</v>
      </c>
      <c r="S611" t="s">
        <v>40</v>
      </c>
      <c r="T611">
        <v>43.8</v>
      </c>
      <c r="U611">
        <v>53.43</v>
      </c>
      <c r="V611" t="b">
        <v>1</v>
      </c>
      <c r="W611" t="s">
        <v>41</v>
      </c>
    </row>
    <row r="612" spans="1:23" x14ac:dyDescent="0.25">
      <c r="A612" t="s">
        <v>56</v>
      </c>
      <c r="B612" t="s">
        <v>24</v>
      </c>
      <c r="C612">
        <v>98.54</v>
      </c>
      <c r="D612">
        <v>783</v>
      </c>
      <c r="E612" t="b">
        <v>1</v>
      </c>
      <c r="F612" t="b">
        <v>0</v>
      </c>
      <c r="G612" t="b">
        <v>0</v>
      </c>
      <c r="H612" t="s">
        <v>43</v>
      </c>
      <c r="I612" t="s">
        <v>63</v>
      </c>
      <c r="J612" t="s">
        <v>45</v>
      </c>
      <c r="K612" t="s">
        <v>28</v>
      </c>
      <c r="L612" t="s">
        <v>69</v>
      </c>
      <c r="M612" t="s">
        <v>46</v>
      </c>
      <c r="N612" t="s">
        <v>39</v>
      </c>
      <c r="P612" t="b">
        <v>1</v>
      </c>
      <c r="Q612">
        <v>10</v>
      </c>
      <c r="R612" t="b">
        <v>0</v>
      </c>
      <c r="T612">
        <v>0</v>
      </c>
      <c r="U612">
        <v>88.36</v>
      </c>
      <c r="V612" t="b">
        <v>1</v>
      </c>
      <c r="W612" t="s">
        <v>58</v>
      </c>
    </row>
    <row r="613" spans="1:23" x14ac:dyDescent="0.25">
      <c r="A613" t="s">
        <v>32</v>
      </c>
      <c r="B613" t="s">
        <v>76</v>
      </c>
      <c r="C613">
        <v>73.22</v>
      </c>
      <c r="D613">
        <v>497</v>
      </c>
      <c r="E613" t="b">
        <v>1</v>
      </c>
      <c r="F613" t="b">
        <v>1</v>
      </c>
      <c r="G613" t="b">
        <v>1</v>
      </c>
      <c r="H613" t="s">
        <v>34</v>
      </c>
      <c r="I613" t="s">
        <v>67</v>
      </c>
      <c r="J613" t="s">
        <v>45</v>
      </c>
      <c r="K613" t="s">
        <v>28</v>
      </c>
      <c r="L613" t="s">
        <v>51</v>
      </c>
      <c r="M613" t="s">
        <v>39</v>
      </c>
      <c r="N613" t="s">
        <v>39</v>
      </c>
      <c r="P613" t="b">
        <v>0</v>
      </c>
      <c r="Q613">
        <v>8.1</v>
      </c>
      <c r="R613" t="b">
        <v>0</v>
      </c>
      <c r="T613">
        <v>0</v>
      </c>
      <c r="U613">
        <v>70.569999999999993</v>
      </c>
      <c r="V613" t="b">
        <v>1</v>
      </c>
      <c r="W613" t="s">
        <v>58</v>
      </c>
    </row>
    <row r="614" spans="1:23" x14ac:dyDescent="0.25">
      <c r="A614" t="s">
        <v>32</v>
      </c>
      <c r="B614" t="s">
        <v>66</v>
      </c>
      <c r="C614">
        <v>63.42</v>
      </c>
      <c r="D614">
        <v>681</v>
      </c>
      <c r="E614" t="b">
        <v>1</v>
      </c>
      <c r="F614" t="b">
        <v>1</v>
      </c>
      <c r="G614" t="b">
        <v>1</v>
      </c>
      <c r="H614" t="s">
        <v>25</v>
      </c>
      <c r="I614" t="s">
        <v>26</v>
      </c>
      <c r="J614" t="s">
        <v>50</v>
      </c>
      <c r="K614" t="s">
        <v>28</v>
      </c>
      <c r="L614" t="s">
        <v>29</v>
      </c>
      <c r="M614" t="s">
        <v>47</v>
      </c>
      <c r="N614" t="s">
        <v>28</v>
      </c>
      <c r="P614" t="b">
        <v>1</v>
      </c>
      <c r="Q614">
        <v>6.3</v>
      </c>
      <c r="R614" t="b">
        <v>1</v>
      </c>
      <c r="S614" t="s">
        <v>65</v>
      </c>
      <c r="T614">
        <v>9.8000000000000007</v>
      </c>
      <c r="U614">
        <v>57.42</v>
      </c>
      <c r="V614" t="b">
        <v>1</v>
      </c>
      <c r="W614" t="s">
        <v>41</v>
      </c>
    </row>
    <row r="615" spans="1:23" x14ac:dyDescent="0.25">
      <c r="A615" t="s">
        <v>23</v>
      </c>
      <c r="B615" t="s">
        <v>70</v>
      </c>
      <c r="C615">
        <v>74.16</v>
      </c>
      <c r="D615">
        <v>137</v>
      </c>
      <c r="E615" t="b">
        <v>0</v>
      </c>
      <c r="F615" t="b">
        <v>1</v>
      </c>
      <c r="G615" t="b">
        <v>0</v>
      </c>
      <c r="H615" t="s">
        <v>43</v>
      </c>
      <c r="I615" t="s">
        <v>57</v>
      </c>
      <c r="J615" t="s">
        <v>36</v>
      </c>
      <c r="K615" t="s">
        <v>46</v>
      </c>
      <c r="L615" t="s">
        <v>69</v>
      </c>
      <c r="M615" t="s">
        <v>47</v>
      </c>
      <c r="N615" t="s">
        <v>46</v>
      </c>
      <c r="P615" t="b">
        <v>0</v>
      </c>
      <c r="Q615">
        <v>7.8</v>
      </c>
      <c r="R615" t="b">
        <v>1</v>
      </c>
      <c r="S615" t="s">
        <v>64</v>
      </c>
      <c r="T615">
        <v>38.700000000000003</v>
      </c>
      <c r="U615">
        <v>62.91</v>
      </c>
      <c r="V615" t="b">
        <v>1</v>
      </c>
      <c r="W615" t="s">
        <v>41</v>
      </c>
    </row>
    <row r="616" spans="1:23" x14ac:dyDescent="0.25">
      <c r="A616" t="s">
        <v>61</v>
      </c>
      <c r="B616" t="s">
        <v>62</v>
      </c>
      <c r="C616">
        <v>52.75</v>
      </c>
      <c r="D616">
        <v>255</v>
      </c>
      <c r="E616" t="b">
        <v>1</v>
      </c>
      <c r="F616" t="b">
        <v>0</v>
      </c>
      <c r="G616" t="b">
        <v>0</v>
      </c>
      <c r="H616" t="s">
        <v>25</v>
      </c>
      <c r="I616" t="s">
        <v>44</v>
      </c>
      <c r="J616" t="s">
        <v>45</v>
      </c>
      <c r="K616" t="s">
        <v>39</v>
      </c>
      <c r="L616" t="s">
        <v>37</v>
      </c>
      <c r="M616" t="s">
        <v>39</v>
      </c>
      <c r="N616" t="s">
        <v>28</v>
      </c>
      <c r="O616" t="b">
        <v>0</v>
      </c>
      <c r="P616" t="b">
        <v>0</v>
      </c>
      <c r="Q616">
        <v>4.5999999999999996</v>
      </c>
      <c r="R616" t="b">
        <v>1</v>
      </c>
      <c r="S616" t="s">
        <v>52</v>
      </c>
      <c r="T616">
        <v>41.8</v>
      </c>
      <c r="U616">
        <v>58.78</v>
      </c>
      <c r="V616" t="b">
        <v>1</v>
      </c>
      <c r="W616" t="s">
        <v>72</v>
      </c>
    </row>
    <row r="617" spans="1:23" x14ac:dyDescent="0.25">
      <c r="A617" t="s">
        <v>74</v>
      </c>
      <c r="B617" t="s">
        <v>62</v>
      </c>
      <c r="C617">
        <v>69.209999999999994</v>
      </c>
      <c r="D617">
        <v>281</v>
      </c>
      <c r="E617" t="b">
        <v>1</v>
      </c>
      <c r="F617" t="b">
        <v>1</v>
      </c>
      <c r="G617" t="b">
        <v>0</v>
      </c>
      <c r="H617" t="s">
        <v>25</v>
      </c>
      <c r="I617" t="s">
        <v>44</v>
      </c>
      <c r="J617" t="s">
        <v>45</v>
      </c>
      <c r="K617" t="s">
        <v>37</v>
      </c>
      <c r="L617" t="s">
        <v>69</v>
      </c>
      <c r="M617" t="s">
        <v>39</v>
      </c>
      <c r="N617" t="s">
        <v>39</v>
      </c>
      <c r="O617" t="b">
        <v>1</v>
      </c>
      <c r="P617" t="b">
        <v>0</v>
      </c>
      <c r="Q617">
        <v>8.6999999999999993</v>
      </c>
      <c r="R617" t="b">
        <v>0</v>
      </c>
      <c r="T617">
        <v>0</v>
      </c>
      <c r="U617">
        <v>54.56</v>
      </c>
      <c r="V617" t="b">
        <v>0</v>
      </c>
      <c r="W617" t="s">
        <v>58</v>
      </c>
    </row>
    <row r="618" spans="1:23" x14ac:dyDescent="0.25">
      <c r="A618" t="s">
        <v>56</v>
      </c>
      <c r="B618" t="s">
        <v>60</v>
      </c>
      <c r="C618">
        <v>41.63</v>
      </c>
      <c r="D618">
        <v>584</v>
      </c>
      <c r="E618" t="b">
        <v>0</v>
      </c>
      <c r="F618" t="b">
        <v>1</v>
      </c>
      <c r="G618" t="b">
        <v>1</v>
      </c>
      <c r="H618" t="s">
        <v>34</v>
      </c>
      <c r="I618" t="s">
        <v>67</v>
      </c>
      <c r="J618" t="s">
        <v>45</v>
      </c>
      <c r="K618" t="s">
        <v>28</v>
      </c>
      <c r="L618" t="s">
        <v>51</v>
      </c>
      <c r="M618" t="s">
        <v>46</v>
      </c>
      <c r="N618" t="s">
        <v>39</v>
      </c>
      <c r="P618" t="b">
        <v>0</v>
      </c>
      <c r="Q618">
        <v>4</v>
      </c>
      <c r="R618" t="b">
        <v>0</v>
      </c>
      <c r="T618">
        <v>0</v>
      </c>
      <c r="U618">
        <v>42.69</v>
      </c>
      <c r="V618" t="b">
        <v>1</v>
      </c>
      <c r="W618" t="s">
        <v>41</v>
      </c>
    </row>
    <row r="619" spans="1:23" x14ac:dyDescent="0.25">
      <c r="A619" t="s">
        <v>74</v>
      </c>
      <c r="B619" t="s">
        <v>76</v>
      </c>
      <c r="C619">
        <v>81.53</v>
      </c>
      <c r="D619">
        <v>504</v>
      </c>
      <c r="E619" t="b">
        <v>0</v>
      </c>
      <c r="F619" t="b">
        <v>0</v>
      </c>
      <c r="G619" t="b">
        <v>0</v>
      </c>
      <c r="H619" t="s">
        <v>53</v>
      </c>
      <c r="I619" t="s">
        <v>63</v>
      </c>
      <c r="J619" t="s">
        <v>27</v>
      </c>
      <c r="K619" t="s">
        <v>28</v>
      </c>
      <c r="L619" t="s">
        <v>29</v>
      </c>
      <c r="M619" t="s">
        <v>47</v>
      </c>
      <c r="N619" t="s">
        <v>46</v>
      </c>
      <c r="O619" t="b">
        <v>0</v>
      </c>
      <c r="P619" t="b">
        <v>0</v>
      </c>
      <c r="Q619">
        <v>6.6</v>
      </c>
      <c r="R619" t="b">
        <v>1</v>
      </c>
      <c r="S619" t="s">
        <v>75</v>
      </c>
      <c r="T619">
        <v>21.4</v>
      </c>
      <c r="U619">
        <v>94.86</v>
      </c>
      <c r="V619" t="b">
        <v>0</v>
      </c>
      <c r="W619" t="s">
        <v>41</v>
      </c>
    </row>
    <row r="620" spans="1:23" x14ac:dyDescent="0.25">
      <c r="A620" t="s">
        <v>56</v>
      </c>
      <c r="B620" t="s">
        <v>59</v>
      </c>
      <c r="C620">
        <v>90.4</v>
      </c>
      <c r="D620">
        <v>685</v>
      </c>
      <c r="E620" t="b">
        <v>1</v>
      </c>
      <c r="F620" t="b">
        <v>0</v>
      </c>
      <c r="G620" t="b">
        <v>1</v>
      </c>
      <c r="H620" t="s">
        <v>34</v>
      </c>
      <c r="I620" t="s">
        <v>57</v>
      </c>
      <c r="J620" t="s">
        <v>45</v>
      </c>
      <c r="K620" t="s">
        <v>46</v>
      </c>
      <c r="L620" t="s">
        <v>69</v>
      </c>
      <c r="M620" t="s">
        <v>46</v>
      </c>
      <c r="N620" t="s">
        <v>46</v>
      </c>
      <c r="O620" t="b">
        <v>0</v>
      </c>
      <c r="P620" t="b">
        <v>0</v>
      </c>
      <c r="Q620">
        <v>10</v>
      </c>
      <c r="R620" t="b">
        <v>0</v>
      </c>
      <c r="T620">
        <v>0</v>
      </c>
      <c r="U620">
        <v>94.36</v>
      </c>
      <c r="V620" t="b">
        <v>1</v>
      </c>
      <c r="W620" t="s">
        <v>58</v>
      </c>
    </row>
    <row r="621" spans="1:23" x14ac:dyDescent="0.25">
      <c r="A621" t="s">
        <v>56</v>
      </c>
      <c r="B621" t="s">
        <v>42</v>
      </c>
      <c r="C621">
        <v>69.41</v>
      </c>
      <c r="D621">
        <v>190</v>
      </c>
      <c r="E621" t="b">
        <v>0</v>
      </c>
      <c r="F621" t="b">
        <v>0</v>
      </c>
      <c r="G621" t="b">
        <v>1</v>
      </c>
      <c r="H621" t="s">
        <v>25</v>
      </c>
      <c r="I621" t="s">
        <v>67</v>
      </c>
      <c r="J621" t="s">
        <v>36</v>
      </c>
      <c r="K621" t="s">
        <v>28</v>
      </c>
      <c r="L621" t="s">
        <v>69</v>
      </c>
      <c r="M621" t="s">
        <v>39</v>
      </c>
      <c r="N621" t="s">
        <v>39</v>
      </c>
      <c r="O621" t="b">
        <v>1</v>
      </c>
      <c r="P621" t="b">
        <v>0</v>
      </c>
      <c r="Q621">
        <v>9.1</v>
      </c>
      <c r="R621" t="b">
        <v>1</v>
      </c>
      <c r="S621" t="s">
        <v>55</v>
      </c>
      <c r="T621">
        <v>4.5999999999999996</v>
      </c>
      <c r="U621">
        <v>75.849999999999994</v>
      </c>
      <c r="V621" t="b">
        <v>1</v>
      </c>
      <c r="W621" t="s">
        <v>31</v>
      </c>
    </row>
    <row r="622" spans="1:23" x14ac:dyDescent="0.25">
      <c r="A622" t="s">
        <v>32</v>
      </c>
      <c r="B622" t="s">
        <v>33</v>
      </c>
      <c r="C622">
        <v>81.430000000000007</v>
      </c>
      <c r="D622">
        <v>413</v>
      </c>
      <c r="E622" t="b">
        <v>1</v>
      </c>
      <c r="F622" t="b">
        <v>0</v>
      </c>
      <c r="G622" t="b">
        <v>1</v>
      </c>
      <c r="H622" t="s">
        <v>25</v>
      </c>
      <c r="I622" t="s">
        <v>35</v>
      </c>
      <c r="J622" t="s">
        <v>54</v>
      </c>
      <c r="K622" t="s">
        <v>46</v>
      </c>
      <c r="L622" t="s">
        <v>51</v>
      </c>
      <c r="M622" t="s">
        <v>39</v>
      </c>
      <c r="N622" t="s">
        <v>28</v>
      </c>
      <c r="O622" t="b">
        <v>0</v>
      </c>
      <c r="P622" t="b">
        <v>1</v>
      </c>
      <c r="Q622">
        <v>7.8</v>
      </c>
      <c r="R622" t="b">
        <v>1</v>
      </c>
      <c r="S622" t="s">
        <v>64</v>
      </c>
      <c r="T622">
        <v>8.6</v>
      </c>
      <c r="U622">
        <v>88.34</v>
      </c>
      <c r="V622" t="b">
        <v>1</v>
      </c>
      <c r="W622" t="s">
        <v>41</v>
      </c>
    </row>
    <row r="623" spans="1:23" x14ac:dyDescent="0.25">
      <c r="A623" t="s">
        <v>74</v>
      </c>
      <c r="B623" t="s">
        <v>66</v>
      </c>
      <c r="C623">
        <v>59.65</v>
      </c>
      <c r="D623">
        <v>739</v>
      </c>
      <c r="E623" t="b">
        <v>0</v>
      </c>
      <c r="F623" t="b">
        <v>0</v>
      </c>
      <c r="G623" t="b">
        <v>0</v>
      </c>
      <c r="H623" t="s">
        <v>43</v>
      </c>
      <c r="I623" t="s">
        <v>44</v>
      </c>
      <c r="J623" t="s">
        <v>50</v>
      </c>
      <c r="K623" t="s">
        <v>46</v>
      </c>
      <c r="L623" t="s">
        <v>69</v>
      </c>
      <c r="M623" t="s">
        <v>28</v>
      </c>
      <c r="P623" t="b">
        <v>0</v>
      </c>
      <c r="Q623">
        <v>8.1</v>
      </c>
      <c r="R623" t="b">
        <v>1</v>
      </c>
      <c r="S623" t="s">
        <v>75</v>
      </c>
      <c r="T623">
        <v>7.8</v>
      </c>
      <c r="U623">
        <v>42.37</v>
      </c>
      <c r="V623" t="b">
        <v>0</v>
      </c>
      <c r="W623" t="s">
        <v>31</v>
      </c>
    </row>
    <row r="624" spans="1:23" x14ac:dyDescent="0.25">
      <c r="A624" t="s">
        <v>23</v>
      </c>
      <c r="B624" t="s">
        <v>70</v>
      </c>
      <c r="C624">
        <v>85.95</v>
      </c>
      <c r="D624">
        <v>490</v>
      </c>
      <c r="E624" t="b">
        <v>1</v>
      </c>
      <c r="F624" t="b">
        <v>0</v>
      </c>
      <c r="G624" t="b">
        <v>0</v>
      </c>
      <c r="H624" t="s">
        <v>25</v>
      </c>
      <c r="I624" t="s">
        <v>67</v>
      </c>
      <c r="J624" t="s">
        <v>54</v>
      </c>
      <c r="K624" t="s">
        <v>46</v>
      </c>
      <c r="L624" t="s">
        <v>29</v>
      </c>
      <c r="M624" t="s">
        <v>47</v>
      </c>
      <c r="N624" t="s">
        <v>28</v>
      </c>
      <c r="O624" t="b">
        <v>0</v>
      </c>
      <c r="P624" t="b">
        <v>1</v>
      </c>
      <c r="Q624">
        <v>8.1</v>
      </c>
      <c r="R624" t="b">
        <v>1</v>
      </c>
      <c r="S624" t="s">
        <v>55</v>
      </c>
      <c r="T624">
        <v>15.4</v>
      </c>
      <c r="U624">
        <v>84.26</v>
      </c>
      <c r="V624" t="b">
        <v>1</v>
      </c>
      <c r="W624" t="s">
        <v>31</v>
      </c>
    </row>
    <row r="625" spans="1:23" x14ac:dyDescent="0.25">
      <c r="A625" t="s">
        <v>74</v>
      </c>
      <c r="B625" t="s">
        <v>42</v>
      </c>
      <c r="C625">
        <v>74.709999999999994</v>
      </c>
      <c r="D625">
        <v>554</v>
      </c>
      <c r="E625" t="b">
        <v>1</v>
      </c>
      <c r="F625" t="b">
        <v>1</v>
      </c>
      <c r="G625" t="b">
        <v>1</v>
      </c>
      <c r="H625" t="s">
        <v>34</v>
      </c>
      <c r="I625" t="s">
        <v>26</v>
      </c>
      <c r="J625" t="s">
        <v>45</v>
      </c>
      <c r="K625" t="s">
        <v>28</v>
      </c>
      <c r="L625" t="s">
        <v>37</v>
      </c>
      <c r="M625" t="s">
        <v>46</v>
      </c>
      <c r="N625" t="s">
        <v>46</v>
      </c>
      <c r="P625" t="b">
        <v>1</v>
      </c>
      <c r="Q625">
        <v>9.1</v>
      </c>
      <c r="R625" t="b">
        <v>0</v>
      </c>
      <c r="T625">
        <v>0</v>
      </c>
      <c r="U625">
        <v>77.03</v>
      </c>
      <c r="V625" t="b">
        <v>1</v>
      </c>
      <c r="W625" t="s">
        <v>58</v>
      </c>
    </row>
    <row r="626" spans="1:23" x14ac:dyDescent="0.25">
      <c r="A626" t="s">
        <v>68</v>
      </c>
      <c r="B626" t="s">
        <v>76</v>
      </c>
      <c r="C626">
        <v>75.989999999999995</v>
      </c>
      <c r="D626">
        <v>77</v>
      </c>
      <c r="E626" t="b">
        <v>0</v>
      </c>
      <c r="F626" t="b">
        <v>1</v>
      </c>
      <c r="G626" t="b">
        <v>0</v>
      </c>
      <c r="H626" t="s">
        <v>53</v>
      </c>
      <c r="I626" t="s">
        <v>63</v>
      </c>
      <c r="J626" t="s">
        <v>27</v>
      </c>
      <c r="K626" t="s">
        <v>39</v>
      </c>
      <c r="L626" t="s">
        <v>69</v>
      </c>
      <c r="M626" t="s">
        <v>47</v>
      </c>
      <c r="N626" t="s">
        <v>28</v>
      </c>
      <c r="O626" t="b">
        <v>1</v>
      </c>
      <c r="P626" t="b">
        <v>0</v>
      </c>
      <c r="Q626">
        <v>8.6999999999999993</v>
      </c>
      <c r="R626" t="b">
        <v>0</v>
      </c>
      <c r="T626">
        <v>0</v>
      </c>
      <c r="U626">
        <v>79.180000000000007</v>
      </c>
      <c r="V626" t="b">
        <v>1</v>
      </c>
      <c r="W626" t="s">
        <v>58</v>
      </c>
    </row>
    <row r="627" spans="1:23" x14ac:dyDescent="0.25">
      <c r="A627" t="s">
        <v>23</v>
      </c>
      <c r="B627" t="s">
        <v>42</v>
      </c>
      <c r="C627">
        <v>83.64</v>
      </c>
      <c r="D627">
        <v>263</v>
      </c>
      <c r="E627" t="b">
        <v>1</v>
      </c>
      <c r="F627" t="b">
        <v>1</v>
      </c>
      <c r="G627" t="b">
        <v>0</v>
      </c>
      <c r="H627" t="s">
        <v>43</v>
      </c>
      <c r="I627" t="s">
        <v>67</v>
      </c>
      <c r="J627" t="s">
        <v>36</v>
      </c>
      <c r="K627" t="s">
        <v>28</v>
      </c>
      <c r="L627" t="s">
        <v>37</v>
      </c>
      <c r="M627" t="s">
        <v>39</v>
      </c>
      <c r="N627" t="s">
        <v>28</v>
      </c>
      <c r="O627" t="b">
        <v>0</v>
      </c>
      <c r="P627" t="b">
        <v>1</v>
      </c>
      <c r="Q627">
        <v>7.2</v>
      </c>
      <c r="R627" t="b">
        <v>1</v>
      </c>
      <c r="S627" t="s">
        <v>52</v>
      </c>
      <c r="T627">
        <v>2.1</v>
      </c>
      <c r="U627">
        <v>80.25</v>
      </c>
      <c r="V627" t="b">
        <v>1</v>
      </c>
      <c r="W627" t="s">
        <v>41</v>
      </c>
    </row>
    <row r="628" spans="1:23" x14ac:dyDescent="0.25">
      <c r="A628" t="s">
        <v>74</v>
      </c>
      <c r="B628" t="s">
        <v>71</v>
      </c>
      <c r="C628">
        <v>57.05</v>
      </c>
      <c r="D628">
        <v>123</v>
      </c>
      <c r="E628" t="b">
        <v>0</v>
      </c>
      <c r="F628" t="b">
        <v>1</v>
      </c>
      <c r="G628" t="b">
        <v>1</v>
      </c>
      <c r="H628" t="s">
        <v>43</v>
      </c>
      <c r="I628" t="s">
        <v>57</v>
      </c>
      <c r="J628" t="s">
        <v>50</v>
      </c>
      <c r="K628" t="s">
        <v>37</v>
      </c>
      <c r="L628" t="s">
        <v>38</v>
      </c>
      <c r="M628" t="s">
        <v>46</v>
      </c>
      <c r="N628" t="s">
        <v>39</v>
      </c>
      <c r="O628" t="b">
        <v>0</v>
      </c>
      <c r="P628" t="b">
        <v>1</v>
      </c>
      <c r="Q628">
        <v>4.8</v>
      </c>
      <c r="R628" t="b">
        <v>1</v>
      </c>
      <c r="S628" t="s">
        <v>30</v>
      </c>
      <c r="T628">
        <v>44.4</v>
      </c>
      <c r="U628">
        <v>36.28</v>
      </c>
      <c r="V628" t="b">
        <v>1</v>
      </c>
      <c r="W628" t="s">
        <v>72</v>
      </c>
    </row>
    <row r="629" spans="1:23" x14ac:dyDescent="0.25">
      <c r="A629" t="s">
        <v>68</v>
      </c>
      <c r="B629" t="s">
        <v>33</v>
      </c>
      <c r="C629">
        <v>84.59</v>
      </c>
      <c r="D629">
        <v>336</v>
      </c>
      <c r="E629" t="b">
        <v>0</v>
      </c>
      <c r="F629" t="b">
        <v>0</v>
      </c>
      <c r="G629" t="b">
        <v>0</v>
      </c>
      <c r="H629" t="s">
        <v>53</v>
      </c>
      <c r="I629" t="s">
        <v>67</v>
      </c>
      <c r="J629" t="s">
        <v>27</v>
      </c>
      <c r="K629" t="s">
        <v>37</v>
      </c>
      <c r="L629" t="s">
        <v>38</v>
      </c>
      <c r="M629" t="s">
        <v>46</v>
      </c>
      <c r="N629" t="s">
        <v>46</v>
      </c>
      <c r="P629" t="b">
        <v>0</v>
      </c>
      <c r="Q629">
        <v>9.5</v>
      </c>
      <c r="R629" t="b">
        <v>1</v>
      </c>
      <c r="S629" t="s">
        <v>40</v>
      </c>
      <c r="T629">
        <v>40.700000000000003</v>
      </c>
      <c r="U629">
        <v>75.819999999999993</v>
      </c>
      <c r="V629" t="b">
        <v>1</v>
      </c>
      <c r="W629" t="s">
        <v>31</v>
      </c>
    </row>
    <row r="630" spans="1:23" x14ac:dyDescent="0.25">
      <c r="A630" t="s">
        <v>56</v>
      </c>
      <c r="B630" t="s">
        <v>33</v>
      </c>
      <c r="C630">
        <v>81.150000000000006</v>
      </c>
      <c r="D630">
        <v>738</v>
      </c>
      <c r="E630" t="b">
        <v>1</v>
      </c>
      <c r="F630" t="b">
        <v>0</v>
      </c>
      <c r="G630" t="b">
        <v>1</v>
      </c>
      <c r="H630" t="s">
        <v>53</v>
      </c>
      <c r="I630" t="s">
        <v>44</v>
      </c>
      <c r="J630" t="s">
        <v>27</v>
      </c>
      <c r="K630" t="s">
        <v>39</v>
      </c>
      <c r="L630" t="s">
        <v>38</v>
      </c>
      <c r="M630" t="s">
        <v>28</v>
      </c>
      <c r="N630" t="s">
        <v>39</v>
      </c>
      <c r="P630" t="b">
        <v>1</v>
      </c>
      <c r="Q630">
        <v>10</v>
      </c>
      <c r="R630" t="b">
        <v>0</v>
      </c>
      <c r="T630">
        <v>0</v>
      </c>
      <c r="U630">
        <v>95.23</v>
      </c>
      <c r="V630" t="b">
        <v>1</v>
      </c>
      <c r="W630" t="s">
        <v>58</v>
      </c>
    </row>
    <row r="631" spans="1:23" x14ac:dyDescent="0.25">
      <c r="A631" t="s">
        <v>61</v>
      </c>
      <c r="B631" t="s">
        <v>76</v>
      </c>
      <c r="C631">
        <v>82.92</v>
      </c>
      <c r="D631">
        <v>764</v>
      </c>
      <c r="E631" t="b">
        <v>0</v>
      </c>
      <c r="F631" t="b">
        <v>1</v>
      </c>
      <c r="G631" t="b">
        <v>1</v>
      </c>
      <c r="H631" t="s">
        <v>43</v>
      </c>
      <c r="I631" t="s">
        <v>63</v>
      </c>
      <c r="J631" t="s">
        <v>54</v>
      </c>
      <c r="K631" t="s">
        <v>28</v>
      </c>
      <c r="L631" t="s">
        <v>51</v>
      </c>
      <c r="M631" t="s">
        <v>46</v>
      </c>
      <c r="N631" t="s">
        <v>46</v>
      </c>
      <c r="O631" t="b">
        <v>0</v>
      </c>
      <c r="P631" t="b">
        <v>0</v>
      </c>
      <c r="Q631">
        <v>7.9</v>
      </c>
      <c r="R631" t="b">
        <v>0</v>
      </c>
      <c r="T631">
        <v>0</v>
      </c>
      <c r="U631">
        <v>84.96</v>
      </c>
      <c r="V631" t="b">
        <v>1</v>
      </c>
      <c r="W631" t="s">
        <v>31</v>
      </c>
    </row>
    <row r="632" spans="1:23" x14ac:dyDescent="0.25">
      <c r="A632" t="s">
        <v>74</v>
      </c>
      <c r="B632" t="s">
        <v>70</v>
      </c>
      <c r="C632">
        <v>86.93</v>
      </c>
      <c r="D632">
        <v>559</v>
      </c>
      <c r="E632" t="b">
        <v>1</v>
      </c>
      <c r="F632" t="b">
        <v>1</v>
      </c>
      <c r="G632" t="b">
        <v>0</v>
      </c>
      <c r="H632" t="s">
        <v>53</v>
      </c>
      <c r="I632" t="s">
        <v>44</v>
      </c>
      <c r="J632" t="s">
        <v>50</v>
      </c>
      <c r="K632" t="s">
        <v>28</v>
      </c>
      <c r="L632" t="s">
        <v>51</v>
      </c>
      <c r="M632" t="s">
        <v>46</v>
      </c>
      <c r="N632" t="s">
        <v>28</v>
      </c>
      <c r="O632" t="b">
        <v>0</v>
      </c>
      <c r="P632" t="b">
        <v>0</v>
      </c>
      <c r="Q632">
        <v>8.8000000000000007</v>
      </c>
      <c r="R632" t="b">
        <v>0</v>
      </c>
      <c r="T632">
        <v>0</v>
      </c>
      <c r="U632">
        <v>95.92</v>
      </c>
      <c r="V632" t="b">
        <v>1</v>
      </c>
      <c r="W632" t="s">
        <v>58</v>
      </c>
    </row>
    <row r="633" spans="1:23" x14ac:dyDescent="0.25">
      <c r="A633" t="s">
        <v>56</v>
      </c>
      <c r="B633" t="s">
        <v>24</v>
      </c>
      <c r="C633">
        <v>89.22</v>
      </c>
      <c r="D633">
        <v>795</v>
      </c>
      <c r="E633" t="b">
        <v>1</v>
      </c>
      <c r="F633" t="b">
        <v>1</v>
      </c>
      <c r="G633" t="b">
        <v>1</v>
      </c>
      <c r="H633" t="s">
        <v>25</v>
      </c>
      <c r="I633" t="s">
        <v>63</v>
      </c>
      <c r="J633" t="s">
        <v>54</v>
      </c>
      <c r="K633" t="s">
        <v>39</v>
      </c>
      <c r="L633" t="s">
        <v>38</v>
      </c>
      <c r="M633" t="s">
        <v>39</v>
      </c>
      <c r="P633" t="b">
        <v>0</v>
      </c>
      <c r="Q633">
        <v>9.9</v>
      </c>
      <c r="R633" t="b">
        <v>0</v>
      </c>
      <c r="T633">
        <v>0</v>
      </c>
      <c r="U633">
        <v>100</v>
      </c>
      <c r="V633" t="b">
        <v>1</v>
      </c>
      <c r="W633" t="s">
        <v>58</v>
      </c>
    </row>
    <row r="634" spans="1:23" x14ac:dyDescent="0.25">
      <c r="A634" t="s">
        <v>68</v>
      </c>
      <c r="B634" t="s">
        <v>60</v>
      </c>
      <c r="C634">
        <v>44.28</v>
      </c>
      <c r="D634">
        <v>529</v>
      </c>
      <c r="E634" t="b">
        <v>1</v>
      </c>
      <c r="F634" t="b">
        <v>0</v>
      </c>
      <c r="G634" t="b">
        <v>0</v>
      </c>
      <c r="H634" t="s">
        <v>43</v>
      </c>
      <c r="I634" t="s">
        <v>35</v>
      </c>
      <c r="J634" t="s">
        <v>36</v>
      </c>
      <c r="K634" t="s">
        <v>39</v>
      </c>
      <c r="L634" t="s">
        <v>37</v>
      </c>
      <c r="M634" t="s">
        <v>28</v>
      </c>
      <c r="N634" t="s">
        <v>28</v>
      </c>
      <c r="O634" t="b">
        <v>0</v>
      </c>
      <c r="P634" t="b">
        <v>1</v>
      </c>
      <c r="Q634">
        <v>4.9000000000000004</v>
      </c>
      <c r="R634" t="b">
        <v>1</v>
      </c>
      <c r="S634" t="s">
        <v>30</v>
      </c>
      <c r="T634">
        <v>13.9</v>
      </c>
      <c r="U634">
        <v>33.799999999999997</v>
      </c>
      <c r="V634" t="b">
        <v>1</v>
      </c>
      <c r="W634" t="s">
        <v>72</v>
      </c>
    </row>
    <row r="635" spans="1:23" x14ac:dyDescent="0.25">
      <c r="A635" t="s">
        <v>68</v>
      </c>
      <c r="B635" t="s">
        <v>60</v>
      </c>
      <c r="C635">
        <v>58.49</v>
      </c>
      <c r="D635">
        <v>355</v>
      </c>
      <c r="E635" t="b">
        <v>1</v>
      </c>
      <c r="F635" t="b">
        <v>1</v>
      </c>
      <c r="G635" t="b">
        <v>1</v>
      </c>
      <c r="H635" t="s">
        <v>34</v>
      </c>
      <c r="I635" t="s">
        <v>67</v>
      </c>
      <c r="J635" t="s">
        <v>27</v>
      </c>
      <c r="K635" t="s">
        <v>28</v>
      </c>
      <c r="L635" t="s">
        <v>38</v>
      </c>
      <c r="M635" t="s">
        <v>47</v>
      </c>
      <c r="N635" t="s">
        <v>28</v>
      </c>
      <c r="O635" t="b">
        <v>0</v>
      </c>
      <c r="P635" t="b">
        <v>0</v>
      </c>
      <c r="Q635">
        <v>6.8</v>
      </c>
      <c r="R635" t="b">
        <v>1</v>
      </c>
      <c r="S635" t="s">
        <v>30</v>
      </c>
      <c r="T635">
        <v>33</v>
      </c>
      <c r="U635">
        <v>66.97</v>
      </c>
      <c r="V635" t="b">
        <v>1</v>
      </c>
      <c r="W635" t="s">
        <v>41</v>
      </c>
    </row>
    <row r="636" spans="1:23" x14ac:dyDescent="0.25">
      <c r="A636" t="s">
        <v>68</v>
      </c>
      <c r="B636" t="s">
        <v>49</v>
      </c>
      <c r="C636">
        <v>65.2</v>
      </c>
      <c r="D636">
        <v>609</v>
      </c>
      <c r="E636" t="b">
        <v>0</v>
      </c>
      <c r="F636" t="b">
        <v>0</v>
      </c>
      <c r="G636" t="b">
        <v>0</v>
      </c>
      <c r="H636" t="s">
        <v>34</v>
      </c>
      <c r="I636" t="s">
        <v>35</v>
      </c>
      <c r="J636" t="s">
        <v>36</v>
      </c>
      <c r="K636" t="s">
        <v>37</v>
      </c>
      <c r="L636" t="s">
        <v>51</v>
      </c>
      <c r="M636" t="s">
        <v>46</v>
      </c>
      <c r="N636" t="s">
        <v>46</v>
      </c>
      <c r="P636" t="b">
        <v>0</v>
      </c>
      <c r="Q636">
        <v>6.5</v>
      </c>
      <c r="R636" t="b">
        <v>0</v>
      </c>
      <c r="T636">
        <v>0</v>
      </c>
      <c r="U636">
        <v>70.180000000000007</v>
      </c>
      <c r="V636" t="b">
        <v>1</v>
      </c>
      <c r="W636" t="s">
        <v>31</v>
      </c>
    </row>
    <row r="637" spans="1:23" x14ac:dyDescent="0.25">
      <c r="A637" t="s">
        <v>61</v>
      </c>
      <c r="B637" t="s">
        <v>24</v>
      </c>
      <c r="C637">
        <v>85.55</v>
      </c>
      <c r="D637">
        <v>163</v>
      </c>
      <c r="E637" t="b">
        <v>1</v>
      </c>
      <c r="F637" t="b">
        <v>1</v>
      </c>
      <c r="G637" t="b">
        <v>1</v>
      </c>
      <c r="H637" t="s">
        <v>53</v>
      </c>
      <c r="I637" t="s">
        <v>35</v>
      </c>
      <c r="J637" t="s">
        <v>54</v>
      </c>
      <c r="K637" t="s">
        <v>37</v>
      </c>
      <c r="L637" t="s">
        <v>37</v>
      </c>
      <c r="M637" t="s">
        <v>46</v>
      </c>
      <c r="N637" t="s">
        <v>39</v>
      </c>
      <c r="P637" t="b">
        <v>0</v>
      </c>
      <c r="Q637">
        <v>8.4</v>
      </c>
      <c r="R637" t="b">
        <v>1</v>
      </c>
      <c r="S637" t="s">
        <v>30</v>
      </c>
      <c r="T637">
        <v>44.8</v>
      </c>
      <c r="U637">
        <v>84.62</v>
      </c>
      <c r="V637" t="b">
        <v>1</v>
      </c>
      <c r="W637" t="s">
        <v>31</v>
      </c>
    </row>
    <row r="638" spans="1:23" x14ac:dyDescent="0.25">
      <c r="A638" t="s">
        <v>61</v>
      </c>
      <c r="B638" t="s">
        <v>76</v>
      </c>
      <c r="C638">
        <v>86</v>
      </c>
      <c r="D638">
        <v>80</v>
      </c>
      <c r="E638" t="b">
        <v>1</v>
      </c>
      <c r="F638" t="b">
        <v>0</v>
      </c>
      <c r="G638" t="b">
        <v>1</v>
      </c>
      <c r="H638" t="s">
        <v>25</v>
      </c>
      <c r="I638" t="s">
        <v>57</v>
      </c>
      <c r="J638" t="s">
        <v>27</v>
      </c>
      <c r="K638" t="s">
        <v>46</v>
      </c>
      <c r="L638" t="s">
        <v>38</v>
      </c>
      <c r="M638" t="s">
        <v>39</v>
      </c>
      <c r="O638" t="b">
        <v>0</v>
      </c>
      <c r="P638" t="b">
        <v>1</v>
      </c>
      <c r="Q638">
        <v>9.8000000000000007</v>
      </c>
      <c r="R638" t="b">
        <v>0</v>
      </c>
      <c r="T638">
        <v>0</v>
      </c>
      <c r="U638">
        <v>79.959999999999994</v>
      </c>
      <c r="V638" t="b">
        <v>1</v>
      </c>
      <c r="W638" t="s">
        <v>58</v>
      </c>
    </row>
    <row r="639" spans="1:23" x14ac:dyDescent="0.25">
      <c r="A639" t="s">
        <v>32</v>
      </c>
      <c r="B639" t="s">
        <v>49</v>
      </c>
      <c r="C639">
        <v>78.180000000000007</v>
      </c>
      <c r="D639">
        <v>114</v>
      </c>
      <c r="E639" t="b">
        <v>0</v>
      </c>
      <c r="F639" t="b">
        <v>1</v>
      </c>
      <c r="G639" t="b">
        <v>1</v>
      </c>
      <c r="H639" t="s">
        <v>53</v>
      </c>
      <c r="I639" t="s">
        <v>35</v>
      </c>
      <c r="J639" t="s">
        <v>27</v>
      </c>
      <c r="K639" t="s">
        <v>37</v>
      </c>
      <c r="L639" t="s">
        <v>29</v>
      </c>
      <c r="M639" t="s">
        <v>46</v>
      </c>
      <c r="N639" t="s">
        <v>46</v>
      </c>
      <c r="P639" t="b">
        <v>1</v>
      </c>
      <c r="Q639">
        <v>7.5</v>
      </c>
      <c r="R639" t="b">
        <v>0</v>
      </c>
      <c r="T639">
        <v>0</v>
      </c>
      <c r="U639">
        <v>82.65</v>
      </c>
      <c r="V639" t="b">
        <v>1</v>
      </c>
      <c r="W639" t="s">
        <v>31</v>
      </c>
    </row>
    <row r="640" spans="1:23" x14ac:dyDescent="0.25">
      <c r="A640" t="s">
        <v>32</v>
      </c>
      <c r="B640" t="s">
        <v>71</v>
      </c>
      <c r="C640">
        <v>54.8</v>
      </c>
      <c r="D640">
        <v>241</v>
      </c>
      <c r="E640" t="b">
        <v>0</v>
      </c>
      <c r="F640" t="b">
        <v>1</v>
      </c>
      <c r="G640" t="b">
        <v>0</v>
      </c>
      <c r="H640" t="s">
        <v>53</v>
      </c>
      <c r="I640" t="s">
        <v>67</v>
      </c>
      <c r="J640" t="s">
        <v>36</v>
      </c>
      <c r="K640" t="s">
        <v>37</v>
      </c>
      <c r="L640" t="s">
        <v>37</v>
      </c>
      <c r="M640" t="s">
        <v>39</v>
      </c>
      <c r="N640" t="s">
        <v>28</v>
      </c>
      <c r="P640" t="b">
        <v>1</v>
      </c>
      <c r="Q640">
        <v>4.3</v>
      </c>
      <c r="R640" t="b">
        <v>1</v>
      </c>
      <c r="S640" t="s">
        <v>30</v>
      </c>
      <c r="T640">
        <v>7.3</v>
      </c>
      <c r="U640">
        <v>48.15</v>
      </c>
      <c r="V640" t="b">
        <v>1</v>
      </c>
      <c r="W640" t="s">
        <v>72</v>
      </c>
    </row>
    <row r="641" spans="1:23" x14ac:dyDescent="0.25">
      <c r="A641" t="s">
        <v>23</v>
      </c>
      <c r="B641" t="s">
        <v>24</v>
      </c>
      <c r="C641">
        <v>86.88</v>
      </c>
      <c r="D641">
        <v>217</v>
      </c>
      <c r="E641" t="b">
        <v>1</v>
      </c>
      <c r="F641" t="b">
        <v>0</v>
      </c>
      <c r="G641" t="b">
        <v>0</v>
      </c>
      <c r="H641" t="s">
        <v>53</v>
      </c>
      <c r="I641" t="s">
        <v>44</v>
      </c>
      <c r="J641" t="s">
        <v>27</v>
      </c>
      <c r="K641" t="s">
        <v>46</v>
      </c>
      <c r="L641" t="s">
        <v>69</v>
      </c>
      <c r="M641" t="s">
        <v>47</v>
      </c>
      <c r="N641" t="s">
        <v>46</v>
      </c>
      <c r="O641" t="b">
        <v>0</v>
      </c>
      <c r="P641" t="b">
        <v>0</v>
      </c>
      <c r="Q641">
        <v>8.9</v>
      </c>
      <c r="R641" t="b">
        <v>1</v>
      </c>
      <c r="S641" t="s">
        <v>75</v>
      </c>
      <c r="T641">
        <v>3.9</v>
      </c>
      <c r="U641">
        <v>75.180000000000007</v>
      </c>
      <c r="V641" t="b">
        <v>1</v>
      </c>
      <c r="W641" t="s">
        <v>31</v>
      </c>
    </row>
    <row r="642" spans="1:23" x14ac:dyDescent="0.25">
      <c r="A642" t="s">
        <v>23</v>
      </c>
      <c r="B642" t="s">
        <v>71</v>
      </c>
      <c r="C642">
        <v>52.43</v>
      </c>
      <c r="D642">
        <v>396</v>
      </c>
      <c r="E642" t="b">
        <v>1</v>
      </c>
      <c r="F642" t="b">
        <v>1</v>
      </c>
      <c r="G642" t="b">
        <v>1</v>
      </c>
      <c r="H642" t="s">
        <v>25</v>
      </c>
      <c r="I642" t="s">
        <v>44</v>
      </c>
      <c r="J642" t="s">
        <v>54</v>
      </c>
      <c r="K642" t="s">
        <v>37</v>
      </c>
      <c r="L642" t="s">
        <v>51</v>
      </c>
      <c r="M642" t="s">
        <v>46</v>
      </c>
      <c r="N642" t="s">
        <v>28</v>
      </c>
      <c r="O642" t="b">
        <v>1</v>
      </c>
      <c r="P642" t="b">
        <v>0</v>
      </c>
      <c r="Q642">
        <v>7.2</v>
      </c>
      <c r="R642" t="b">
        <v>1</v>
      </c>
      <c r="S642" t="s">
        <v>30</v>
      </c>
      <c r="T642">
        <v>35.9</v>
      </c>
      <c r="U642">
        <v>47.14</v>
      </c>
      <c r="V642" t="b">
        <v>0</v>
      </c>
      <c r="W642" t="s">
        <v>41</v>
      </c>
    </row>
    <row r="643" spans="1:23" x14ac:dyDescent="0.25">
      <c r="A643" t="s">
        <v>23</v>
      </c>
      <c r="B643" t="s">
        <v>59</v>
      </c>
      <c r="C643">
        <v>94.22</v>
      </c>
      <c r="D643">
        <v>163</v>
      </c>
      <c r="E643" t="b">
        <v>1</v>
      </c>
      <c r="F643" t="b">
        <v>0</v>
      </c>
      <c r="G643" t="b">
        <v>0</v>
      </c>
      <c r="H643" t="s">
        <v>53</v>
      </c>
      <c r="I643" t="s">
        <v>63</v>
      </c>
      <c r="J643" t="s">
        <v>36</v>
      </c>
      <c r="K643" t="s">
        <v>39</v>
      </c>
      <c r="L643" t="s">
        <v>69</v>
      </c>
      <c r="M643" t="s">
        <v>46</v>
      </c>
      <c r="N643" t="s">
        <v>46</v>
      </c>
      <c r="P643" t="b">
        <v>0</v>
      </c>
      <c r="Q643">
        <v>10</v>
      </c>
      <c r="R643" t="b">
        <v>0</v>
      </c>
      <c r="T643">
        <v>0</v>
      </c>
      <c r="U643">
        <v>95.96</v>
      </c>
      <c r="V643" t="b">
        <v>1</v>
      </c>
      <c r="W643" t="s">
        <v>58</v>
      </c>
    </row>
    <row r="644" spans="1:23" x14ac:dyDescent="0.25">
      <c r="A644" t="s">
        <v>56</v>
      </c>
      <c r="B644" t="s">
        <v>62</v>
      </c>
      <c r="C644">
        <v>70.930000000000007</v>
      </c>
      <c r="D644">
        <v>577</v>
      </c>
      <c r="E644" t="b">
        <v>0</v>
      </c>
      <c r="F644" t="b">
        <v>0</v>
      </c>
      <c r="G644" t="b">
        <v>1</v>
      </c>
      <c r="H644" t="s">
        <v>53</v>
      </c>
      <c r="I644" t="s">
        <v>67</v>
      </c>
      <c r="J644" t="s">
        <v>45</v>
      </c>
      <c r="K644" t="s">
        <v>39</v>
      </c>
      <c r="L644" t="s">
        <v>69</v>
      </c>
      <c r="M644" t="s">
        <v>46</v>
      </c>
      <c r="O644" t="b">
        <v>0</v>
      </c>
      <c r="P644" t="b">
        <v>1</v>
      </c>
      <c r="Q644">
        <v>6.9</v>
      </c>
      <c r="R644" t="b">
        <v>0</v>
      </c>
      <c r="T644">
        <v>0</v>
      </c>
      <c r="U644">
        <v>75.599999999999994</v>
      </c>
      <c r="V644" t="b">
        <v>1</v>
      </c>
      <c r="W644" t="s">
        <v>31</v>
      </c>
    </row>
    <row r="645" spans="1:23" x14ac:dyDescent="0.25">
      <c r="A645" t="s">
        <v>74</v>
      </c>
      <c r="B645" t="s">
        <v>42</v>
      </c>
      <c r="C645">
        <v>82.44</v>
      </c>
      <c r="D645">
        <v>347</v>
      </c>
      <c r="E645" t="b">
        <v>1</v>
      </c>
      <c r="F645" t="b">
        <v>0</v>
      </c>
      <c r="G645" t="b">
        <v>0</v>
      </c>
      <c r="H645" t="s">
        <v>34</v>
      </c>
      <c r="I645" t="s">
        <v>35</v>
      </c>
      <c r="J645" t="s">
        <v>50</v>
      </c>
      <c r="K645" t="s">
        <v>39</v>
      </c>
      <c r="L645" t="s">
        <v>37</v>
      </c>
      <c r="M645" t="s">
        <v>47</v>
      </c>
      <c r="N645" t="s">
        <v>28</v>
      </c>
      <c r="O645" t="b">
        <v>1</v>
      </c>
      <c r="P645" t="b">
        <v>0</v>
      </c>
      <c r="Q645">
        <v>10</v>
      </c>
      <c r="R645" t="b">
        <v>1</v>
      </c>
      <c r="S645" t="s">
        <v>65</v>
      </c>
      <c r="T645">
        <v>11.4</v>
      </c>
      <c r="U645">
        <v>95.46</v>
      </c>
      <c r="V645" t="b">
        <v>1</v>
      </c>
      <c r="W645" t="s">
        <v>31</v>
      </c>
    </row>
    <row r="646" spans="1:23" x14ac:dyDescent="0.25">
      <c r="A646" t="s">
        <v>61</v>
      </c>
      <c r="B646" t="s">
        <v>71</v>
      </c>
      <c r="C646">
        <v>53.88</v>
      </c>
      <c r="D646">
        <v>696</v>
      </c>
      <c r="E646" t="b">
        <v>0</v>
      </c>
      <c r="F646" t="b">
        <v>0</v>
      </c>
      <c r="G646" t="b">
        <v>1</v>
      </c>
      <c r="H646" t="s">
        <v>34</v>
      </c>
      <c r="I646" t="s">
        <v>63</v>
      </c>
      <c r="J646" t="s">
        <v>54</v>
      </c>
      <c r="K646" t="s">
        <v>46</v>
      </c>
      <c r="L646" t="s">
        <v>51</v>
      </c>
      <c r="M646" t="s">
        <v>39</v>
      </c>
      <c r="N646" t="s">
        <v>39</v>
      </c>
      <c r="O646" t="b">
        <v>1</v>
      </c>
      <c r="P646" t="b">
        <v>1</v>
      </c>
      <c r="Q646">
        <v>6.5</v>
      </c>
      <c r="R646" t="b">
        <v>1</v>
      </c>
      <c r="S646" t="s">
        <v>75</v>
      </c>
      <c r="T646">
        <v>23.4</v>
      </c>
      <c r="U646">
        <v>31.73</v>
      </c>
      <c r="V646" t="b">
        <v>0</v>
      </c>
      <c r="W646" t="s">
        <v>41</v>
      </c>
    </row>
    <row r="647" spans="1:23" x14ac:dyDescent="0.25">
      <c r="A647" t="s">
        <v>56</v>
      </c>
      <c r="B647" t="s">
        <v>62</v>
      </c>
      <c r="C647">
        <v>55.75</v>
      </c>
      <c r="D647">
        <v>240</v>
      </c>
      <c r="E647" t="b">
        <v>1</v>
      </c>
      <c r="F647" t="b">
        <v>0</v>
      </c>
      <c r="G647" t="b">
        <v>1</v>
      </c>
      <c r="H647" t="s">
        <v>53</v>
      </c>
      <c r="I647" t="s">
        <v>63</v>
      </c>
      <c r="J647" t="s">
        <v>45</v>
      </c>
      <c r="K647" t="s">
        <v>28</v>
      </c>
      <c r="L647" t="s">
        <v>51</v>
      </c>
      <c r="M647" t="s">
        <v>46</v>
      </c>
      <c r="N647" t="s">
        <v>46</v>
      </c>
      <c r="P647" t="b">
        <v>0</v>
      </c>
      <c r="Q647">
        <v>7.1</v>
      </c>
      <c r="R647" t="b">
        <v>0</v>
      </c>
      <c r="T647">
        <v>0</v>
      </c>
      <c r="U647">
        <v>42.98</v>
      </c>
      <c r="V647" t="b">
        <v>0</v>
      </c>
      <c r="W647" t="s">
        <v>31</v>
      </c>
    </row>
    <row r="648" spans="1:23" x14ac:dyDescent="0.25">
      <c r="A648" t="s">
        <v>32</v>
      </c>
      <c r="B648" t="s">
        <v>70</v>
      </c>
      <c r="C648">
        <v>70.47</v>
      </c>
      <c r="D648">
        <v>441</v>
      </c>
      <c r="E648" t="b">
        <v>1</v>
      </c>
      <c r="F648" t="b">
        <v>1</v>
      </c>
      <c r="G648" t="b">
        <v>1</v>
      </c>
      <c r="H648" t="s">
        <v>25</v>
      </c>
      <c r="I648" t="s">
        <v>67</v>
      </c>
      <c r="J648" t="s">
        <v>50</v>
      </c>
      <c r="K648" t="s">
        <v>39</v>
      </c>
      <c r="L648" t="s">
        <v>37</v>
      </c>
      <c r="M648" t="s">
        <v>28</v>
      </c>
      <c r="N648" t="s">
        <v>46</v>
      </c>
      <c r="O648" t="b">
        <v>0</v>
      </c>
      <c r="P648" t="b">
        <v>1</v>
      </c>
      <c r="Q648">
        <v>6.8</v>
      </c>
      <c r="R648" t="b">
        <v>0</v>
      </c>
      <c r="T648">
        <v>0</v>
      </c>
      <c r="U648">
        <v>83.14</v>
      </c>
      <c r="V648" t="b">
        <v>1</v>
      </c>
      <c r="W648" t="s">
        <v>31</v>
      </c>
    </row>
    <row r="649" spans="1:23" x14ac:dyDescent="0.25">
      <c r="A649" t="s">
        <v>68</v>
      </c>
      <c r="B649" t="s">
        <v>62</v>
      </c>
      <c r="C649">
        <v>62.75</v>
      </c>
      <c r="D649">
        <v>503</v>
      </c>
      <c r="E649" t="b">
        <v>0</v>
      </c>
      <c r="F649" t="b">
        <v>1</v>
      </c>
      <c r="G649" t="b">
        <v>1</v>
      </c>
      <c r="H649" t="s">
        <v>53</v>
      </c>
      <c r="I649" t="s">
        <v>35</v>
      </c>
      <c r="J649" t="s">
        <v>45</v>
      </c>
      <c r="K649" t="s">
        <v>46</v>
      </c>
      <c r="L649" t="s">
        <v>51</v>
      </c>
      <c r="M649" t="s">
        <v>28</v>
      </c>
      <c r="N649" t="s">
        <v>46</v>
      </c>
      <c r="P649" t="b">
        <v>1</v>
      </c>
      <c r="Q649">
        <v>7.1</v>
      </c>
      <c r="R649" t="b">
        <v>0</v>
      </c>
      <c r="T649">
        <v>0</v>
      </c>
      <c r="U649">
        <v>66.3</v>
      </c>
      <c r="V649" t="b">
        <v>1</v>
      </c>
      <c r="W649" t="s">
        <v>31</v>
      </c>
    </row>
    <row r="650" spans="1:23" x14ac:dyDescent="0.25">
      <c r="A650" t="s">
        <v>56</v>
      </c>
      <c r="B650" t="s">
        <v>76</v>
      </c>
      <c r="C650">
        <v>72.67</v>
      </c>
      <c r="D650">
        <v>738</v>
      </c>
      <c r="E650" t="b">
        <v>1</v>
      </c>
      <c r="F650" t="b">
        <v>0</v>
      </c>
      <c r="G650" t="b">
        <v>1</v>
      </c>
      <c r="H650" t="s">
        <v>34</v>
      </c>
      <c r="I650" t="s">
        <v>63</v>
      </c>
      <c r="J650" t="s">
        <v>27</v>
      </c>
      <c r="K650" t="s">
        <v>37</v>
      </c>
      <c r="L650" t="s">
        <v>51</v>
      </c>
      <c r="M650" t="s">
        <v>47</v>
      </c>
      <c r="N650" t="s">
        <v>28</v>
      </c>
      <c r="O650" t="b">
        <v>0</v>
      </c>
      <c r="P650" t="b">
        <v>1</v>
      </c>
      <c r="Q650">
        <v>6.8</v>
      </c>
      <c r="R650" t="b">
        <v>1</v>
      </c>
      <c r="S650" t="s">
        <v>65</v>
      </c>
      <c r="T650">
        <v>32.1</v>
      </c>
      <c r="U650">
        <v>74.55</v>
      </c>
      <c r="V650" t="b">
        <v>1</v>
      </c>
      <c r="W650" t="s">
        <v>41</v>
      </c>
    </row>
    <row r="651" spans="1:23" x14ac:dyDescent="0.25">
      <c r="A651" t="s">
        <v>74</v>
      </c>
      <c r="B651" t="s">
        <v>60</v>
      </c>
      <c r="C651">
        <v>59.17</v>
      </c>
      <c r="D651">
        <v>604</v>
      </c>
      <c r="E651" t="b">
        <v>1</v>
      </c>
      <c r="F651" t="b">
        <v>0</v>
      </c>
      <c r="G651" t="b">
        <v>0</v>
      </c>
      <c r="H651" t="s">
        <v>34</v>
      </c>
      <c r="I651" t="s">
        <v>63</v>
      </c>
      <c r="J651" t="s">
        <v>27</v>
      </c>
      <c r="K651" t="s">
        <v>28</v>
      </c>
      <c r="L651" t="s">
        <v>69</v>
      </c>
      <c r="M651" t="s">
        <v>46</v>
      </c>
      <c r="N651" t="s">
        <v>39</v>
      </c>
      <c r="O651" t="b">
        <v>0</v>
      </c>
      <c r="P651" t="b">
        <v>0</v>
      </c>
      <c r="Q651">
        <v>8</v>
      </c>
      <c r="R651" t="b">
        <v>0</v>
      </c>
      <c r="T651">
        <v>0</v>
      </c>
      <c r="U651">
        <v>63.38</v>
      </c>
      <c r="V651" t="b">
        <v>1</v>
      </c>
      <c r="W651" t="s">
        <v>58</v>
      </c>
    </row>
    <row r="652" spans="1:23" x14ac:dyDescent="0.25">
      <c r="A652" t="s">
        <v>61</v>
      </c>
      <c r="B652" t="s">
        <v>24</v>
      </c>
      <c r="C652">
        <v>91.96</v>
      </c>
      <c r="D652">
        <v>148</v>
      </c>
      <c r="E652" t="b">
        <v>1</v>
      </c>
      <c r="F652" t="b">
        <v>0</v>
      </c>
      <c r="G652" t="b">
        <v>0</v>
      </c>
      <c r="H652" t="s">
        <v>43</v>
      </c>
      <c r="I652" t="s">
        <v>57</v>
      </c>
      <c r="J652" t="s">
        <v>50</v>
      </c>
      <c r="K652" t="s">
        <v>46</v>
      </c>
      <c r="L652" t="s">
        <v>69</v>
      </c>
      <c r="M652" t="s">
        <v>28</v>
      </c>
      <c r="P652" t="b">
        <v>0</v>
      </c>
      <c r="Q652">
        <v>10</v>
      </c>
      <c r="R652" t="b">
        <v>0</v>
      </c>
      <c r="T652">
        <v>0</v>
      </c>
      <c r="U652">
        <v>90.13</v>
      </c>
      <c r="V652" t="b">
        <v>1</v>
      </c>
      <c r="W652" t="s">
        <v>58</v>
      </c>
    </row>
    <row r="653" spans="1:23" x14ac:dyDescent="0.25">
      <c r="A653" t="s">
        <v>23</v>
      </c>
      <c r="B653" t="s">
        <v>71</v>
      </c>
      <c r="C653">
        <v>46.8</v>
      </c>
      <c r="D653">
        <v>192</v>
      </c>
      <c r="E653" t="b">
        <v>0</v>
      </c>
      <c r="F653" t="b">
        <v>1</v>
      </c>
      <c r="G653" t="b">
        <v>0</v>
      </c>
      <c r="H653" t="s">
        <v>25</v>
      </c>
      <c r="I653" t="s">
        <v>63</v>
      </c>
      <c r="J653" t="s">
        <v>36</v>
      </c>
      <c r="K653" t="s">
        <v>37</v>
      </c>
      <c r="L653" t="s">
        <v>29</v>
      </c>
      <c r="M653" t="s">
        <v>46</v>
      </c>
      <c r="O653" t="b">
        <v>0</v>
      </c>
      <c r="P653" t="b">
        <v>0</v>
      </c>
      <c r="Q653">
        <v>3.6</v>
      </c>
      <c r="R653" t="b">
        <v>1</v>
      </c>
      <c r="S653" t="s">
        <v>65</v>
      </c>
      <c r="T653">
        <v>15.1</v>
      </c>
      <c r="U653">
        <v>30.87</v>
      </c>
      <c r="V653" t="b">
        <v>1</v>
      </c>
      <c r="W653" t="s">
        <v>72</v>
      </c>
    </row>
    <row r="654" spans="1:23" x14ac:dyDescent="0.25">
      <c r="A654" t="s">
        <v>68</v>
      </c>
      <c r="B654" t="s">
        <v>33</v>
      </c>
      <c r="C654">
        <v>89.44</v>
      </c>
      <c r="D654">
        <v>66</v>
      </c>
      <c r="E654" t="b">
        <v>1</v>
      </c>
      <c r="F654" t="b">
        <v>1</v>
      </c>
      <c r="G654" t="b">
        <v>1</v>
      </c>
      <c r="H654" t="s">
        <v>25</v>
      </c>
      <c r="I654" t="s">
        <v>67</v>
      </c>
      <c r="J654" t="s">
        <v>27</v>
      </c>
      <c r="K654" t="s">
        <v>37</v>
      </c>
      <c r="L654" t="s">
        <v>37</v>
      </c>
      <c r="M654" t="s">
        <v>39</v>
      </c>
      <c r="N654" t="s">
        <v>46</v>
      </c>
      <c r="O654" t="b">
        <v>1</v>
      </c>
      <c r="P654" t="b">
        <v>1</v>
      </c>
      <c r="Q654">
        <v>10</v>
      </c>
      <c r="R654" t="b">
        <v>1</v>
      </c>
      <c r="S654" t="s">
        <v>52</v>
      </c>
      <c r="T654">
        <v>20.399999999999999</v>
      </c>
      <c r="U654">
        <v>83.57</v>
      </c>
      <c r="V654" t="b">
        <v>1</v>
      </c>
      <c r="W654" t="s">
        <v>31</v>
      </c>
    </row>
    <row r="655" spans="1:23" x14ac:dyDescent="0.25">
      <c r="A655" t="s">
        <v>68</v>
      </c>
      <c r="B655" t="s">
        <v>59</v>
      </c>
      <c r="C655">
        <v>79.84</v>
      </c>
      <c r="D655">
        <v>381</v>
      </c>
      <c r="E655" t="b">
        <v>1</v>
      </c>
      <c r="F655" t="b">
        <v>1</v>
      </c>
      <c r="G655" t="b">
        <v>1</v>
      </c>
      <c r="H655" t="s">
        <v>34</v>
      </c>
      <c r="I655" t="s">
        <v>63</v>
      </c>
      <c r="J655" t="s">
        <v>36</v>
      </c>
      <c r="K655" t="s">
        <v>39</v>
      </c>
      <c r="L655" t="s">
        <v>29</v>
      </c>
      <c r="M655" t="s">
        <v>39</v>
      </c>
      <c r="N655" t="s">
        <v>46</v>
      </c>
      <c r="P655" t="b">
        <v>1</v>
      </c>
      <c r="Q655">
        <v>8.3000000000000007</v>
      </c>
      <c r="R655" t="b">
        <v>0</v>
      </c>
      <c r="T655">
        <v>0</v>
      </c>
      <c r="U655">
        <v>70.69</v>
      </c>
      <c r="V655" t="b">
        <v>1</v>
      </c>
      <c r="W655" t="s">
        <v>58</v>
      </c>
    </row>
    <row r="656" spans="1:23" x14ac:dyDescent="0.25">
      <c r="A656" t="s">
        <v>61</v>
      </c>
      <c r="B656" t="s">
        <v>71</v>
      </c>
      <c r="C656">
        <v>55.92</v>
      </c>
      <c r="D656">
        <v>602</v>
      </c>
      <c r="E656" t="b">
        <v>0</v>
      </c>
      <c r="F656" t="b">
        <v>0</v>
      </c>
      <c r="G656" t="b">
        <v>0</v>
      </c>
      <c r="H656" t="s">
        <v>25</v>
      </c>
      <c r="I656" t="s">
        <v>44</v>
      </c>
      <c r="J656" t="s">
        <v>45</v>
      </c>
      <c r="K656" t="s">
        <v>39</v>
      </c>
      <c r="L656" t="s">
        <v>29</v>
      </c>
      <c r="M656" t="s">
        <v>46</v>
      </c>
      <c r="N656" t="s">
        <v>46</v>
      </c>
      <c r="O656" t="b">
        <v>0</v>
      </c>
      <c r="P656" t="b">
        <v>0</v>
      </c>
      <c r="Q656">
        <v>4.4000000000000004</v>
      </c>
      <c r="R656" t="b">
        <v>0</v>
      </c>
      <c r="T656">
        <v>0</v>
      </c>
      <c r="U656">
        <v>31.19</v>
      </c>
      <c r="V656" t="b">
        <v>1</v>
      </c>
      <c r="W656" t="s">
        <v>41</v>
      </c>
    </row>
    <row r="657" spans="1:23" x14ac:dyDescent="0.25">
      <c r="A657" t="s">
        <v>23</v>
      </c>
      <c r="B657" t="s">
        <v>73</v>
      </c>
      <c r="C657">
        <v>57.18</v>
      </c>
      <c r="D657">
        <v>603</v>
      </c>
      <c r="E657" t="b">
        <v>0</v>
      </c>
      <c r="F657" t="b">
        <v>1</v>
      </c>
      <c r="G657" t="b">
        <v>1</v>
      </c>
      <c r="H657" t="s">
        <v>34</v>
      </c>
      <c r="I657" t="s">
        <v>44</v>
      </c>
      <c r="J657" t="s">
        <v>54</v>
      </c>
      <c r="K657" t="s">
        <v>46</v>
      </c>
      <c r="L657" t="s">
        <v>69</v>
      </c>
      <c r="M657" t="s">
        <v>28</v>
      </c>
      <c r="N657" t="s">
        <v>28</v>
      </c>
      <c r="P657" t="b">
        <v>1</v>
      </c>
      <c r="Q657">
        <v>7.5</v>
      </c>
      <c r="R657" t="b">
        <v>0</v>
      </c>
      <c r="T657">
        <v>0</v>
      </c>
      <c r="U657">
        <v>60.06</v>
      </c>
      <c r="V657" t="b">
        <v>1</v>
      </c>
      <c r="W657" t="s">
        <v>31</v>
      </c>
    </row>
    <row r="658" spans="1:23" x14ac:dyDescent="0.25">
      <c r="A658" t="s">
        <v>32</v>
      </c>
      <c r="B658" t="s">
        <v>70</v>
      </c>
      <c r="C658">
        <v>84.67</v>
      </c>
      <c r="D658">
        <v>664</v>
      </c>
      <c r="E658" t="b">
        <v>1</v>
      </c>
      <c r="F658" t="b">
        <v>1</v>
      </c>
      <c r="G658" t="b">
        <v>1</v>
      </c>
      <c r="H658" t="s">
        <v>25</v>
      </c>
      <c r="I658" t="s">
        <v>26</v>
      </c>
      <c r="J658" t="s">
        <v>45</v>
      </c>
      <c r="K658" t="s">
        <v>37</v>
      </c>
      <c r="L658" t="s">
        <v>69</v>
      </c>
      <c r="M658" t="s">
        <v>39</v>
      </c>
      <c r="N658" t="s">
        <v>46</v>
      </c>
      <c r="O658" t="b">
        <v>1</v>
      </c>
      <c r="P658" t="b">
        <v>0</v>
      </c>
      <c r="Q658">
        <v>10</v>
      </c>
      <c r="R658" t="b">
        <v>0</v>
      </c>
      <c r="T658">
        <v>0</v>
      </c>
      <c r="U658">
        <v>84.87</v>
      </c>
      <c r="V658" t="b">
        <v>1</v>
      </c>
      <c r="W658" t="s">
        <v>58</v>
      </c>
    </row>
    <row r="659" spans="1:23" x14ac:dyDescent="0.25">
      <c r="A659" t="s">
        <v>68</v>
      </c>
      <c r="B659" t="s">
        <v>70</v>
      </c>
      <c r="C659">
        <v>85.75</v>
      </c>
      <c r="D659">
        <v>728</v>
      </c>
      <c r="E659" t="b">
        <v>0</v>
      </c>
      <c r="F659" t="b">
        <v>0</v>
      </c>
      <c r="G659" t="b">
        <v>0</v>
      </c>
      <c r="H659" t="s">
        <v>53</v>
      </c>
      <c r="I659" t="s">
        <v>44</v>
      </c>
      <c r="J659" t="s">
        <v>54</v>
      </c>
      <c r="K659" t="s">
        <v>28</v>
      </c>
      <c r="L659" t="s">
        <v>29</v>
      </c>
      <c r="M659" t="s">
        <v>46</v>
      </c>
      <c r="N659" t="s">
        <v>46</v>
      </c>
      <c r="O659" t="b">
        <v>1</v>
      </c>
      <c r="P659" t="b">
        <v>0</v>
      </c>
      <c r="Q659">
        <v>10</v>
      </c>
      <c r="R659" t="b">
        <v>1</v>
      </c>
      <c r="S659" t="s">
        <v>55</v>
      </c>
      <c r="T659">
        <v>44</v>
      </c>
      <c r="U659">
        <v>97.23</v>
      </c>
      <c r="V659" t="b">
        <v>1</v>
      </c>
      <c r="W659" t="s">
        <v>31</v>
      </c>
    </row>
    <row r="660" spans="1:23" x14ac:dyDescent="0.25">
      <c r="A660" t="s">
        <v>68</v>
      </c>
      <c r="B660" t="s">
        <v>62</v>
      </c>
      <c r="C660">
        <v>50.03</v>
      </c>
      <c r="D660">
        <v>309</v>
      </c>
      <c r="E660" t="b">
        <v>0</v>
      </c>
      <c r="F660" t="b">
        <v>0</v>
      </c>
      <c r="G660" t="b">
        <v>1</v>
      </c>
      <c r="H660" t="s">
        <v>43</v>
      </c>
      <c r="I660" t="s">
        <v>44</v>
      </c>
      <c r="J660" t="s">
        <v>36</v>
      </c>
      <c r="K660" t="s">
        <v>39</v>
      </c>
      <c r="L660" t="s">
        <v>37</v>
      </c>
      <c r="M660" t="s">
        <v>47</v>
      </c>
      <c r="N660" t="s">
        <v>39</v>
      </c>
      <c r="O660" t="b">
        <v>1</v>
      </c>
      <c r="P660" t="b">
        <v>1</v>
      </c>
      <c r="Q660">
        <v>5.6</v>
      </c>
      <c r="R660" t="b">
        <v>1</v>
      </c>
      <c r="S660" t="s">
        <v>40</v>
      </c>
      <c r="T660">
        <v>35.200000000000003</v>
      </c>
      <c r="U660">
        <v>57.39</v>
      </c>
      <c r="V660" t="b">
        <v>1</v>
      </c>
      <c r="W660" t="s">
        <v>41</v>
      </c>
    </row>
    <row r="661" spans="1:23" x14ac:dyDescent="0.25">
      <c r="A661" t="s">
        <v>61</v>
      </c>
      <c r="B661" t="s">
        <v>59</v>
      </c>
      <c r="C661">
        <v>87.78</v>
      </c>
      <c r="D661">
        <v>443</v>
      </c>
      <c r="E661" t="b">
        <v>0</v>
      </c>
      <c r="F661" t="b">
        <v>1</v>
      </c>
      <c r="G661" t="b">
        <v>0</v>
      </c>
      <c r="H661" t="s">
        <v>53</v>
      </c>
      <c r="I661" t="s">
        <v>57</v>
      </c>
      <c r="J661" t="s">
        <v>36</v>
      </c>
      <c r="K661" t="s">
        <v>46</v>
      </c>
      <c r="L661" t="s">
        <v>37</v>
      </c>
      <c r="M661" t="s">
        <v>28</v>
      </c>
      <c r="O661" t="b">
        <v>0</v>
      </c>
      <c r="P661" t="b">
        <v>1</v>
      </c>
      <c r="Q661">
        <v>7.6</v>
      </c>
      <c r="R661" t="b">
        <v>1</v>
      </c>
      <c r="S661" t="s">
        <v>55</v>
      </c>
      <c r="T661">
        <v>42.5</v>
      </c>
      <c r="U661">
        <v>100</v>
      </c>
      <c r="V661" t="b">
        <v>0</v>
      </c>
      <c r="W661" t="s">
        <v>41</v>
      </c>
    </row>
    <row r="662" spans="1:23" x14ac:dyDescent="0.25">
      <c r="A662" t="s">
        <v>32</v>
      </c>
      <c r="B662" t="s">
        <v>62</v>
      </c>
      <c r="C662">
        <v>65.77</v>
      </c>
      <c r="D662">
        <v>559</v>
      </c>
      <c r="E662" t="b">
        <v>0</v>
      </c>
      <c r="F662" t="b">
        <v>0</v>
      </c>
      <c r="G662" t="b">
        <v>0</v>
      </c>
      <c r="H662" t="s">
        <v>34</v>
      </c>
      <c r="I662" t="s">
        <v>44</v>
      </c>
      <c r="J662" t="s">
        <v>27</v>
      </c>
      <c r="K662" t="s">
        <v>37</v>
      </c>
      <c r="L662" t="s">
        <v>51</v>
      </c>
      <c r="M662" t="s">
        <v>46</v>
      </c>
      <c r="N662" t="s">
        <v>28</v>
      </c>
      <c r="O662" t="b">
        <v>0</v>
      </c>
      <c r="P662" t="b">
        <v>1</v>
      </c>
      <c r="Q662">
        <v>5.9</v>
      </c>
      <c r="R662" t="b">
        <v>1</v>
      </c>
      <c r="S662" t="s">
        <v>65</v>
      </c>
      <c r="T662">
        <v>3.9</v>
      </c>
      <c r="U662">
        <v>78.56</v>
      </c>
      <c r="V662" t="b">
        <v>1</v>
      </c>
      <c r="W662" t="s">
        <v>41</v>
      </c>
    </row>
    <row r="663" spans="1:23" x14ac:dyDescent="0.25">
      <c r="A663" t="s">
        <v>32</v>
      </c>
      <c r="B663" t="s">
        <v>62</v>
      </c>
      <c r="C663">
        <v>57.21</v>
      </c>
      <c r="D663">
        <v>641</v>
      </c>
      <c r="E663" t="b">
        <v>1</v>
      </c>
      <c r="F663" t="b">
        <v>1</v>
      </c>
      <c r="G663" t="b">
        <v>1</v>
      </c>
      <c r="H663" t="s">
        <v>53</v>
      </c>
      <c r="I663" t="s">
        <v>57</v>
      </c>
      <c r="J663" t="s">
        <v>50</v>
      </c>
      <c r="K663" t="s">
        <v>46</v>
      </c>
      <c r="L663" t="s">
        <v>37</v>
      </c>
      <c r="M663" t="s">
        <v>47</v>
      </c>
      <c r="N663" t="s">
        <v>39</v>
      </c>
      <c r="P663" t="b">
        <v>1</v>
      </c>
      <c r="Q663">
        <v>5.2</v>
      </c>
      <c r="R663" t="b">
        <v>1</v>
      </c>
      <c r="S663" t="s">
        <v>64</v>
      </c>
      <c r="T663">
        <v>34.6</v>
      </c>
      <c r="U663">
        <v>59.12</v>
      </c>
      <c r="V663" t="b">
        <v>1</v>
      </c>
      <c r="W663" t="s">
        <v>41</v>
      </c>
    </row>
    <row r="664" spans="1:23" x14ac:dyDescent="0.25">
      <c r="A664" t="s">
        <v>61</v>
      </c>
      <c r="B664" t="s">
        <v>49</v>
      </c>
      <c r="C664">
        <v>73.56</v>
      </c>
      <c r="D664">
        <v>556</v>
      </c>
      <c r="E664" t="b">
        <v>1</v>
      </c>
      <c r="F664" t="b">
        <v>0</v>
      </c>
      <c r="G664" t="b">
        <v>0</v>
      </c>
      <c r="H664" t="s">
        <v>34</v>
      </c>
      <c r="I664" t="s">
        <v>63</v>
      </c>
      <c r="J664" t="s">
        <v>27</v>
      </c>
      <c r="K664" t="s">
        <v>28</v>
      </c>
      <c r="L664" t="s">
        <v>29</v>
      </c>
      <c r="M664" t="s">
        <v>28</v>
      </c>
      <c r="N664" t="s">
        <v>46</v>
      </c>
      <c r="P664" t="b">
        <v>0</v>
      </c>
      <c r="Q664">
        <v>9.5</v>
      </c>
      <c r="R664" t="b">
        <v>1</v>
      </c>
      <c r="S664" t="s">
        <v>75</v>
      </c>
      <c r="T664">
        <v>26.5</v>
      </c>
      <c r="U664">
        <v>87.03</v>
      </c>
      <c r="V664" t="b">
        <v>1</v>
      </c>
      <c r="W664" t="s">
        <v>31</v>
      </c>
    </row>
    <row r="665" spans="1:23" x14ac:dyDescent="0.25">
      <c r="A665" t="s">
        <v>68</v>
      </c>
      <c r="B665" t="s">
        <v>60</v>
      </c>
      <c r="C665">
        <v>48.51</v>
      </c>
      <c r="D665">
        <v>71</v>
      </c>
      <c r="E665" t="b">
        <v>1</v>
      </c>
      <c r="F665" t="b">
        <v>1</v>
      </c>
      <c r="G665" t="b">
        <v>0</v>
      </c>
      <c r="H665" t="s">
        <v>34</v>
      </c>
      <c r="I665" t="s">
        <v>35</v>
      </c>
      <c r="J665" t="s">
        <v>45</v>
      </c>
      <c r="K665" t="s">
        <v>39</v>
      </c>
      <c r="L665" t="s">
        <v>38</v>
      </c>
      <c r="M665" t="s">
        <v>39</v>
      </c>
      <c r="N665" t="s">
        <v>39</v>
      </c>
      <c r="O665" t="b">
        <v>1</v>
      </c>
      <c r="P665" t="b">
        <v>1</v>
      </c>
      <c r="Q665">
        <v>7.9</v>
      </c>
      <c r="R665" t="b">
        <v>1</v>
      </c>
      <c r="S665" t="s">
        <v>30</v>
      </c>
      <c r="T665">
        <v>8.1999999999999993</v>
      </c>
      <c r="U665">
        <v>40.53</v>
      </c>
      <c r="V665" t="b">
        <v>0</v>
      </c>
      <c r="W665" t="s">
        <v>41</v>
      </c>
    </row>
    <row r="666" spans="1:23" x14ac:dyDescent="0.25">
      <c r="A666" t="s">
        <v>68</v>
      </c>
      <c r="B666" t="s">
        <v>24</v>
      </c>
      <c r="C666">
        <v>94.38</v>
      </c>
      <c r="D666">
        <v>427</v>
      </c>
      <c r="E666" t="b">
        <v>1</v>
      </c>
      <c r="F666" t="b">
        <v>1</v>
      </c>
      <c r="G666" t="b">
        <v>0</v>
      </c>
      <c r="H666" t="s">
        <v>25</v>
      </c>
      <c r="I666" t="s">
        <v>35</v>
      </c>
      <c r="J666" t="s">
        <v>36</v>
      </c>
      <c r="K666" t="s">
        <v>37</v>
      </c>
      <c r="L666" t="s">
        <v>69</v>
      </c>
      <c r="M666" t="s">
        <v>28</v>
      </c>
      <c r="N666" t="s">
        <v>39</v>
      </c>
      <c r="O666" t="b">
        <v>1</v>
      </c>
      <c r="P666" t="b">
        <v>0</v>
      </c>
      <c r="Q666">
        <v>10</v>
      </c>
      <c r="R666" t="b">
        <v>1</v>
      </c>
      <c r="S666" t="s">
        <v>65</v>
      </c>
      <c r="T666">
        <v>22.9</v>
      </c>
      <c r="U666">
        <v>83.39</v>
      </c>
      <c r="V666" t="b">
        <v>1</v>
      </c>
      <c r="W666" t="s">
        <v>31</v>
      </c>
    </row>
    <row r="667" spans="1:23" x14ac:dyDescent="0.25">
      <c r="A667" t="s">
        <v>23</v>
      </c>
      <c r="B667" t="s">
        <v>70</v>
      </c>
      <c r="C667">
        <v>83.83</v>
      </c>
      <c r="D667">
        <v>448</v>
      </c>
      <c r="E667" t="b">
        <v>1</v>
      </c>
      <c r="F667" t="b">
        <v>1</v>
      </c>
      <c r="G667" t="b">
        <v>0</v>
      </c>
      <c r="H667" t="s">
        <v>53</v>
      </c>
      <c r="I667" t="s">
        <v>63</v>
      </c>
      <c r="J667" t="s">
        <v>27</v>
      </c>
      <c r="K667" t="s">
        <v>46</v>
      </c>
      <c r="L667" t="s">
        <v>51</v>
      </c>
      <c r="M667" t="s">
        <v>46</v>
      </c>
      <c r="N667" t="s">
        <v>28</v>
      </c>
      <c r="O667" t="b">
        <v>0</v>
      </c>
      <c r="P667" t="b">
        <v>1</v>
      </c>
      <c r="Q667">
        <v>8.6</v>
      </c>
      <c r="R667" t="b">
        <v>0</v>
      </c>
      <c r="T667">
        <v>0</v>
      </c>
      <c r="U667">
        <v>69.52</v>
      </c>
      <c r="V667" t="b">
        <v>1</v>
      </c>
      <c r="W667" t="s">
        <v>58</v>
      </c>
    </row>
    <row r="668" spans="1:23" x14ac:dyDescent="0.25">
      <c r="A668" t="s">
        <v>23</v>
      </c>
      <c r="B668" t="s">
        <v>60</v>
      </c>
      <c r="C668">
        <v>59.1</v>
      </c>
      <c r="D668">
        <v>237</v>
      </c>
      <c r="E668" t="b">
        <v>1</v>
      </c>
      <c r="F668" t="b">
        <v>0</v>
      </c>
      <c r="G668" t="b">
        <v>0</v>
      </c>
      <c r="H668" t="s">
        <v>53</v>
      </c>
      <c r="I668" t="s">
        <v>63</v>
      </c>
      <c r="J668" t="s">
        <v>27</v>
      </c>
      <c r="K668" t="s">
        <v>28</v>
      </c>
      <c r="L668" t="s">
        <v>29</v>
      </c>
      <c r="M668" t="s">
        <v>46</v>
      </c>
      <c r="N668" t="s">
        <v>39</v>
      </c>
      <c r="O668" t="b">
        <v>1</v>
      </c>
      <c r="P668" t="b">
        <v>1</v>
      </c>
      <c r="Q668">
        <v>9.1999999999999993</v>
      </c>
      <c r="R668" t="b">
        <v>0</v>
      </c>
      <c r="T668">
        <v>0</v>
      </c>
      <c r="U668">
        <v>67.41</v>
      </c>
      <c r="V668" t="b">
        <v>0</v>
      </c>
      <c r="W668" t="s">
        <v>58</v>
      </c>
    </row>
    <row r="669" spans="1:23" x14ac:dyDescent="0.25">
      <c r="A669" t="s">
        <v>74</v>
      </c>
      <c r="B669" t="s">
        <v>73</v>
      </c>
      <c r="C669">
        <v>64.489999999999995</v>
      </c>
      <c r="D669">
        <v>203</v>
      </c>
      <c r="E669" t="b">
        <v>0</v>
      </c>
      <c r="F669" t="b">
        <v>1</v>
      </c>
      <c r="G669" t="b">
        <v>0</v>
      </c>
      <c r="H669" t="s">
        <v>25</v>
      </c>
      <c r="I669" t="s">
        <v>35</v>
      </c>
      <c r="J669" t="s">
        <v>50</v>
      </c>
      <c r="K669" t="s">
        <v>28</v>
      </c>
      <c r="L669" t="s">
        <v>51</v>
      </c>
      <c r="M669" t="s">
        <v>47</v>
      </c>
      <c r="P669" t="b">
        <v>0</v>
      </c>
      <c r="Q669">
        <v>5.3</v>
      </c>
      <c r="R669" t="b">
        <v>1</v>
      </c>
      <c r="S669" t="s">
        <v>64</v>
      </c>
      <c r="T669">
        <v>27.4</v>
      </c>
      <c r="U669">
        <v>57.8</v>
      </c>
      <c r="V669" t="b">
        <v>1</v>
      </c>
      <c r="W669" t="s">
        <v>41</v>
      </c>
    </row>
    <row r="670" spans="1:23" x14ac:dyDescent="0.25">
      <c r="A670" t="s">
        <v>61</v>
      </c>
      <c r="B670" t="s">
        <v>66</v>
      </c>
      <c r="C670">
        <v>63.52</v>
      </c>
      <c r="D670">
        <v>491</v>
      </c>
      <c r="E670" t="b">
        <v>0</v>
      </c>
      <c r="F670" t="b">
        <v>0</v>
      </c>
      <c r="G670" t="b">
        <v>0</v>
      </c>
      <c r="H670" t="s">
        <v>53</v>
      </c>
      <c r="I670" t="s">
        <v>67</v>
      </c>
      <c r="J670" t="s">
        <v>45</v>
      </c>
      <c r="K670" t="s">
        <v>28</v>
      </c>
      <c r="L670" t="s">
        <v>51</v>
      </c>
      <c r="M670" t="s">
        <v>47</v>
      </c>
      <c r="N670" t="s">
        <v>28</v>
      </c>
      <c r="P670" t="b">
        <v>1</v>
      </c>
      <c r="Q670">
        <v>6.2</v>
      </c>
      <c r="R670" t="b">
        <v>1</v>
      </c>
      <c r="S670" t="s">
        <v>30</v>
      </c>
      <c r="T670">
        <v>8.8000000000000007</v>
      </c>
      <c r="U670">
        <v>39.71</v>
      </c>
      <c r="V670" t="b">
        <v>0</v>
      </c>
      <c r="W670" t="s">
        <v>41</v>
      </c>
    </row>
    <row r="671" spans="1:23" x14ac:dyDescent="0.25">
      <c r="A671" t="s">
        <v>23</v>
      </c>
      <c r="B671" t="s">
        <v>49</v>
      </c>
      <c r="C671">
        <v>75.25</v>
      </c>
      <c r="D671">
        <v>66</v>
      </c>
      <c r="E671" t="b">
        <v>0</v>
      </c>
      <c r="F671" t="b">
        <v>1</v>
      </c>
      <c r="G671" t="b">
        <v>0</v>
      </c>
      <c r="H671" t="s">
        <v>53</v>
      </c>
      <c r="I671" t="s">
        <v>63</v>
      </c>
      <c r="J671" t="s">
        <v>27</v>
      </c>
      <c r="K671" t="s">
        <v>28</v>
      </c>
      <c r="L671" t="s">
        <v>69</v>
      </c>
      <c r="M671" t="s">
        <v>28</v>
      </c>
      <c r="N671" t="s">
        <v>28</v>
      </c>
      <c r="O671" t="b">
        <v>0</v>
      </c>
      <c r="P671" t="b">
        <v>1</v>
      </c>
      <c r="Q671">
        <v>8.3000000000000007</v>
      </c>
      <c r="R671" t="b">
        <v>0</v>
      </c>
      <c r="T671">
        <v>0</v>
      </c>
      <c r="U671">
        <v>73.459999999999994</v>
      </c>
      <c r="V671" t="b">
        <v>1</v>
      </c>
      <c r="W671" t="s">
        <v>58</v>
      </c>
    </row>
    <row r="672" spans="1:23" x14ac:dyDescent="0.25">
      <c r="A672" t="s">
        <v>61</v>
      </c>
      <c r="B672" t="s">
        <v>49</v>
      </c>
      <c r="C672">
        <v>76.41</v>
      </c>
      <c r="D672">
        <v>199</v>
      </c>
      <c r="E672" t="b">
        <v>1</v>
      </c>
      <c r="F672" t="b">
        <v>1</v>
      </c>
      <c r="G672" t="b">
        <v>0</v>
      </c>
      <c r="H672" t="s">
        <v>34</v>
      </c>
      <c r="I672" t="s">
        <v>35</v>
      </c>
      <c r="J672" t="s">
        <v>45</v>
      </c>
      <c r="K672" t="s">
        <v>46</v>
      </c>
      <c r="L672" t="s">
        <v>29</v>
      </c>
      <c r="M672" t="s">
        <v>39</v>
      </c>
      <c r="O672" t="b">
        <v>0</v>
      </c>
      <c r="P672" t="b">
        <v>1</v>
      </c>
      <c r="Q672">
        <v>7.6</v>
      </c>
      <c r="R672" t="b">
        <v>1</v>
      </c>
      <c r="S672" t="s">
        <v>40</v>
      </c>
      <c r="T672">
        <v>23.3</v>
      </c>
      <c r="U672">
        <v>74.900000000000006</v>
      </c>
      <c r="V672" t="b">
        <v>1</v>
      </c>
      <c r="W672" t="s">
        <v>41</v>
      </c>
    </row>
    <row r="673" spans="1:23" x14ac:dyDescent="0.25">
      <c r="A673" t="s">
        <v>61</v>
      </c>
      <c r="B673" t="s">
        <v>62</v>
      </c>
      <c r="C673">
        <v>54.3</v>
      </c>
      <c r="D673">
        <v>423</v>
      </c>
      <c r="E673" t="b">
        <v>0</v>
      </c>
      <c r="F673" t="b">
        <v>1</v>
      </c>
      <c r="G673" t="b">
        <v>0</v>
      </c>
      <c r="H673" t="s">
        <v>53</v>
      </c>
      <c r="I673" t="s">
        <v>67</v>
      </c>
      <c r="J673" t="s">
        <v>36</v>
      </c>
      <c r="K673" t="s">
        <v>37</v>
      </c>
      <c r="L673" t="s">
        <v>69</v>
      </c>
      <c r="M673" t="s">
        <v>28</v>
      </c>
      <c r="N673" t="s">
        <v>28</v>
      </c>
      <c r="O673" t="b">
        <v>1</v>
      </c>
      <c r="P673" t="b">
        <v>0</v>
      </c>
      <c r="Q673">
        <v>7.7</v>
      </c>
      <c r="R673" t="b">
        <v>1</v>
      </c>
      <c r="S673" t="s">
        <v>30</v>
      </c>
      <c r="T673">
        <v>43.2</v>
      </c>
      <c r="U673">
        <v>61.44</v>
      </c>
      <c r="V673" t="b">
        <v>1</v>
      </c>
      <c r="W673" t="s">
        <v>41</v>
      </c>
    </row>
    <row r="674" spans="1:23" x14ac:dyDescent="0.25">
      <c r="A674" t="s">
        <v>74</v>
      </c>
      <c r="B674" t="s">
        <v>59</v>
      </c>
      <c r="C674">
        <v>94.42</v>
      </c>
      <c r="D674">
        <v>684</v>
      </c>
      <c r="E674" t="b">
        <v>1</v>
      </c>
      <c r="F674" t="b">
        <v>1</v>
      </c>
      <c r="G674" t="b">
        <v>0</v>
      </c>
      <c r="H674" t="s">
        <v>53</v>
      </c>
      <c r="I674" t="s">
        <v>67</v>
      </c>
      <c r="J674" t="s">
        <v>54</v>
      </c>
      <c r="K674" t="s">
        <v>39</v>
      </c>
      <c r="L674" t="s">
        <v>37</v>
      </c>
      <c r="M674" t="s">
        <v>39</v>
      </c>
      <c r="P674" t="b">
        <v>1</v>
      </c>
      <c r="Q674">
        <v>9.6999999999999993</v>
      </c>
      <c r="R674" t="b">
        <v>1</v>
      </c>
      <c r="S674" t="s">
        <v>65</v>
      </c>
      <c r="T674">
        <v>38.200000000000003</v>
      </c>
      <c r="U674">
        <v>83.9</v>
      </c>
      <c r="V674" t="b">
        <v>1</v>
      </c>
      <c r="W674" t="s">
        <v>31</v>
      </c>
    </row>
    <row r="675" spans="1:23" x14ac:dyDescent="0.25">
      <c r="A675" t="s">
        <v>32</v>
      </c>
      <c r="B675" t="s">
        <v>42</v>
      </c>
      <c r="C675">
        <v>76.98</v>
      </c>
      <c r="D675">
        <v>507</v>
      </c>
      <c r="E675" t="b">
        <v>1</v>
      </c>
      <c r="F675" t="b">
        <v>0</v>
      </c>
      <c r="G675" t="b">
        <v>0</v>
      </c>
      <c r="H675" t="s">
        <v>43</v>
      </c>
      <c r="I675" t="s">
        <v>44</v>
      </c>
      <c r="J675" t="s">
        <v>36</v>
      </c>
      <c r="K675" t="s">
        <v>46</v>
      </c>
      <c r="L675" t="s">
        <v>37</v>
      </c>
      <c r="M675" t="s">
        <v>28</v>
      </c>
      <c r="N675" t="s">
        <v>46</v>
      </c>
      <c r="O675" t="b">
        <v>1</v>
      </c>
      <c r="P675" t="b">
        <v>0</v>
      </c>
      <c r="Q675">
        <v>10</v>
      </c>
      <c r="R675" t="b">
        <v>1</v>
      </c>
      <c r="S675" t="s">
        <v>75</v>
      </c>
      <c r="T675">
        <v>5</v>
      </c>
      <c r="U675">
        <v>64.540000000000006</v>
      </c>
      <c r="V675" t="b">
        <v>0</v>
      </c>
      <c r="W675" t="s">
        <v>31</v>
      </c>
    </row>
    <row r="676" spans="1:23" x14ac:dyDescent="0.25">
      <c r="A676" t="s">
        <v>61</v>
      </c>
      <c r="B676" t="s">
        <v>76</v>
      </c>
      <c r="C676">
        <v>89.04</v>
      </c>
      <c r="D676">
        <v>435</v>
      </c>
      <c r="E676" t="b">
        <v>1</v>
      </c>
      <c r="F676" t="b">
        <v>0</v>
      </c>
      <c r="G676" t="b">
        <v>0</v>
      </c>
      <c r="H676" t="s">
        <v>25</v>
      </c>
      <c r="I676" t="s">
        <v>67</v>
      </c>
      <c r="J676" t="s">
        <v>36</v>
      </c>
      <c r="K676" t="s">
        <v>37</v>
      </c>
      <c r="L676" t="s">
        <v>29</v>
      </c>
      <c r="M676" t="s">
        <v>28</v>
      </c>
      <c r="N676" t="s">
        <v>28</v>
      </c>
      <c r="O676" t="b">
        <v>0</v>
      </c>
      <c r="P676" t="b">
        <v>0</v>
      </c>
      <c r="Q676">
        <v>9.8000000000000007</v>
      </c>
      <c r="R676" t="b">
        <v>0</v>
      </c>
      <c r="T676">
        <v>0</v>
      </c>
      <c r="U676">
        <v>94.1</v>
      </c>
      <c r="V676" t="b">
        <v>1</v>
      </c>
      <c r="W676" t="s">
        <v>58</v>
      </c>
    </row>
    <row r="677" spans="1:23" x14ac:dyDescent="0.25">
      <c r="A677" t="s">
        <v>68</v>
      </c>
      <c r="B677" t="s">
        <v>42</v>
      </c>
      <c r="C677">
        <v>81.95</v>
      </c>
      <c r="D677">
        <v>323</v>
      </c>
      <c r="E677" t="b">
        <v>0</v>
      </c>
      <c r="F677" t="b">
        <v>1</v>
      </c>
      <c r="G677" t="b">
        <v>0</v>
      </c>
      <c r="H677" t="s">
        <v>53</v>
      </c>
      <c r="I677" t="s">
        <v>67</v>
      </c>
      <c r="J677" t="s">
        <v>45</v>
      </c>
      <c r="K677" t="s">
        <v>46</v>
      </c>
      <c r="L677" t="s">
        <v>69</v>
      </c>
      <c r="M677" t="s">
        <v>39</v>
      </c>
      <c r="N677" t="s">
        <v>28</v>
      </c>
      <c r="O677" t="b">
        <v>0</v>
      </c>
      <c r="P677" t="b">
        <v>0</v>
      </c>
      <c r="Q677">
        <v>7.4</v>
      </c>
      <c r="R677" t="b">
        <v>0</v>
      </c>
      <c r="T677">
        <v>0</v>
      </c>
      <c r="U677">
        <v>71.739999999999995</v>
      </c>
      <c r="V677" t="b">
        <v>1</v>
      </c>
      <c r="W677" t="s">
        <v>31</v>
      </c>
    </row>
    <row r="678" spans="1:23" x14ac:dyDescent="0.25">
      <c r="A678" t="s">
        <v>56</v>
      </c>
      <c r="B678" t="s">
        <v>59</v>
      </c>
      <c r="C678">
        <v>77.349999999999994</v>
      </c>
      <c r="D678">
        <v>749</v>
      </c>
      <c r="E678" t="b">
        <v>0</v>
      </c>
      <c r="F678" t="b">
        <v>1</v>
      </c>
      <c r="G678" t="b">
        <v>1</v>
      </c>
      <c r="H678" t="s">
        <v>53</v>
      </c>
      <c r="I678" t="s">
        <v>26</v>
      </c>
      <c r="J678" t="s">
        <v>36</v>
      </c>
      <c r="K678" t="s">
        <v>37</v>
      </c>
      <c r="L678" t="s">
        <v>69</v>
      </c>
      <c r="M678" t="s">
        <v>39</v>
      </c>
      <c r="N678" t="s">
        <v>39</v>
      </c>
      <c r="P678" t="b">
        <v>1</v>
      </c>
      <c r="Q678">
        <v>7</v>
      </c>
      <c r="R678" t="b">
        <v>1</v>
      </c>
      <c r="S678" t="s">
        <v>30</v>
      </c>
      <c r="T678">
        <v>40.6</v>
      </c>
      <c r="U678">
        <v>80.989999999999995</v>
      </c>
      <c r="V678" t="b">
        <v>1</v>
      </c>
      <c r="W678" t="s">
        <v>41</v>
      </c>
    </row>
    <row r="679" spans="1:23" x14ac:dyDescent="0.25">
      <c r="A679" t="s">
        <v>23</v>
      </c>
      <c r="B679" t="s">
        <v>70</v>
      </c>
      <c r="C679">
        <v>94.64</v>
      </c>
      <c r="D679">
        <v>520</v>
      </c>
      <c r="E679" t="b">
        <v>1</v>
      </c>
      <c r="F679" t="b">
        <v>1</v>
      </c>
      <c r="G679" t="b">
        <v>0</v>
      </c>
      <c r="H679" t="s">
        <v>53</v>
      </c>
      <c r="I679" t="s">
        <v>44</v>
      </c>
      <c r="J679" t="s">
        <v>54</v>
      </c>
      <c r="K679" t="s">
        <v>28</v>
      </c>
      <c r="L679" t="s">
        <v>38</v>
      </c>
      <c r="M679" t="s">
        <v>39</v>
      </c>
      <c r="N679" t="s">
        <v>28</v>
      </c>
      <c r="O679" t="b">
        <v>0</v>
      </c>
      <c r="P679" t="b">
        <v>0</v>
      </c>
      <c r="Q679">
        <v>10</v>
      </c>
      <c r="R679" t="b">
        <v>1</v>
      </c>
      <c r="S679" t="s">
        <v>40</v>
      </c>
      <c r="T679">
        <v>31.8</v>
      </c>
      <c r="U679">
        <v>96.59</v>
      </c>
      <c r="V679" t="b">
        <v>1</v>
      </c>
      <c r="W679" t="s">
        <v>31</v>
      </c>
    </row>
    <row r="680" spans="1:23" x14ac:dyDescent="0.25">
      <c r="A680" t="s">
        <v>56</v>
      </c>
      <c r="B680" t="s">
        <v>42</v>
      </c>
      <c r="C680">
        <v>66.47</v>
      </c>
      <c r="D680">
        <v>293</v>
      </c>
      <c r="E680" t="b">
        <v>0</v>
      </c>
      <c r="F680" t="b">
        <v>1</v>
      </c>
      <c r="G680" t="b">
        <v>1</v>
      </c>
      <c r="H680" t="s">
        <v>25</v>
      </c>
      <c r="I680" t="s">
        <v>44</v>
      </c>
      <c r="J680" t="s">
        <v>36</v>
      </c>
      <c r="K680" t="s">
        <v>28</v>
      </c>
      <c r="L680" t="s">
        <v>69</v>
      </c>
      <c r="M680" t="s">
        <v>28</v>
      </c>
      <c r="P680" t="b">
        <v>0</v>
      </c>
      <c r="Q680">
        <v>8.1</v>
      </c>
      <c r="R680" t="b">
        <v>1</v>
      </c>
      <c r="S680" t="s">
        <v>65</v>
      </c>
      <c r="T680">
        <v>31.5</v>
      </c>
      <c r="U680">
        <v>78.87</v>
      </c>
      <c r="V680" t="b">
        <v>1</v>
      </c>
      <c r="W680" t="s">
        <v>31</v>
      </c>
    </row>
    <row r="681" spans="1:23" x14ac:dyDescent="0.25">
      <c r="A681" t="s">
        <v>23</v>
      </c>
      <c r="B681" t="s">
        <v>33</v>
      </c>
      <c r="C681">
        <v>87.27</v>
      </c>
      <c r="D681">
        <v>165</v>
      </c>
      <c r="E681" t="b">
        <v>0</v>
      </c>
      <c r="F681" t="b">
        <v>1</v>
      </c>
      <c r="G681" t="b">
        <v>0</v>
      </c>
      <c r="H681" t="s">
        <v>53</v>
      </c>
      <c r="I681" t="s">
        <v>44</v>
      </c>
      <c r="J681" t="s">
        <v>27</v>
      </c>
      <c r="K681" t="s">
        <v>37</v>
      </c>
      <c r="L681" t="s">
        <v>37</v>
      </c>
      <c r="M681" t="s">
        <v>46</v>
      </c>
      <c r="N681" t="s">
        <v>39</v>
      </c>
      <c r="O681" t="b">
        <v>1</v>
      </c>
      <c r="P681" t="b">
        <v>0</v>
      </c>
      <c r="Q681">
        <v>9.3000000000000007</v>
      </c>
      <c r="R681" t="b">
        <v>0</v>
      </c>
      <c r="T681">
        <v>0</v>
      </c>
      <c r="U681">
        <v>81.11</v>
      </c>
      <c r="V681" t="b">
        <v>1</v>
      </c>
      <c r="W681" t="s">
        <v>58</v>
      </c>
    </row>
    <row r="682" spans="1:23" x14ac:dyDescent="0.25">
      <c r="A682" t="s">
        <v>68</v>
      </c>
      <c r="B682" t="s">
        <v>76</v>
      </c>
      <c r="C682">
        <v>72.67</v>
      </c>
      <c r="D682">
        <v>470</v>
      </c>
      <c r="E682" t="b">
        <v>1</v>
      </c>
      <c r="F682" t="b">
        <v>1</v>
      </c>
      <c r="G682" t="b">
        <v>1</v>
      </c>
      <c r="H682" t="s">
        <v>43</v>
      </c>
      <c r="I682" t="s">
        <v>35</v>
      </c>
      <c r="J682" t="s">
        <v>27</v>
      </c>
      <c r="K682" t="s">
        <v>46</v>
      </c>
      <c r="L682" t="s">
        <v>29</v>
      </c>
      <c r="M682" t="s">
        <v>47</v>
      </c>
      <c r="N682" t="s">
        <v>46</v>
      </c>
      <c r="O682" t="b">
        <v>0</v>
      </c>
      <c r="P682" t="b">
        <v>1</v>
      </c>
      <c r="Q682">
        <v>6.7</v>
      </c>
      <c r="R682" t="b">
        <v>1</v>
      </c>
      <c r="S682" t="s">
        <v>55</v>
      </c>
      <c r="T682">
        <v>36.4</v>
      </c>
      <c r="U682">
        <v>78.790000000000006</v>
      </c>
      <c r="V682" t="b">
        <v>1</v>
      </c>
      <c r="W682" t="s">
        <v>41</v>
      </c>
    </row>
    <row r="683" spans="1:23" x14ac:dyDescent="0.25">
      <c r="A683" t="s">
        <v>23</v>
      </c>
      <c r="B683" t="s">
        <v>62</v>
      </c>
      <c r="C683">
        <v>73.040000000000006</v>
      </c>
      <c r="D683">
        <v>624</v>
      </c>
      <c r="E683" t="b">
        <v>0</v>
      </c>
      <c r="F683" t="b">
        <v>0</v>
      </c>
      <c r="G683" t="b">
        <v>0</v>
      </c>
      <c r="H683" t="s">
        <v>53</v>
      </c>
      <c r="I683" t="s">
        <v>67</v>
      </c>
      <c r="J683" t="s">
        <v>54</v>
      </c>
      <c r="K683" t="s">
        <v>39</v>
      </c>
      <c r="L683" t="s">
        <v>38</v>
      </c>
      <c r="M683" t="s">
        <v>47</v>
      </c>
      <c r="N683" t="s">
        <v>39</v>
      </c>
      <c r="O683" t="b">
        <v>1</v>
      </c>
      <c r="P683" t="b">
        <v>0</v>
      </c>
      <c r="Q683">
        <v>8.6</v>
      </c>
      <c r="R683" t="b">
        <v>1</v>
      </c>
      <c r="S683" t="s">
        <v>55</v>
      </c>
      <c r="T683">
        <v>29.1</v>
      </c>
      <c r="U683">
        <v>78.02</v>
      </c>
      <c r="V683" t="b">
        <v>1</v>
      </c>
      <c r="W683" t="s">
        <v>31</v>
      </c>
    </row>
    <row r="684" spans="1:23" x14ac:dyDescent="0.25">
      <c r="A684" t="s">
        <v>68</v>
      </c>
      <c r="B684" t="s">
        <v>71</v>
      </c>
      <c r="C684">
        <v>58.32</v>
      </c>
      <c r="D684">
        <v>725</v>
      </c>
      <c r="E684" t="b">
        <v>0</v>
      </c>
      <c r="F684" t="b">
        <v>1</v>
      </c>
      <c r="G684" t="b">
        <v>0</v>
      </c>
      <c r="H684" t="s">
        <v>25</v>
      </c>
      <c r="I684" t="s">
        <v>44</v>
      </c>
      <c r="J684" t="s">
        <v>36</v>
      </c>
      <c r="K684" t="s">
        <v>28</v>
      </c>
      <c r="L684" t="s">
        <v>38</v>
      </c>
      <c r="M684" t="s">
        <v>28</v>
      </c>
      <c r="N684" t="s">
        <v>46</v>
      </c>
      <c r="P684" t="b">
        <v>0</v>
      </c>
      <c r="Q684">
        <v>7.8</v>
      </c>
      <c r="R684" t="b">
        <v>1</v>
      </c>
      <c r="S684" t="s">
        <v>52</v>
      </c>
      <c r="T684">
        <v>25.5</v>
      </c>
      <c r="U684">
        <v>60.13</v>
      </c>
      <c r="V684" t="b">
        <v>1</v>
      </c>
      <c r="W684" t="s">
        <v>41</v>
      </c>
    </row>
    <row r="685" spans="1:23" x14ac:dyDescent="0.25">
      <c r="A685" t="s">
        <v>23</v>
      </c>
      <c r="B685" t="s">
        <v>76</v>
      </c>
      <c r="C685">
        <v>78.83</v>
      </c>
      <c r="D685">
        <v>274</v>
      </c>
      <c r="E685" t="b">
        <v>1</v>
      </c>
      <c r="F685" t="b">
        <v>0</v>
      </c>
      <c r="G685" t="b">
        <v>0</v>
      </c>
      <c r="H685" t="s">
        <v>25</v>
      </c>
      <c r="I685" t="s">
        <v>57</v>
      </c>
      <c r="J685" t="s">
        <v>36</v>
      </c>
      <c r="K685" t="s">
        <v>28</v>
      </c>
      <c r="L685" t="s">
        <v>69</v>
      </c>
      <c r="M685" t="s">
        <v>46</v>
      </c>
      <c r="N685" t="s">
        <v>28</v>
      </c>
      <c r="P685" t="b">
        <v>1</v>
      </c>
      <c r="Q685">
        <v>10</v>
      </c>
      <c r="R685" t="b">
        <v>1</v>
      </c>
      <c r="S685" t="s">
        <v>52</v>
      </c>
      <c r="T685">
        <v>7.8</v>
      </c>
      <c r="U685">
        <v>92.34</v>
      </c>
      <c r="V685" t="b">
        <v>1</v>
      </c>
      <c r="W685" t="s">
        <v>31</v>
      </c>
    </row>
    <row r="686" spans="1:23" x14ac:dyDescent="0.25">
      <c r="A686" t="s">
        <v>61</v>
      </c>
      <c r="B686" t="s">
        <v>62</v>
      </c>
      <c r="C686">
        <v>73.959999999999994</v>
      </c>
      <c r="D686">
        <v>80</v>
      </c>
      <c r="E686" t="b">
        <v>0</v>
      </c>
      <c r="F686" t="b">
        <v>1</v>
      </c>
      <c r="G686" t="b">
        <v>0</v>
      </c>
      <c r="H686" t="s">
        <v>34</v>
      </c>
      <c r="I686" t="s">
        <v>57</v>
      </c>
      <c r="J686" t="s">
        <v>50</v>
      </c>
      <c r="K686" t="s">
        <v>37</v>
      </c>
      <c r="L686" t="s">
        <v>69</v>
      </c>
      <c r="M686" t="s">
        <v>46</v>
      </c>
      <c r="O686" t="b">
        <v>0</v>
      </c>
      <c r="P686" t="b">
        <v>1</v>
      </c>
      <c r="Q686">
        <v>6.8</v>
      </c>
      <c r="R686" t="b">
        <v>1</v>
      </c>
      <c r="S686" t="s">
        <v>40</v>
      </c>
      <c r="T686">
        <v>11.4</v>
      </c>
      <c r="U686">
        <v>68.239999999999995</v>
      </c>
      <c r="V686" t="b">
        <v>1</v>
      </c>
      <c r="W686" t="s">
        <v>41</v>
      </c>
    </row>
    <row r="687" spans="1:23" x14ac:dyDescent="0.25">
      <c r="A687" t="s">
        <v>23</v>
      </c>
      <c r="B687" t="s">
        <v>24</v>
      </c>
      <c r="C687">
        <v>92.28</v>
      </c>
      <c r="D687">
        <v>572</v>
      </c>
      <c r="E687" t="b">
        <v>1</v>
      </c>
      <c r="F687" t="b">
        <v>0</v>
      </c>
      <c r="G687" t="b">
        <v>0</v>
      </c>
      <c r="H687" t="s">
        <v>43</v>
      </c>
      <c r="I687" t="s">
        <v>26</v>
      </c>
      <c r="J687" t="s">
        <v>27</v>
      </c>
      <c r="K687" t="s">
        <v>28</v>
      </c>
      <c r="L687" t="s">
        <v>37</v>
      </c>
      <c r="M687" t="s">
        <v>28</v>
      </c>
      <c r="N687" t="s">
        <v>28</v>
      </c>
      <c r="O687" t="b">
        <v>0</v>
      </c>
      <c r="P687" t="b">
        <v>1</v>
      </c>
      <c r="Q687">
        <v>10</v>
      </c>
      <c r="R687" t="b">
        <v>1</v>
      </c>
      <c r="S687" t="s">
        <v>40</v>
      </c>
      <c r="T687">
        <v>27.6</v>
      </c>
      <c r="U687">
        <v>81.33</v>
      </c>
      <c r="V687" t="b">
        <v>1</v>
      </c>
      <c r="W687" t="s">
        <v>31</v>
      </c>
    </row>
    <row r="688" spans="1:23" x14ac:dyDescent="0.25">
      <c r="A688" t="s">
        <v>56</v>
      </c>
      <c r="B688" t="s">
        <v>60</v>
      </c>
      <c r="C688">
        <v>59.05</v>
      </c>
      <c r="D688">
        <v>497</v>
      </c>
      <c r="E688" t="b">
        <v>1</v>
      </c>
      <c r="F688" t="b">
        <v>0</v>
      </c>
      <c r="G688" t="b">
        <v>1</v>
      </c>
      <c r="H688" t="s">
        <v>43</v>
      </c>
      <c r="I688" t="s">
        <v>26</v>
      </c>
      <c r="J688" t="s">
        <v>36</v>
      </c>
      <c r="K688" t="s">
        <v>46</v>
      </c>
      <c r="L688" t="s">
        <v>51</v>
      </c>
      <c r="M688" t="s">
        <v>47</v>
      </c>
      <c r="N688" t="s">
        <v>28</v>
      </c>
      <c r="O688" t="b">
        <v>1</v>
      </c>
      <c r="P688" t="b">
        <v>0</v>
      </c>
      <c r="Q688">
        <v>8.6</v>
      </c>
      <c r="R688" t="b">
        <v>1</v>
      </c>
      <c r="S688" t="s">
        <v>40</v>
      </c>
      <c r="T688">
        <v>23.2</v>
      </c>
      <c r="U688">
        <v>66</v>
      </c>
      <c r="V688" t="b">
        <v>0</v>
      </c>
      <c r="W688" t="s">
        <v>31</v>
      </c>
    </row>
    <row r="689" spans="1:23" x14ac:dyDescent="0.25">
      <c r="A689" t="s">
        <v>68</v>
      </c>
      <c r="B689" t="s">
        <v>59</v>
      </c>
      <c r="C689">
        <v>87.61</v>
      </c>
      <c r="D689">
        <v>797</v>
      </c>
      <c r="E689" t="b">
        <v>0</v>
      </c>
      <c r="F689" t="b">
        <v>0</v>
      </c>
      <c r="G689" t="b">
        <v>1</v>
      </c>
      <c r="H689" t="s">
        <v>25</v>
      </c>
      <c r="I689" t="s">
        <v>44</v>
      </c>
      <c r="J689" t="s">
        <v>36</v>
      </c>
      <c r="K689" t="s">
        <v>37</v>
      </c>
      <c r="L689" t="s">
        <v>51</v>
      </c>
      <c r="M689" t="s">
        <v>28</v>
      </c>
      <c r="N689" t="s">
        <v>39</v>
      </c>
      <c r="O689" t="b">
        <v>0</v>
      </c>
      <c r="P689" t="b">
        <v>0</v>
      </c>
      <c r="Q689">
        <v>8.1999999999999993</v>
      </c>
      <c r="R689" t="b">
        <v>1</v>
      </c>
      <c r="S689" t="s">
        <v>75</v>
      </c>
      <c r="T689">
        <v>22.1</v>
      </c>
      <c r="U689">
        <v>84.05</v>
      </c>
      <c r="V689" t="b">
        <v>1</v>
      </c>
      <c r="W689" t="s">
        <v>31</v>
      </c>
    </row>
    <row r="690" spans="1:23" x14ac:dyDescent="0.25">
      <c r="A690" t="s">
        <v>23</v>
      </c>
      <c r="B690" t="s">
        <v>60</v>
      </c>
      <c r="C690">
        <v>47.18</v>
      </c>
      <c r="D690">
        <v>149</v>
      </c>
      <c r="E690" t="b">
        <v>1</v>
      </c>
      <c r="F690" t="b">
        <v>1</v>
      </c>
      <c r="G690" t="b">
        <v>1</v>
      </c>
      <c r="H690" t="s">
        <v>25</v>
      </c>
      <c r="I690" t="s">
        <v>57</v>
      </c>
      <c r="J690" t="s">
        <v>50</v>
      </c>
      <c r="K690" t="s">
        <v>46</v>
      </c>
      <c r="L690" t="s">
        <v>69</v>
      </c>
      <c r="M690" t="s">
        <v>47</v>
      </c>
      <c r="N690" t="s">
        <v>28</v>
      </c>
      <c r="P690" t="b">
        <v>1</v>
      </c>
      <c r="Q690">
        <v>6.2</v>
      </c>
      <c r="R690" t="b">
        <v>1</v>
      </c>
      <c r="S690" t="s">
        <v>30</v>
      </c>
      <c r="T690">
        <v>18.3</v>
      </c>
      <c r="U690">
        <v>45.65</v>
      </c>
      <c r="V690" t="b">
        <v>1</v>
      </c>
      <c r="W690" t="s">
        <v>41</v>
      </c>
    </row>
    <row r="691" spans="1:23" x14ac:dyDescent="0.25">
      <c r="A691" t="s">
        <v>56</v>
      </c>
      <c r="B691" t="s">
        <v>71</v>
      </c>
      <c r="C691">
        <v>41.25</v>
      </c>
      <c r="D691">
        <v>675</v>
      </c>
      <c r="E691" t="b">
        <v>1</v>
      </c>
      <c r="F691" t="b">
        <v>1</v>
      </c>
      <c r="G691" t="b">
        <v>1</v>
      </c>
      <c r="H691" t="s">
        <v>25</v>
      </c>
      <c r="I691" t="s">
        <v>63</v>
      </c>
      <c r="J691" t="s">
        <v>27</v>
      </c>
      <c r="K691" t="s">
        <v>37</v>
      </c>
      <c r="L691" t="s">
        <v>37</v>
      </c>
      <c r="M691" t="s">
        <v>28</v>
      </c>
      <c r="N691" t="s">
        <v>28</v>
      </c>
      <c r="O691" t="b">
        <v>0</v>
      </c>
      <c r="P691" t="b">
        <v>1</v>
      </c>
      <c r="Q691">
        <v>4</v>
      </c>
      <c r="R691" t="b">
        <v>1</v>
      </c>
      <c r="S691" t="s">
        <v>48</v>
      </c>
      <c r="T691">
        <v>26.5</v>
      </c>
      <c r="U691">
        <v>33.020000000000003</v>
      </c>
      <c r="V691" t="b">
        <v>1</v>
      </c>
      <c r="W691" t="s">
        <v>72</v>
      </c>
    </row>
    <row r="692" spans="1:23" x14ac:dyDescent="0.25">
      <c r="A692" t="s">
        <v>68</v>
      </c>
      <c r="B692" t="s">
        <v>66</v>
      </c>
      <c r="C692">
        <v>74.08</v>
      </c>
      <c r="D692">
        <v>303</v>
      </c>
      <c r="E692" t="b">
        <v>1</v>
      </c>
      <c r="F692" t="b">
        <v>0</v>
      </c>
      <c r="G692" t="b">
        <v>1</v>
      </c>
      <c r="H692" t="s">
        <v>34</v>
      </c>
      <c r="I692" t="s">
        <v>35</v>
      </c>
      <c r="J692" t="s">
        <v>27</v>
      </c>
      <c r="K692" t="s">
        <v>39</v>
      </c>
      <c r="L692" t="s">
        <v>51</v>
      </c>
      <c r="M692" t="s">
        <v>47</v>
      </c>
      <c r="N692" t="s">
        <v>39</v>
      </c>
      <c r="O692" t="b">
        <v>0</v>
      </c>
      <c r="P692" t="b">
        <v>0</v>
      </c>
      <c r="Q692">
        <v>6.1</v>
      </c>
      <c r="R692" t="b">
        <v>1</v>
      </c>
      <c r="S692" t="s">
        <v>64</v>
      </c>
      <c r="T692">
        <v>14.5</v>
      </c>
      <c r="U692">
        <v>73.05</v>
      </c>
      <c r="V692" t="b">
        <v>1</v>
      </c>
      <c r="W692" t="s">
        <v>41</v>
      </c>
    </row>
    <row r="693" spans="1:23" x14ac:dyDescent="0.25">
      <c r="A693" t="s">
        <v>56</v>
      </c>
      <c r="B693" t="s">
        <v>42</v>
      </c>
      <c r="C693">
        <v>79.89</v>
      </c>
      <c r="D693">
        <v>650</v>
      </c>
      <c r="E693" t="b">
        <v>1</v>
      </c>
      <c r="F693" t="b">
        <v>0</v>
      </c>
      <c r="G693" t="b">
        <v>1</v>
      </c>
      <c r="H693" t="s">
        <v>53</v>
      </c>
      <c r="I693" t="s">
        <v>44</v>
      </c>
      <c r="J693" t="s">
        <v>54</v>
      </c>
      <c r="K693" t="s">
        <v>39</v>
      </c>
      <c r="L693" t="s">
        <v>51</v>
      </c>
      <c r="M693" t="s">
        <v>46</v>
      </c>
      <c r="N693" t="s">
        <v>28</v>
      </c>
      <c r="P693" t="b">
        <v>1</v>
      </c>
      <c r="Q693">
        <v>8.9</v>
      </c>
      <c r="R693" t="b">
        <v>0</v>
      </c>
      <c r="T693">
        <v>0</v>
      </c>
      <c r="U693">
        <v>90.06</v>
      </c>
      <c r="V693" t="b">
        <v>1</v>
      </c>
      <c r="W693" t="s">
        <v>58</v>
      </c>
    </row>
    <row r="694" spans="1:23" x14ac:dyDescent="0.25">
      <c r="A694" t="s">
        <v>61</v>
      </c>
      <c r="B694" t="s">
        <v>62</v>
      </c>
      <c r="C694">
        <v>60.67</v>
      </c>
      <c r="D694">
        <v>410</v>
      </c>
      <c r="E694" t="b">
        <v>0</v>
      </c>
      <c r="F694" t="b">
        <v>0</v>
      </c>
      <c r="G694" t="b">
        <v>0</v>
      </c>
      <c r="H694" t="s">
        <v>53</v>
      </c>
      <c r="I694" t="s">
        <v>44</v>
      </c>
      <c r="J694" t="s">
        <v>54</v>
      </c>
      <c r="K694" t="s">
        <v>37</v>
      </c>
      <c r="L694" t="s">
        <v>51</v>
      </c>
      <c r="M694" t="s">
        <v>39</v>
      </c>
      <c r="N694" t="s">
        <v>28</v>
      </c>
      <c r="P694" t="b">
        <v>0</v>
      </c>
      <c r="Q694">
        <v>5.6</v>
      </c>
      <c r="R694" t="b">
        <v>1</v>
      </c>
      <c r="S694" t="s">
        <v>55</v>
      </c>
      <c r="T694">
        <v>38.200000000000003</v>
      </c>
      <c r="U694">
        <v>66.680000000000007</v>
      </c>
      <c r="V694" t="b">
        <v>1</v>
      </c>
      <c r="W694" t="s">
        <v>41</v>
      </c>
    </row>
    <row r="695" spans="1:23" x14ac:dyDescent="0.25">
      <c r="A695" t="s">
        <v>56</v>
      </c>
      <c r="B695" t="s">
        <v>76</v>
      </c>
      <c r="C695">
        <v>70.41</v>
      </c>
      <c r="D695">
        <v>420</v>
      </c>
      <c r="E695" t="b">
        <v>1</v>
      </c>
      <c r="F695" t="b">
        <v>0</v>
      </c>
      <c r="G695" t="b">
        <v>0</v>
      </c>
      <c r="H695" t="s">
        <v>25</v>
      </c>
      <c r="I695" t="s">
        <v>26</v>
      </c>
      <c r="J695" t="s">
        <v>45</v>
      </c>
      <c r="K695" t="s">
        <v>37</v>
      </c>
      <c r="L695" t="s">
        <v>69</v>
      </c>
      <c r="M695" t="s">
        <v>46</v>
      </c>
      <c r="N695" t="s">
        <v>28</v>
      </c>
      <c r="O695" t="b">
        <v>0</v>
      </c>
      <c r="P695" t="b">
        <v>1</v>
      </c>
      <c r="Q695">
        <v>7.8</v>
      </c>
      <c r="R695" t="b">
        <v>1</v>
      </c>
      <c r="S695" t="s">
        <v>64</v>
      </c>
      <c r="T695">
        <v>15.5</v>
      </c>
      <c r="U695">
        <v>58.65</v>
      </c>
      <c r="V695" t="b">
        <v>1</v>
      </c>
      <c r="W695" t="s">
        <v>41</v>
      </c>
    </row>
    <row r="696" spans="1:23" x14ac:dyDescent="0.25">
      <c r="A696" t="s">
        <v>68</v>
      </c>
      <c r="B696" t="s">
        <v>66</v>
      </c>
      <c r="C696">
        <v>63.23</v>
      </c>
      <c r="D696">
        <v>80</v>
      </c>
      <c r="E696" t="b">
        <v>1</v>
      </c>
      <c r="F696" t="b">
        <v>0</v>
      </c>
      <c r="G696" t="b">
        <v>0</v>
      </c>
      <c r="H696" t="s">
        <v>53</v>
      </c>
      <c r="I696" t="s">
        <v>26</v>
      </c>
      <c r="J696" t="s">
        <v>50</v>
      </c>
      <c r="K696" t="s">
        <v>28</v>
      </c>
      <c r="L696" t="s">
        <v>29</v>
      </c>
      <c r="M696" t="s">
        <v>39</v>
      </c>
      <c r="N696" t="s">
        <v>39</v>
      </c>
      <c r="P696" t="b">
        <v>0</v>
      </c>
      <c r="Q696">
        <v>7.9</v>
      </c>
      <c r="R696" t="b">
        <v>0</v>
      </c>
      <c r="T696">
        <v>0</v>
      </c>
      <c r="U696">
        <v>46.12</v>
      </c>
      <c r="V696" t="b">
        <v>0</v>
      </c>
      <c r="W696" t="s">
        <v>31</v>
      </c>
    </row>
    <row r="697" spans="1:23" x14ac:dyDescent="0.25">
      <c r="A697" t="s">
        <v>56</v>
      </c>
      <c r="B697" t="s">
        <v>73</v>
      </c>
      <c r="C697">
        <v>45.79</v>
      </c>
      <c r="D697">
        <v>359</v>
      </c>
      <c r="E697" t="b">
        <v>0</v>
      </c>
      <c r="F697" t="b">
        <v>0</v>
      </c>
      <c r="G697" t="b">
        <v>0</v>
      </c>
      <c r="H697" t="s">
        <v>34</v>
      </c>
      <c r="I697" t="s">
        <v>35</v>
      </c>
      <c r="J697" t="s">
        <v>50</v>
      </c>
      <c r="K697" t="s">
        <v>46</v>
      </c>
      <c r="L697" t="s">
        <v>37</v>
      </c>
      <c r="M697" t="s">
        <v>46</v>
      </c>
      <c r="N697" t="s">
        <v>46</v>
      </c>
      <c r="P697" t="b">
        <v>1</v>
      </c>
      <c r="Q697">
        <v>5</v>
      </c>
      <c r="R697" t="b">
        <v>1</v>
      </c>
      <c r="S697" t="s">
        <v>52</v>
      </c>
      <c r="T697">
        <v>14</v>
      </c>
      <c r="U697">
        <v>40.119999999999997</v>
      </c>
      <c r="V697" t="b">
        <v>1</v>
      </c>
      <c r="W697" t="s">
        <v>41</v>
      </c>
    </row>
    <row r="698" spans="1:23" x14ac:dyDescent="0.25">
      <c r="A698" t="s">
        <v>56</v>
      </c>
      <c r="B698" t="s">
        <v>42</v>
      </c>
      <c r="C698">
        <v>68.069999999999993</v>
      </c>
      <c r="D698">
        <v>529</v>
      </c>
      <c r="E698" t="b">
        <v>0</v>
      </c>
      <c r="F698" t="b">
        <v>1</v>
      </c>
      <c r="G698" t="b">
        <v>1</v>
      </c>
      <c r="H698" t="s">
        <v>53</v>
      </c>
      <c r="I698" t="s">
        <v>35</v>
      </c>
      <c r="J698" t="s">
        <v>45</v>
      </c>
      <c r="K698" t="s">
        <v>39</v>
      </c>
      <c r="L698" t="s">
        <v>51</v>
      </c>
      <c r="M698" t="s">
        <v>47</v>
      </c>
      <c r="N698" t="s">
        <v>46</v>
      </c>
      <c r="O698" t="b">
        <v>1</v>
      </c>
      <c r="P698" t="b">
        <v>1</v>
      </c>
      <c r="Q698">
        <v>7.2</v>
      </c>
      <c r="R698" t="b">
        <v>0</v>
      </c>
      <c r="T698">
        <v>0</v>
      </c>
      <c r="U698">
        <v>75.760000000000005</v>
      </c>
      <c r="V698" t="b">
        <v>1</v>
      </c>
      <c r="W698" t="s">
        <v>31</v>
      </c>
    </row>
    <row r="699" spans="1:23" x14ac:dyDescent="0.25">
      <c r="A699" t="s">
        <v>23</v>
      </c>
      <c r="B699" t="s">
        <v>59</v>
      </c>
      <c r="C699">
        <v>89.29</v>
      </c>
      <c r="D699">
        <v>265</v>
      </c>
      <c r="E699" t="b">
        <v>0</v>
      </c>
      <c r="F699" t="b">
        <v>0</v>
      </c>
      <c r="G699" t="b">
        <v>0</v>
      </c>
      <c r="H699" t="s">
        <v>53</v>
      </c>
      <c r="I699" t="s">
        <v>44</v>
      </c>
      <c r="J699" t="s">
        <v>54</v>
      </c>
      <c r="K699" t="s">
        <v>37</v>
      </c>
      <c r="L699" t="s">
        <v>69</v>
      </c>
      <c r="M699" t="s">
        <v>47</v>
      </c>
      <c r="N699" t="s">
        <v>46</v>
      </c>
      <c r="P699" t="b">
        <v>0</v>
      </c>
      <c r="Q699">
        <v>9.1</v>
      </c>
      <c r="R699" t="b">
        <v>0</v>
      </c>
      <c r="T699">
        <v>0</v>
      </c>
      <c r="U699">
        <v>79.64</v>
      </c>
      <c r="V699" t="b">
        <v>1</v>
      </c>
      <c r="W699" t="s">
        <v>58</v>
      </c>
    </row>
    <row r="700" spans="1:23" x14ac:dyDescent="0.25">
      <c r="A700" t="s">
        <v>56</v>
      </c>
      <c r="B700" t="s">
        <v>42</v>
      </c>
      <c r="C700">
        <v>80.59</v>
      </c>
      <c r="D700">
        <v>666</v>
      </c>
      <c r="E700" t="b">
        <v>0</v>
      </c>
      <c r="F700" t="b">
        <v>1</v>
      </c>
      <c r="G700" t="b">
        <v>0</v>
      </c>
      <c r="H700" t="s">
        <v>25</v>
      </c>
      <c r="I700" t="s">
        <v>26</v>
      </c>
      <c r="J700" t="s">
        <v>54</v>
      </c>
      <c r="K700" t="s">
        <v>37</v>
      </c>
      <c r="L700" t="s">
        <v>38</v>
      </c>
      <c r="M700" t="s">
        <v>46</v>
      </c>
      <c r="O700" t="b">
        <v>0</v>
      </c>
      <c r="P700" t="b">
        <v>1</v>
      </c>
      <c r="Q700">
        <v>7.6</v>
      </c>
      <c r="R700" t="b">
        <v>1</v>
      </c>
      <c r="S700" t="s">
        <v>65</v>
      </c>
      <c r="T700">
        <v>14.1</v>
      </c>
      <c r="U700">
        <v>83</v>
      </c>
      <c r="V700" t="b">
        <v>1</v>
      </c>
      <c r="W700" t="s">
        <v>41</v>
      </c>
    </row>
    <row r="701" spans="1:23" x14ac:dyDescent="0.25">
      <c r="A701" t="s">
        <v>74</v>
      </c>
      <c r="B701" t="s">
        <v>71</v>
      </c>
      <c r="C701">
        <v>48.91</v>
      </c>
      <c r="D701">
        <v>542</v>
      </c>
      <c r="E701" t="b">
        <v>1</v>
      </c>
      <c r="F701" t="b">
        <v>0</v>
      </c>
      <c r="G701" t="b">
        <v>0</v>
      </c>
      <c r="H701" t="s">
        <v>43</v>
      </c>
      <c r="I701" t="s">
        <v>35</v>
      </c>
      <c r="J701" t="s">
        <v>50</v>
      </c>
      <c r="K701" t="s">
        <v>46</v>
      </c>
      <c r="L701" t="s">
        <v>69</v>
      </c>
      <c r="M701" t="s">
        <v>28</v>
      </c>
      <c r="N701" t="s">
        <v>46</v>
      </c>
      <c r="P701" t="b">
        <v>1</v>
      </c>
      <c r="Q701">
        <v>8.1</v>
      </c>
      <c r="R701" t="b">
        <v>0</v>
      </c>
      <c r="T701">
        <v>0</v>
      </c>
      <c r="U701">
        <v>26.43</v>
      </c>
      <c r="V701" t="b">
        <v>0</v>
      </c>
      <c r="W701" t="s">
        <v>58</v>
      </c>
    </row>
    <row r="702" spans="1:23" x14ac:dyDescent="0.25">
      <c r="A702" t="s">
        <v>74</v>
      </c>
      <c r="B702" t="s">
        <v>76</v>
      </c>
      <c r="C702">
        <v>71.400000000000006</v>
      </c>
      <c r="D702">
        <v>601</v>
      </c>
      <c r="E702" t="b">
        <v>0</v>
      </c>
      <c r="F702" t="b">
        <v>0</v>
      </c>
      <c r="G702" t="b">
        <v>1</v>
      </c>
      <c r="H702" t="s">
        <v>43</v>
      </c>
      <c r="I702" t="s">
        <v>26</v>
      </c>
      <c r="J702" t="s">
        <v>27</v>
      </c>
      <c r="K702" t="s">
        <v>46</v>
      </c>
      <c r="L702" t="s">
        <v>51</v>
      </c>
      <c r="M702" t="s">
        <v>39</v>
      </c>
      <c r="N702" t="s">
        <v>28</v>
      </c>
      <c r="O702" t="b">
        <v>1</v>
      </c>
      <c r="P702" t="b">
        <v>1</v>
      </c>
      <c r="Q702">
        <v>9.1</v>
      </c>
      <c r="R702" t="b">
        <v>0</v>
      </c>
      <c r="T702">
        <v>0</v>
      </c>
      <c r="U702">
        <v>69.83</v>
      </c>
      <c r="V702" t="b">
        <v>0</v>
      </c>
      <c r="W702" t="s">
        <v>58</v>
      </c>
    </row>
    <row r="703" spans="1:23" x14ac:dyDescent="0.25">
      <c r="A703" t="s">
        <v>61</v>
      </c>
      <c r="B703" t="s">
        <v>60</v>
      </c>
      <c r="C703">
        <v>54.93</v>
      </c>
      <c r="D703">
        <v>228</v>
      </c>
      <c r="E703" t="b">
        <v>0</v>
      </c>
      <c r="F703" t="b">
        <v>1</v>
      </c>
      <c r="G703" t="b">
        <v>1</v>
      </c>
      <c r="H703" t="s">
        <v>34</v>
      </c>
      <c r="I703" t="s">
        <v>67</v>
      </c>
      <c r="J703" t="s">
        <v>50</v>
      </c>
      <c r="K703" t="s">
        <v>46</v>
      </c>
      <c r="L703" t="s">
        <v>69</v>
      </c>
      <c r="M703" t="s">
        <v>28</v>
      </c>
      <c r="N703" t="s">
        <v>28</v>
      </c>
      <c r="O703" t="b">
        <v>0</v>
      </c>
      <c r="P703" t="b">
        <v>0</v>
      </c>
      <c r="Q703">
        <v>6</v>
      </c>
      <c r="R703" t="b">
        <v>1</v>
      </c>
      <c r="S703" t="s">
        <v>65</v>
      </c>
      <c r="T703">
        <v>3</v>
      </c>
      <c r="U703">
        <v>61.09</v>
      </c>
      <c r="V703" t="b">
        <v>1</v>
      </c>
      <c r="W703" t="s">
        <v>41</v>
      </c>
    </row>
    <row r="704" spans="1:23" x14ac:dyDescent="0.25">
      <c r="A704" t="s">
        <v>56</v>
      </c>
      <c r="B704" t="s">
        <v>60</v>
      </c>
      <c r="C704">
        <v>50.73</v>
      </c>
      <c r="D704">
        <v>559</v>
      </c>
      <c r="E704" t="b">
        <v>0</v>
      </c>
      <c r="F704" t="b">
        <v>0</v>
      </c>
      <c r="G704" t="b">
        <v>0</v>
      </c>
      <c r="H704" t="s">
        <v>53</v>
      </c>
      <c r="I704" t="s">
        <v>44</v>
      </c>
      <c r="J704" t="s">
        <v>54</v>
      </c>
      <c r="K704" t="s">
        <v>37</v>
      </c>
      <c r="L704" t="s">
        <v>69</v>
      </c>
      <c r="M704" t="s">
        <v>47</v>
      </c>
      <c r="N704" t="s">
        <v>28</v>
      </c>
      <c r="P704" t="b">
        <v>1</v>
      </c>
      <c r="Q704">
        <v>4.8</v>
      </c>
      <c r="R704" t="b">
        <v>1</v>
      </c>
      <c r="S704" t="s">
        <v>40</v>
      </c>
      <c r="T704">
        <v>21.6</v>
      </c>
      <c r="U704">
        <v>54.21</v>
      </c>
      <c r="V704" t="b">
        <v>1</v>
      </c>
      <c r="W704" t="s">
        <v>72</v>
      </c>
    </row>
    <row r="705" spans="1:23" x14ac:dyDescent="0.25">
      <c r="A705" t="s">
        <v>23</v>
      </c>
      <c r="B705" t="s">
        <v>62</v>
      </c>
      <c r="C705">
        <v>58.62</v>
      </c>
      <c r="D705">
        <v>95</v>
      </c>
      <c r="E705" t="b">
        <v>0</v>
      </c>
      <c r="F705" t="b">
        <v>0</v>
      </c>
      <c r="G705" t="b">
        <v>0</v>
      </c>
      <c r="H705" t="s">
        <v>34</v>
      </c>
      <c r="I705" t="s">
        <v>26</v>
      </c>
      <c r="J705" t="s">
        <v>36</v>
      </c>
      <c r="K705" t="s">
        <v>28</v>
      </c>
      <c r="L705" t="s">
        <v>38</v>
      </c>
      <c r="M705" t="s">
        <v>39</v>
      </c>
      <c r="N705" t="s">
        <v>28</v>
      </c>
      <c r="O705" t="b">
        <v>1</v>
      </c>
      <c r="P705" t="b">
        <v>0</v>
      </c>
      <c r="Q705">
        <v>8.5</v>
      </c>
      <c r="R705" t="b">
        <v>1</v>
      </c>
      <c r="S705" t="s">
        <v>40</v>
      </c>
      <c r="T705">
        <v>39.799999999999997</v>
      </c>
      <c r="U705">
        <v>58.38</v>
      </c>
      <c r="V705" t="b">
        <v>0</v>
      </c>
      <c r="W705" t="s">
        <v>31</v>
      </c>
    </row>
    <row r="706" spans="1:23" x14ac:dyDescent="0.25">
      <c r="A706" t="s">
        <v>74</v>
      </c>
      <c r="B706" t="s">
        <v>33</v>
      </c>
      <c r="C706">
        <v>80.290000000000006</v>
      </c>
      <c r="D706">
        <v>487</v>
      </c>
      <c r="E706" t="b">
        <v>1</v>
      </c>
      <c r="F706" t="b">
        <v>1</v>
      </c>
      <c r="G706" t="b">
        <v>1</v>
      </c>
      <c r="H706" t="s">
        <v>25</v>
      </c>
      <c r="I706" t="s">
        <v>67</v>
      </c>
      <c r="J706" t="s">
        <v>27</v>
      </c>
      <c r="K706" t="s">
        <v>37</v>
      </c>
      <c r="L706" t="s">
        <v>51</v>
      </c>
      <c r="M706" t="s">
        <v>46</v>
      </c>
      <c r="N706" t="s">
        <v>28</v>
      </c>
      <c r="P706" t="b">
        <v>0</v>
      </c>
      <c r="Q706">
        <v>8.1</v>
      </c>
      <c r="R706" t="b">
        <v>0</v>
      </c>
      <c r="T706">
        <v>0</v>
      </c>
      <c r="U706">
        <v>80.239999999999995</v>
      </c>
      <c r="V706" t="b">
        <v>1</v>
      </c>
      <c r="W706" t="s">
        <v>58</v>
      </c>
    </row>
    <row r="707" spans="1:23" x14ac:dyDescent="0.25">
      <c r="A707" t="s">
        <v>56</v>
      </c>
      <c r="B707" t="s">
        <v>60</v>
      </c>
      <c r="C707">
        <v>41.85</v>
      </c>
      <c r="D707">
        <v>650</v>
      </c>
      <c r="E707" t="b">
        <v>0</v>
      </c>
      <c r="F707" t="b">
        <v>0</v>
      </c>
      <c r="G707" t="b">
        <v>1</v>
      </c>
      <c r="H707" t="s">
        <v>25</v>
      </c>
      <c r="I707" t="s">
        <v>67</v>
      </c>
      <c r="J707" t="s">
        <v>50</v>
      </c>
      <c r="K707" t="s">
        <v>46</v>
      </c>
      <c r="L707" t="s">
        <v>38</v>
      </c>
      <c r="M707" t="s">
        <v>39</v>
      </c>
      <c r="N707" t="s">
        <v>39</v>
      </c>
      <c r="O707" t="b">
        <v>0</v>
      </c>
      <c r="P707" t="b">
        <v>0</v>
      </c>
      <c r="Q707">
        <v>4</v>
      </c>
      <c r="R707" t="b">
        <v>1</v>
      </c>
      <c r="S707" t="s">
        <v>48</v>
      </c>
      <c r="T707">
        <v>24.4</v>
      </c>
      <c r="U707">
        <v>39.549999999999997</v>
      </c>
      <c r="V707" t="b">
        <v>1</v>
      </c>
      <c r="W707" t="s">
        <v>72</v>
      </c>
    </row>
    <row r="708" spans="1:23" x14ac:dyDescent="0.25">
      <c r="A708" t="s">
        <v>68</v>
      </c>
      <c r="B708" t="s">
        <v>60</v>
      </c>
      <c r="C708">
        <v>53.92</v>
      </c>
      <c r="D708">
        <v>442</v>
      </c>
      <c r="E708" t="b">
        <v>1</v>
      </c>
      <c r="F708" t="b">
        <v>0</v>
      </c>
      <c r="G708" t="b">
        <v>0</v>
      </c>
      <c r="H708" t="s">
        <v>25</v>
      </c>
      <c r="I708" t="s">
        <v>63</v>
      </c>
      <c r="J708" t="s">
        <v>36</v>
      </c>
      <c r="K708" t="s">
        <v>39</v>
      </c>
      <c r="L708" t="s">
        <v>37</v>
      </c>
      <c r="M708" t="s">
        <v>28</v>
      </c>
      <c r="P708" t="b">
        <v>0</v>
      </c>
      <c r="Q708">
        <v>6.8</v>
      </c>
      <c r="R708" t="b">
        <v>1</v>
      </c>
      <c r="S708" t="s">
        <v>40</v>
      </c>
      <c r="T708">
        <v>22.8</v>
      </c>
      <c r="U708">
        <v>41.98</v>
      </c>
      <c r="V708" t="b">
        <v>0</v>
      </c>
      <c r="W708" t="s">
        <v>41</v>
      </c>
    </row>
    <row r="709" spans="1:23" x14ac:dyDescent="0.25">
      <c r="A709" t="s">
        <v>32</v>
      </c>
      <c r="B709" t="s">
        <v>62</v>
      </c>
      <c r="C709">
        <v>59.75</v>
      </c>
      <c r="D709">
        <v>287</v>
      </c>
      <c r="E709" t="b">
        <v>0</v>
      </c>
      <c r="F709" t="b">
        <v>0</v>
      </c>
      <c r="G709" t="b">
        <v>0</v>
      </c>
      <c r="H709" t="s">
        <v>34</v>
      </c>
      <c r="I709" t="s">
        <v>67</v>
      </c>
      <c r="J709" t="s">
        <v>36</v>
      </c>
      <c r="K709" t="s">
        <v>46</v>
      </c>
      <c r="L709" t="s">
        <v>51</v>
      </c>
      <c r="M709" t="s">
        <v>39</v>
      </c>
      <c r="N709" t="s">
        <v>46</v>
      </c>
      <c r="O709" t="b">
        <v>0</v>
      </c>
      <c r="P709" t="b">
        <v>1</v>
      </c>
      <c r="Q709">
        <v>4.9000000000000004</v>
      </c>
      <c r="R709" t="b">
        <v>1</v>
      </c>
      <c r="S709" t="s">
        <v>48</v>
      </c>
      <c r="T709">
        <v>3.4</v>
      </c>
      <c r="U709">
        <v>50.96</v>
      </c>
      <c r="V709" t="b">
        <v>1</v>
      </c>
      <c r="W709" t="s">
        <v>72</v>
      </c>
    </row>
    <row r="710" spans="1:23" x14ac:dyDescent="0.25">
      <c r="A710" t="s">
        <v>74</v>
      </c>
      <c r="B710" t="s">
        <v>49</v>
      </c>
      <c r="C710">
        <v>79.95</v>
      </c>
      <c r="D710">
        <v>137</v>
      </c>
      <c r="E710" t="b">
        <v>1</v>
      </c>
      <c r="F710" t="b">
        <v>0</v>
      </c>
      <c r="G710" t="b">
        <v>0</v>
      </c>
      <c r="H710" t="s">
        <v>43</v>
      </c>
      <c r="I710" t="s">
        <v>44</v>
      </c>
      <c r="J710" t="s">
        <v>45</v>
      </c>
      <c r="K710" t="s">
        <v>37</v>
      </c>
      <c r="L710" t="s">
        <v>37</v>
      </c>
      <c r="M710" t="s">
        <v>47</v>
      </c>
      <c r="N710" t="s">
        <v>28</v>
      </c>
      <c r="O710" t="b">
        <v>1</v>
      </c>
      <c r="P710" t="b">
        <v>0</v>
      </c>
      <c r="Q710">
        <v>10</v>
      </c>
      <c r="R710" t="b">
        <v>1</v>
      </c>
      <c r="S710" t="s">
        <v>55</v>
      </c>
      <c r="T710">
        <v>8.6999999999999993</v>
      </c>
      <c r="U710">
        <v>73.489999999999995</v>
      </c>
      <c r="V710" t="b">
        <v>0</v>
      </c>
      <c r="W710" t="s">
        <v>31</v>
      </c>
    </row>
    <row r="711" spans="1:23" x14ac:dyDescent="0.25">
      <c r="A711" t="s">
        <v>56</v>
      </c>
      <c r="B711" t="s">
        <v>59</v>
      </c>
      <c r="C711">
        <v>90.5</v>
      </c>
      <c r="D711">
        <v>224</v>
      </c>
      <c r="E711" t="b">
        <v>1</v>
      </c>
      <c r="F711" t="b">
        <v>1</v>
      </c>
      <c r="G711" t="b">
        <v>1</v>
      </c>
      <c r="H711" t="s">
        <v>53</v>
      </c>
      <c r="I711" t="s">
        <v>44</v>
      </c>
      <c r="J711" t="s">
        <v>27</v>
      </c>
      <c r="K711" t="s">
        <v>28</v>
      </c>
      <c r="L711" t="s">
        <v>37</v>
      </c>
      <c r="M711" t="s">
        <v>28</v>
      </c>
      <c r="N711" t="s">
        <v>39</v>
      </c>
      <c r="O711" t="b">
        <v>0</v>
      </c>
      <c r="P711" t="b">
        <v>0</v>
      </c>
      <c r="Q711">
        <v>9.6999999999999993</v>
      </c>
      <c r="R711" t="b">
        <v>0</v>
      </c>
      <c r="T711">
        <v>0</v>
      </c>
      <c r="U711">
        <v>99.46</v>
      </c>
      <c r="V711" t="b">
        <v>1</v>
      </c>
      <c r="W711" t="s">
        <v>58</v>
      </c>
    </row>
    <row r="712" spans="1:23" x14ac:dyDescent="0.25">
      <c r="A712" t="s">
        <v>32</v>
      </c>
      <c r="B712" t="s">
        <v>66</v>
      </c>
      <c r="C712">
        <v>57.98</v>
      </c>
      <c r="D712">
        <v>170</v>
      </c>
      <c r="E712" t="b">
        <v>0</v>
      </c>
      <c r="F712" t="b">
        <v>1</v>
      </c>
      <c r="G712" t="b">
        <v>0</v>
      </c>
      <c r="H712" t="s">
        <v>34</v>
      </c>
      <c r="I712" t="s">
        <v>26</v>
      </c>
      <c r="J712" t="s">
        <v>54</v>
      </c>
      <c r="K712" t="s">
        <v>46</v>
      </c>
      <c r="L712" t="s">
        <v>29</v>
      </c>
      <c r="M712" t="s">
        <v>47</v>
      </c>
      <c r="P712" t="b">
        <v>0</v>
      </c>
      <c r="Q712">
        <v>5</v>
      </c>
      <c r="R712" t="b">
        <v>1</v>
      </c>
      <c r="S712" t="s">
        <v>55</v>
      </c>
      <c r="T712">
        <v>43.7</v>
      </c>
      <c r="U712">
        <v>35.369999999999997</v>
      </c>
      <c r="V712" t="b">
        <v>1</v>
      </c>
      <c r="W712" t="s">
        <v>41</v>
      </c>
    </row>
    <row r="713" spans="1:23" x14ac:dyDescent="0.25">
      <c r="A713" t="s">
        <v>23</v>
      </c>
      <c r="B713" t="s">
        <v>59</v>
      </c>
      <c r="C713">
        <v>90.1</v>
      </c>
      <c r="D713">
        <v>246</v>
      </c>
      <c r="E713" t="b">
        <v>0</v>
      </c>
      <c r="F713" t="b">
        <v>1</v>
      </c>
      <c r="G713" t="b">
        <v>1</v>
      </c>
      <c r="H713" t="s">
        <v>34</v>
      </c>
      <c r="I713" t="s">
        <v>44</v>
      </c>
      <c r="J713" t="s">
        <v>50</v>
      </c>
      <c r="K713" t="s">
        <v>46</v>
      </c>
      <c r="L713" t="s">
        <v>37</v>
      </c>
      <c r="M713" t="s">
        <v>47</v>
      </c>
      <c r="N713" t="s">
        <v>28</v>
      </c>
      <c r="O713" t="b">
        <v>0</v>
      </c>
      <c r="P713" t="b">
        <v>1</v>
      </c>
      <c r="Q713">
        <v>7.8</v>
      </c>
      <c r="R713" t="b">
        <v>1</v>
      </c>
      <c r="S713" t="s">
        <v>52</v>
      </c>
      <c r="T713">
        <v>24.5</v>
      </c>
      <c r="U713">
        <v>80.92</v>
      </c>
      <c r="V713" t="b">
        <v>1</v>
      </c>
      <c r="W713" t="s">
        <v>41</v>
      </c>
    </row>
    <row r="714" spans="1:23" x14ac:dyDescent="0.25">
      <c r="A714" t="s">
        <v>61</v>
      </c>
      <c r="B714" t="s">
        <v>71</v>
      </c>
      <c r="C714">
        <v>47.49</v>
      </c>
      <c r="D714">
        <v>299</v>
      </c>
      <c r="E714" t="b">
        <v>0</v>
      </c>
      <c r="F714" t="b">
        <v>0</v>
      </c>
      <c r="G714" t="b">
        <v>0</v>
      </c>
      <c r="H714" t="s">
        <v>53</v>
      </c>
      <c r="I714" t="s">
        <v>26</v>
      </c>
      <c r="J714" t="s">
        <v>45</v>
      </c>
      <c r="K714" t="s">
        <v>39</v>
      </c>
      <c r="L714" t="s">
        <v>37</v>
      </c>
      <c r="M714" t="s">
        <v>39</v>
      </c>
      <c r="N714" t="s">
        <v>39</v>
      </c>
      <c r="O714" t="b">
        <v>1</v>
      </c>
      <c r="P714" t="b">
        <v>0</v>
      </c>
      <c r="Q714">
        <v>6</v>
      </c>
      <c r="R714" t="b">
        <v>0</v>
      </c>
      <c r="T714">
        <v>0</v>
      </c>
      <c r="U714">
        <v>35.72</v>
      </c>
      <c r="V714" t="b">
        <v>0</v>
      </c>
      <c r="W714" t="s">
        <v>31</v>
      </c>
    </row>
    <row r="715" spans="1:23" x14ac:dyDescent="0.25">
      <c r="A715" t="s">
        <v>23</v>
      </c>
      <c r="B715" t="s">
        <v>66</v>
      </c>
      <c r="C715">
        <v>73.040000000000006</v>
      </c>
      <c r="D715">
        <v>753</v>
      </c>
      <c r="E715" t="b">
        <v>1</v>
      </c>
      <c r="F715" t="b">
        <v>1</v>
      </c>
      <c r="G715" t="b">
        <v>0</v>
      </c>
      <c r="H715" t="s">
        <v>53</v>
      </c>
      <c r="I715" t="s">
        <v>57</v>
      </c>
      <c r="J715" t="s">
        <v>50</v>
      </c>
      <c r="K715" t="s">
        <v>46</v>
      </c>
      <c r="L715" t="s">
        <v>29</v>
      </c>
      <c r="M715" t="s">
        <v>47</v>
      </c>
      <c r="N715" t="s">
        <v>39</v>
      </c>
      <c r="P715" t="b">
        <v>0</v>
      </c>
      <c r="Q715">
        <v>8.3000000000000007</v>
      </c>
      <c r="R715" t="b">
        <v>0</v>
      </c>
      <c r="T715">
        <v>0</v>
      </c>
      <c r="U715">
        <v>62.39</v>
      </c>
      <c r="V715" t="b">
        <v>0</v>
      </c>
      <c r="W715" t="s">
        <v>58</v>
      </c>
    </row>
    <row r="716" spans="1:23" x14ac:dyDescent="0.25">
      <c r="A716" t="s">
        <v>68</v>
      </c>
      <c r="B716" t="s">
        <v>62</v>
      </c>
      <c r="C716">
        <v>67.319999999999993</v>
      </c>
      <c r="D716">
        <v>71</v>
      </c>
      <c r="E716" t="b">
        <v>1</v>
      </c>
      <c r="F716" t="b">
        <v>1</v>
      </c>
      <c r="G716" t="b">
        <v>0</v>
      </c>
      <c r="H716" t="s">
        <v>34</v>
      </c>
      <c r="I716" t="s">
        <v>67</v>
      </c>
      <c r="J716" t="s">
        <v>27</v>
      </c>
      <c r="K716" t="s">
        <v>37</v>
      </c>
      <c r="L716" t="s">
        <v>37</v>
      </c>
      <c r="M716" t="s">
        <v>28</v>
      </c>
      <c r="N716" t="s">
        <v>46</v>
      </c>
      <c r="O716" t="b">
        <v>1</v>
      </c>
      <c r="P716" t="b">
        <v>1</v>
      </c>
      <c r="Q716">
        <v>10</v>
      </c>
      <c r="R716" t="b">
        <v>1</v>
      </c>
      <c r="S716" t="s">
        <v>55</v>
      </c>
      <c r="T716">
        <v>19.3</v>
      </c>
      <c r="U716">
        <v>56.44</v>
      </c>
      <c r="V716" t="b">
        <v>0</v>
      </c>
      <c r="W716" t="s">
        <v>31</v>
      </c>
    </row>
    <row r="717" spans="1:23" x14ac:dyDescent="0.25">
      <c r="A717" t="s">
        <v>32</v>
      </c>
      <c r="B717" t="s">
        <v>70</v>
      </c>
      <c r="C717">
        <v>81.569999999999993</v>
      </c>
      <c r="D717">
        <v>447</v>
      </c>
      <c r="E717" t="b">
        <v>0</v>
      </c>
      <c r="F717" t="b">
        <v>1</v>
      </c>
      <c r="G717" t="b">
        <v>0</v>
      </c>
      <c r="H717" t="s">
        <v>43</v>
      </c>
      <c r="I717" t="s">
        <v>63</v>
      </c>
      <c r="J717" t="s">
        <v>50</v>
      </c>
      <c r="K717" t="s">
        <v>37</v>
      </c>
      <c r="L717" t="s">
        <v>51</v>
      </c>
      <c r="M717" t="s">
        <v>28</v>
      </c>
      <c r="N717" t="s">
        <v>39</v>
      </c>
      <c r="O717" t="b">
        <v>0</v>
      </c>
      <c r="P717" t="b">
        <v>0</v>
      </c>
      <c r="Q717">
        <v>6.9</v>
      </c>
      <c r="R717" t="b">
        <v>1</v>
      </c>
      <c r="S717" t="s">
        <v>52</v>
      </c>
      <c r="T717">
        <v>32.5</v>
      </c>
      <c r="U717">
        <v>74.67</v>
      </c>
      <c r="V717" t="b">
        <v>1</v>
      </c>
      <c r="W717" t="s">
        <v>41</v>
      </c>
    </row>
    <row r="718" spans="1:23" x14ac:dyDescent="0.25">
      <c r="A718" t="s">
        <v>23</v>
      </c>
      <c r="B718" t="s">
        <v>62</v>
      </c>
      <c r="C718">
        <v>58.83</v>
      </c>
      <c r="D718">
        <v>724</v>
      </c>
      <c r="E718" t="b">
        <v>0</v>
      </c>
      <c r="F718" t="b">
        <v>1</v>
      </c>
      <c r="G718" t="b">
        <v>1</v>
      </c>
      <c r="H718" t="s">
        <v>53</v>
      </c>
      <c r="I718" t="s">
        <v>35</v>
      </c>
      <c r="J718" t="s">
        <v>54</v>
      </c>
      <c r="K718" t="s">
        <v>37</v>
      </c>
      <c r="L718" t="s">
        <v>37</v>
      </c>
      <c r="M718" t="s">
        <v>39</v>
      </c>
      <c r="N718" t="s">
        <v>46</v>
      </c>
      <c r="O718" t="b">
        <v>1</v>
      </c>
      <c r="P718" t="b">
        <v>0</v>
      </c>
      <c r="Q718">
        <v>6.4</v>
      </c>
      <c r="R718" t="b">
        <v>1</v>
      </c>
      <c r="S718" t="s">
        <v>64</v>
      </c>
      <c r="T718">
        <v>11.3</v>
      </c>
      <c r="U718">
        <v>46.25</v>
      </c>
      <c r="V718" t="b">
        <v>1</v>
      </c>
      <c r="W718" t="s">
        <v>41</v>
      </c>
    </row>
    <row r="719" spans="1:23" x14ac:dyDescent="0.25">
      <c r="A719" t="s">
        <v>32</v>
      </c>
      <c r="B719" t="s">
        <v>49</v>
      </c>
      <c r="C719">
        <v>79.31</v>
      </c>
      <c r="D719">
        <v>694</v>
      </c>
      <c r="E719" t="b">
        <v>0</v>
      </c>
      <c r="F719" t="b">
        <v>0</v>
      </c>
      <c r="G719" t="b">
        <v>1</v>
      </c>
      <c r="H719" t="s">
        <v>25</v>
      </c>
      <c r="I719" t="s">
        <v>26</v>
      </c>
      <c r="J719" t="s">
        <v>45</v>
      </c>
      <c r="K719" t="s">
        <v>28</v>
      </c>
      <c r="L719" t="s">
        <v>38</v>
      </c>
      <c r="M719" t="s">
        <v>39</v>
      </c>
      <c r="O719" t="b">
        <v>0</v>
      </c>
      <c r="P719" t="b">
        <v>0</v>
      </c>
      <c r="Q719">
        <v>7.5</v>
      </c>
      <c r="R719" t="b">
        <v>0</v>
      </c>
      <c r="T719">
        <v>0</v>
      </c>
      <c r="U719">
        <v>76.55</v>
      </c>
      <c r="V719" t="b">
        <v>1</v>
      </c>
      <c r="W719" t="s">
        <v>31</v>
      </c>
    </row>
    <row r="720" spans="1:23" x14ac:dyDescent="0.25">
      <c r="A720" t="s">
        <v>32</v>
      </c>
      <c r="B720" t="s">
        <v>24</v>
      </c>
      <c r="C720">
        <v>93.96</v>
      </c>
      <c r="D720">
        <v>660</v>
      </c>
      <c r="E720" t="b">
        <v>0</v>
      </c>
      <c r="F720" t="b">
        <v>0</v>
      </c>
      <c r="G720" t="b">
        <v>0</v>
      </c>
      <c r="H720" t="s">
        <v>25</v>
      </c>
      <c r="I720" t="s">
        <v>67</v>
      </c>
      <c r="J720" t="s">
        <v>54</v>
      </c>
      <c r="K720" t="s">
        <v>39</v>
      </c>
      <c r="L720" t="s">
        <v>29</v>
      </c>
      <c r="M720" t="s">
        <v>28</v>
      </c>
      <c r="N720" t="s">
        <v>46</v>
      </c>
      <c r="O720" t="b">
        <v>1</v>
      </c>
      <c r="P720" t="b">
        <v>0</v>
      </c>
      <c r="Q720">
        <v>10</v>
      </c>
      <c r="R720" t="b">
        <v>1</v>
      </c>
      <c r="S720" t="s">
        <v>75</v>
      </c>
      <c r="T720">
        <v>44.8</v>
      </c>
      <c r="U720">
        <v>92.88</v>
      </c>
      <c r="V720" t="b">
        <v>1</v>
      </c>
      <c r="W720" t="s">
        <v>31</v>
      </c>
    </row>
    <row r="721" spans="1:23" x14ac:dyDescent="0.25">
      <c r="A721" t="s">
        <v>68</v>
      </c>
      <c r="B721" t="s">
        <v>33</v>
      </c>
      <c r="C721">
        <v>87.86</v>
      </c>
      <c r="D721">
        <v>543</v>
      </c>
      <c r="E721" t="b">
        <v>1</v>
      </c>
      <c r="F721" t="b">
        <v>1</v>
      </c>
      <c r="G721" t="b">
        <v>1</v>
      </c>
      <c r="H721" t="s">
        <v>25</v>
      </c>
      <c r="I721" t="s">
        <v>67</v>
      </c>
      <c r="J721" t="s">
        <v>27</v>
      </c>
      <c r="K721" t="s">
        <v>28</v>
      </c>
      <c r="L721" t="s">
        <v>38</v>
      </c>
      <c r="M721" t="s">
        <v>39</v>
      </c>
      <c r="N721" t="s">
        <v>28</v>
      </c>
      <c r="O721" t="b">
        <v>0</v>
      </c>
      <c r="P721" t="b">
        <v>0</v>
      </c>
      <c r="Q721">
        <v>9.6999999999999993</v>
      </c>
      <c r="R721" t="b">
        <v>1</v>
      </c>
      <c r="S721" t="s">
        <v>75</v>
      </c>
      <c r="T721">
        <v>28.2</v>
      </c>
      <c r="U721">
        <v>73.33</v>
      </c>
      <c r="V721" t="b">
        <v>0</v>
      </c>
      <c r="W721" t="s">
        <v>31</v>
      </c>
    </row>
    <row r="722" spans="1:23" x14ac:dyDescent="0.25">
      <c r="A722" t="s">
        <v>32</v>
      </c>
      <c r="B722" t="s">
        <v>70</v>
      </c>
      <c r="C722">
        <v>86.02</v>
      </c>
      <c r="D722">
        <v>665</v>
      </c>
      <c r="E722" t="b">
        <v>1</v>
      </c>
      <c r="F722" t="b">
        <v>0</v>
      </c>
      <c r="G722" t="b">
        <v>1</v>
      </c>
      <c r="H722" t="s">
        <v>25</v>
      </c>
      <c r="I722" t="s">
        <v>57</v>
      </c>
      <c r="J722" t="s">
        <v>27</v>
      </c>
      <c r="K722" t="s">
        <v>37</v>
      </c>
      <c r="L722" t="s">
        <v>38</v>
      </c>
      <c r="M722" t="s">
        <v>28</v>
      </c>
      <c r="O722" t="b">
        <v>0</v>
      </c>
      <c r="P722" t="b">
        <v>0</v>
      </c>
      <c r="Q722">
        <v>9.6</v>
      </c>
      <c r="R722" t="b">
        <v>0</v>
      </c>
      <c r="T722">
        <v>0</v>
      </c>
      <c r="U722">
        <v>100</v>
      </c>
      <c r="V722" t="b">
        <v>1</v>
      </c>
      <c r="W722" t="s">
        <v>58</v>
      </c>
    </row>
    <row r="723" spans="1:23" x14ac:dyDescent="0.25">
      <c r="A723" t="s">
        <v>23</v>
      </c>
      <c r="B723" t="s">
        <v>70</v>
      </c>
      <c r="C723">
        <v>83.02</v>
      </c>
      <c r="D723">
        <v>770</v>
      </c>
      <c r="E723" t="b">
        <v>0</v>
      </c>
      <c r="F723" t="b">
        <v>1</v>
      </c>
      <c r="G723" t="b">
        <v>0</v>
      </c>
      <c r="H723" t="s">
        <v>34</v>
      </c>
      <c r="I723" t="s">
        <v>63</v>
      </c>
      <c r="J723" t="s">
        <v>27</v>
      </c>
      <c r="K723" t="s">
        <v>37</v>
      </c>
      <c r="L723" t="s">
        <v>29</v>
      </c>
      <c r="M723" t="s">
        <v>28</v>
      </c>
      <c r="N723" t="s">
        <v>28</v>
      </c>
      <c r="O723" t="b">
        <v>1</v>
      </c>
      <c r="P723" t="b">
        <v>0</v>
      </c>
      <c r="Q723">
        <v>9.5</v>
      </c>
      <c r="R723" t="b">
        <v>1</v>
      </c>
      <c r="S723" t="s">
        <v>64</v>
      </c>
      <c r="T723">
        <v>33.1</v>
      </c>
      <c r="U723">
        <v>90.06</v>
      </c>
      <c r="V723" t="b">
        <v>1</v>
      </c>
      <c r="W723" t="s">
        <v>31</v>
      </c>
    </row>
    <row r="724" spans="1:23" x14ac:dyDescent="0.25">
      <c r="A724" t="s">
        <v>56</v>
      </c>
      <c r="B724" t="s">
        <v>33</v>
      </c>
      <c r="C724">
        <v>81.540000000000006</v>
      </c>
      <c r="D724">
        <v>670</v>
      </c>
      <c r="E724" t="b">
        <v>1</v>
      </c>
      <c r="F724" t="b">
        <v>1</v>
      </c>
      <c r="G724" t="b">
        <v>0</v>
      </c>
      <c r="H724" t="s">
        <v>34</v>
      </c>
      <c r="I724" t="s">
        <v>44</v>
      </c>
      <c r="J724" t="s">
        <v>45</v>
      </c>
      <c r="K724" t="s">
        <v>37</v>
      </c>
      <c r="L724" t="s">
        <v>29</v>
      </c>
      <c r="M724" t="s">
        <v>46</v>
      </c>
      <c r="N724" t="s">
        <v>46</v>
      </c>
      <c r="O724" t="b">
        <v>0</v>
      </c>
      <c r="P724" t="b">
        <v>0</v>
      </c>
      <c r="Q724">
        <v>8.6</v>
      </c>
      <c r="R724" t="b">
        <v>0</v>
      </c>
      <c r="T724">
        <v>0</v>
      </c>
      <c r="U724">
        <v>81.680000000000007</v>
      </c>
      <c r="V724" t="b">
        <v>1</v>
      </c>
      <c r="W724" t="s">
        <v>58</v>
      </c>
    </row>
    <row r="725" spans="1:23" x14ac:dyDescent="0.25">
      <c r="A725" t="s">
        <v>56</v>
      </c>
      <c r="B725" t="s">
        <v>59</v>
      </c>
      <c r="C725">
        <v>79.5</v>
      </c>
      <c r="D725">
        <v>349</v>
      </c>
      <c r="E725" t="b">
        <v>1</v>
      </c>
      <c r="F725" t="b">
        <v>0</v>
      </c>
      <c r="G725" t="b">
        <v>0</v>
      </c>
      <c r="H725" t="s">
        <v>53</v>
      </c>
      <c r="I725" t="s">
        <v>67</v>
      </c>
      <c r="J725" t="s">
        <v>36</v>
      </c>
      <c r="K725" t="s">
        <v>37</v>
      </c>
      <c r="L725" t="s">
        <v>29</v>
      </c>
      <c r="M725" t="s">
        <v>47</v>
      </c>
      <c r="N725" t="s">
        <v>28</v>
      </c>
      <c r="P725" t="b">
        <v>0</v>
      </c>
      <c r="Q725">
        <v>8.1999999999999993</v>
      </c>
      <c r="R725" t="b">
        <v>1</v>
      </c>
      <c r="S725" t="s">
        <v>30</v>
      </c>
      <c r="T725">
        <v>30.2</v>
      </c>
      <c r="U725">
        <v>82.55</v>
      </c>
      <c r="V725" t="b">
        <v>1</v>
      </c>
      <c r="W725" t="s">
        <v>31</v>
      </c>
    </row>
    <row r="726" spans="1:23" x14ac:dyDescent="0.25">
      <c r="A726" t="s">
        <v>23</v>
      </c>
      <c r="B726" t="s">
        <v>33</v>
      </c>
      <c r="C726">
        <v>82.68</v>
      </c>
      <c r="D726">
        <v>693</v>
      </c>
      <c r="E726" t="b">
        <v>0</v>
      </c>
      <c r="F726" t="b">
        <v>0</v>
      </c>
      <c r="G726" t="b">
        <v>0</v>
      </c>
      <c r="H726" t="s">
        <v>25</v>
      </c>
      <c r="I726" t="s">
        <v>67</v>
      </c>
      <c r="J726" t="s">
        <v>45</v>
      </c>
      <c r="K726" t="s">
        <v>37</v>
      </c>
      <c r="L726" t="s">
        <v>51</v>
      </c>
      <c r="M726" t="s">
        <v>39</v>
      </c>
      <c r="N726" t="s">
        <v>46</v>
      </c>
      <c r="O726" t="b">
        <v>1</v>
      </c>
      <c r="P726" t="b">
        <v>0</v>
      </c>
      <c r="Q726">
        <v>8.9</v>
      </c>
      <c r="R726" t="b">
        <v>0</v>
      </c>
      <c r="T726">
        <v>0</v>
      </c>
      <c r="U726">
        <v>84.81</v>
      </c>
      <c r="V726" t="b">
        <v>1</v>
      </c>
      <c r="W726" t="s">
        <v>58</v>
      </c>
    </row>
    <row r="727" spans="1:23" x14ac:dyDescent="0.25">
      <c r="A727" t="s">
        <v>32</v>
      </c>
      <c r="B727" t="s">
        <v>70</v>
      </c>
      <c r="C727">
        <v>80.75</v>
      </c>
      <c r="D727">
        <v>730</v>
      </c>
      <c r="E727" t="b">
        <v>0</v>
      </c>
      <c r="F727" t="b">
        <v>0</v>
      </c>
      <c r="G727" t="b">
        <v>0</v>
      </c>
      <c r="H727" t="s">
        <v>53</v>
      </c>
      <c r="I727" t="s">
        <v>63</v>
      </c>
      <c r="J727" t="s">
        <v>36</v>
      </c>
      <c r="K727" t="s">
        <v>46</v>
      </c>
      <c r="L727" t="s">
        <v>38</v>
      </c>
      <c r="M727" t="s">
        <v>46</v>
      </c>
      <c r="O727" t="b">
        <v>1</v>
      </c>
      <c r="P727" t="b">
        <v>1</v>
      </c>
      <c r="Q727">
        <v>10</v>
      </c>
      <c r="R727" t="b">
        <v>1</v>
      </c>
      <c r="S727" t="s">
        <v>52</v>
      </c>
      <c r="T727">
        <v>35.700000000000003</v>
      </c>
      <c r="U727">
        <v>76.72</v>
      </c>
      <c r="V727" t="b">
        <v>0</v>
      </c>
      <c r="W727" t="s">
        <v>31</v>
      </c>
    </row>
    <row r="728" spans="1:23" x14ac:dyDescent="0.25">
      <c r="A728" t="s">
        <v>56</v>
      </c>
      <c r="B728" t="s">
        <v>76</v>
      </c>
      <c r="C728">
        <v>87.95</v>
      </c>
      <c r="D728">
        <v>727</v>
      </c>
      <c r="E728" t="b">
        <v>0</v>
      </c>
      <c r="F728" t="b">
        <v>0</v>
      </c>
      <c r="G728" t="b">
        <v>0</v>
      </c>
      <c r="H728" t="s">
        <v>43</v>
      </c>
      <c r="I728" t="s">
        <v>67</v>
      </c>
      <c r="J728" t="s">
        <v>45</v>
      </c>
      <c r="K728" t="s">
        <v>28</v>
      </c>
      <c r="L728" t="s">
        <v>69</v>
      </c>
      <c r="M728" t="s">
        <v>46</v>
      </c>
      <c r="N728" t="s">
        <v>46</v>
      </c>
      <c r="P728" t="b">
        <v>1</v>
      </c>
      <c r="Q728">
        <v>10</v>
      </c>
      <c r="R728" t="b">
        <v>0</v>
      </c>
      <c r="T728">
        <v>0</v>
      </c>
      <c r="U728">
        <v>76.69</v>
      </c>
      <c r="V728" t="b">
        <v>0</v>
      </c>
      <c r="W728" t="s">
        <v>58</v>
      </c>
    </row>
    <row r="729" spans="1:23" x14ac:dyDescent="0.25">
      <c r="A729" t="s">
        <v>61</v>
      </c>
      <c r="B729" t="s">
        <v>66</v>
      </c>
      <c r="C729">
        <v>68.62</v>
      </c>
      <c r="D729">
        <v>165</v>
      </c>
      <c r="E729" t="b">
        <v>0</v>
      </c>
      <c r="F729" t="b">
        <v>0</v>
      </c>
      <c r="G729" t="b">
        <v>1</v>
      </c>
      <c r="H729" t="s">
        <v>53</v>
      </c>
      <c r="I729" t="s">
        <v>57</v>
      </c>
      <c r="J729" t="s">
        <v>54</v>
      </c>
      <c r="K729" t="s">
        <v>28</v>
      </c>
      <c r="L729" t="s">
        <v>37</v>
      </c>
      <c r="M729" t="s">
        <v>47</v>
      </c>
      <c r="O729" t="b">
        <v>0</v>
      </c>
      <c r="P729" t="b">
        <v>0</v>
      </c>
      <c r="Q729">
        <v>5.4</v>
      </c>
      <c r="R729" t="b">
        <v>1</v>
      </c>
      <c r="S729" t="s">
        <v>52</v>
      </c>
      <c r="T729">
        <v>28.2</v>
      </c>
      <c r="U729">
        <v>47.13</v>
      </c>
      <c r="V729" t="b">
        <v>1</v>
      </c>
      <c r="W729" t="s">
        <v>41</v>
      </c>
    </row>
    <row r="730" spans="1:23" x14ac:dyDescent="0.25">
      <c r="A730" t="s">
        <v>61</v>
      </c>
      <c r="B730" t="s">
        <v>76</v>
      </c>
      <c r="C730">
        <v>72.290000000000006</v>
      </c>
      <c r="D730">
        <v>574</v>
      </c>
      <c r="E730" t="b">
        <v>1</v>
      </c>
      <c r="F730" t="b">
        <v>1</v>
      </c>
      <c r="G730" t="b">
        <v>1</v>
      </c>
      <c r="H730" t="s">
        <v>25</v>
      </c>
      <c r="I730" t="s">
        <v>26</v>
      </c>
      <c r="J730" t="s">
        <v>50</v>
      </c>
      <c r="K730" t="s">
        <v>39</v>
      </c>
      <c r="L730" t="s">
        <v>38</v>
      </c>
      <c r="M730" t="s">
        <v>46</v>
      </c>
      <c r="O730" t="b">
        <v>0</v>
      </c>
      <c r="P730" t="b">
        <v>1</v>
      </c>
      <c r="Q730">
        <v>7.3</v>
      </c>
      <c r="R730" t="b">
        <v>1</v>
      </c>
      <c r="S730" t="s">
        <v>64</v>
      </c>
      <c r="T730">
        <v>40.299999999999997</v>
      </c>
      <c r="U730">
        <v>83.14</v>
      </c>
      <c r="V730" t="b">
        <v>1</v>
      </c>
      <c r="W730" t="s">
        <v>41</v>
      </c>
    </row>
    <row r="731" spans="1:23" x14ac:dyDescent="0.25">
      <c r="A731" t="s">
        <v>56</v>
      </c>
      <c r="B731" t="s">
        <v>60</v>
      </c>
      <c r="C731">
        <v>45.52</v>
      </c>
      <c r="D731">
        <v>196</v>
      </c>
      <c r="E731" t="b">
        <v>0</v>
      </c>
      <c r="F731" t="b">
        <v>0</v>
      </c>
      <c r="G731" t="b">
        <v>0</v>
      </c>
      <c r="H731" t="s">
        <v>53</v>
      </c>
      <c r="I731" t="s">
        <v>63</v>
      </c>
      <c r="J731" t="s">
        <v>54</v>
      </c>
      <c r="K731" t="s">
        <v>46</v>
      </c>
      <c r="L731" t="s">
        <v>38</v>
      </c>
      <c r="M731" t="s">
        <v>46</v>
      </c>
      <c r="N731" t="s">
        <v>46</v>
      </c>
      <c r="O731" t="b">
        <v>1</v>
      </c>
      <c r="P731" t="b">
        <v>1</v>
      </c>
      <c r="Q731">
        <v>7.5</v>
      </c>
      <c r="R731" t="b">
        <v>0</v>
      </c>
      <c r="T731">
        <v>0</v>
      </c>
      <c r="U731">
        <v>54.94</v>
      </c>
      <c r="V731" t="b">
        <v>0</v>
      </c>
      <c r="W731" t="s">
        <v>31</v>
      </c>
    </row>
    <row r="732" spans="1:23" x14ac:dyDescent="0.25">
      <c r="A732" t="s">
        <v>32</v>
      </c>
      <c r="B732" t="s">
        <v>73</v>
      </c>
      <c r="C732">
        <v>62.63</v>
      </c>
      <c r="D732">
        <v>407</v>
      </c>
      <c r="E732" t="b">
        <v>0</v>
      </c>
      <c r="F732" t="b">
        <v>1</v>
      </c>
      <c r="G732" t="b">
        <v>1</v>
      </c>
      <c r="H732" t="s">
        <v>34</v>
      </c>
      <c r="I732" t="s">
        <v>44</v>
      </c>
      <c r="J732" t="s">
        <v>54</v>
      </c>
      <c r="K732" t="s">
        <v>46</v>
      </c>
      <c r="L732" t="s">
        <v>37</v>
      </c>
      <c r="M732" t="s">
        <v>47</v>
      </c>
      <c r="P732" t="b">
        <v>1</v>
      </c>
      <c r="Q732">
        <v>5.6</v>
      </c>
      <c r="R732" t="b">
        <v>1</v>
      </c>
      <c r="S732" t="s">
        <v>75</v>
      </c>
      <c r="T732">
        <v>42.6</v>
      </c>
      <c r="U732">
        <v>74.260000000000005</v>
      </c>
      <c r="V732" t="b">
        <v>1</v>
      </c>
      <c r="W732" t="s">
        <v>41</v>
      </c>
    </row>
    <row r="733" spans="1:23" x14ac:dyDescent="0.25">
      <c r="A733" t="s">
        <v>74</v>
      </c>
      <c r="B733" t="s">
        <v>60</v>
      </c>
      <c r="C733">
        <v>52.61</v>
      </c>
      <c r="D733">
        <v>792</v>
      </c>
      <c r="E733" t="b">
        <v>1</v>
      </c>
      <c r="F733" t="b">
        <v>0</v>
      </c>
      <c r="G733" t="b">
        <v>0</v>
      </c>
      <c r="H733" t="s">
        <v>43</v>
      </c>
      <c r="I733" t="s">
        <v>67</v>
      </c>
      <c r="J733" t="s">
        <v>50</v>
      </c>
      <c r="K733" t="s">
        <v>39</v>
      </c>
      <c r="L733" t="s">
        <v>29</v>
      </c>
      <c r="M733" t="s">
        <v>28</v>
      </c>
      <c r="N733" t="s">
        <v>39</v>
      </c>
      <c r="O733" t="b">
        <v>1</v>
      </c>
      <c r="P733" t="b">
        <v>1</v>
      </c>
      <c r="Q733">
        <v>8.4</v>
      </c>
      <c r="R733" t="b">
        <v>1</v>
      </c>
      <c r="S733" t="s">
        <v>64</v>
      </c>
      <c r="T733">
        <v>27.8</v>
      </c>
      <c r="U733">
        <v>48.5</v>
      </c>
      <c r="V733" t="b">
        <v>0</v>
      </c>
      <c r="W733" t="s">
        <v>31</v>
      </c>
    </row>
    <row r="734" spans="1:23" x14ac:dyDescent="0.25">
      <c r="A734" t="s">
        <v>32</v>
      </c>
      <c r="B734" t="s">
        <v>73</v>
      </c>
      <c r="C734">
        <v>57.59</v>
      </c>
      <c r="D734">
        <v>113</v>
      </c>
      <c r="E734" t="b">
        <v>1</v>
      </c>
      <c r="F734" t="b">
        <v>0</v>
      </c>
      <c r="G734" t="b">
        <v>1</v>
      </c>
      <c r="H734" t="s">
        <v>43</v>
      </c>
      <c r="I734" t="s">
        <v>26</v>
      </c>
      <c r="J734" t="s">
        <v>50</v>
      </c>
      <c r="K734" t="s">
        <v>39</v>
      </c>
      <c r="L734" t="s">
        <v>37</v>
      </c>
      <c r="M734" t="s">
        <v>28</v>
      </c>
      <c r="N734" t="s">
        <v>28</v>
      </c>
      <c r="O734" t="b">
        <v>0</v>
      </c>
      <c r="P734" t="b">
        <v>1</v>
      </c>
      <c r="Q734">
        <v>6.9</v>
      </c>
      <c r="R734" t="b">
        <v>1</v>
      </c>
      <c r="S734" t="s">
        <v>64</v>
      </c>
      <c r="T734">
        <v>19.5</v>
      </c>
      <c r="U734">
        <v>61.27</v>
      </c>
      <c r="V734" t="b">
        <v>1</v>
      </c>
      <c r="W734" t="s">
        <v>41</v>
      </c>
    </row>
    <row r="735" spans="1:23" x14ac:dyDescent="0.25">
      <c r="A735" t="s">
        <v>32</v>
      </c>
      <c r="B735" t="s">
        <v>42</v>
      </c>
      <c r="C735">
        <v>80.17</v>
      </c>
      <c r="D735">
        <v>708</v>
      </c>
      <c r="E735" t="b">
        <v>1</v>
      </c>
      <c r="F735" t="b">
        <v>1</v>
      </c>
      <c r="G735" t="b">
        <v>0</v>
      </c>
      <c r="H735" t="s">
        <v>53</v>
      </c>
      <c r="I735" t="s">
        <v>67</v>
      </c>
      <c r="J735" t="s">
        <v>50</v>
      </c>
      <c r="K735" t="s">
        <v>46</v>
      </c>
      <c r="L735" t="s">
        <v>37</v>
      </c>
      <c r="M735" t="s">
        <v>28</v>
      </c>
      <c r="N735" t="s">
        <v>28</v>
      </c>
      <c r="O735" t="b">
        <v>1</v>
      </c>
      <c r="P735" t="b">
        <v>0</v>
      </c>
      <c r="Q735">
        <v>10</v>
      </c>
      <c r="R735" t="b">
        <v>1</v>
      </c>
      <c r="S735" t="s">
        <v>40</v>
      </c>
      <c r="T735">
        <v>29.1</v>
      </c>
      <c r="U735">
        <v>85.51</v>
      </c>
      <c r="V735" t="b">
        <v>1</v>
      </c>
      <c r="W735" t="s">
        <v>31</v>
      </c>
    </row>
    <row r="736" spans="1:23" x14ac:dyDescent="0.25">
      <c r="A736" t="s">
        <v>32</v>
      </c>
      <c r="B736" t="s">
        <v>24</v>
      </c>
      <c r="C736">
        <v>96.55</v>
      </c>
      <c r="D736">
        <v>637</v>
      </c>
      <c r="E736" t="b">
        <v>1</v>
      </c>
      <c r="F736" t="b">
        <v>1</v>
      </c>
      <c r="G736" t="b">
        <v>1</v>
      </c>
      <c r="H736" t="s">
        <v>34</v>
      </c>
      <c r="I736" t="s">
        <v>67</v>
      </c>
      <c r="J736" t="s">
        <v>27</v>
      </c>
      <c r="K736" t="s">
        <v>37</v>
      </c>
      <c r="L736" t="s">
        <v>69</v>
      </c>
      <c r="M736" t="s">
        <v>39</v>
      </c>
      <c r="N736" t="s">
        <v>39</v>
      </c>
      <c r="P736" t="b">
        <v>0</v>
      </c>
      <c r="Q736">
        <v>10</v>
      </c>
      <c r="R736" t="b">
        <v>1</v>
      </c>
      <c r="S736" t="s">
        <v>40</v>
      </c>
      <c r="T736">
        <v>17.600000000000001</v>
      </c>
      <c r="U736">
        <v>81.59</v>
      </c>
      <c r="V736" t="b">
        <v>1</v>
      </c>
      <c r="W736" t="s">
        <v>31</v>
      </c>
    </row>
    <row r="737" spans="1:23" x14ac:dyDescent="0.25">
      <c r="A737" t="s">
        <v>68</v>
      </c>
      <c r="B737" t="s">
        <v>24</v>
      </c>
      <c r="C737">
        <v>94.07</v>
      </c>
      <c r="D737">
        <v>532</v>
      </c>
      <c r="E737" t="b">
        <v>0</v>
      </c>
      <c r="F737" t="b">
        <v>0</v>
      </c>
      <c r="G737" t="b">
        <v>1</v>
      </c>
      <c r="H737" t="s">
        <v>25</v>
      </c>
      <c r="I737" t="s">
        <v>26</v>
      </c>
      <c r="J737" t="s">
        <v>45</v>
      </c>
      <c r="K737" t="s">
        <v>37</v>
      </c>
      <c r="L737" t="s">
        <v>38</v>
      </c>
      <c r="M737" t="s">
        <v>46</v>
      </c>
      <c r="O737" t="b">
        <v>1</v>
      </c>
      <c r="P737" t="b">
        <v>1</v>
      </c>
      <c r="Q737">
        <v>10</v>
      </c>
      <c r="R737" t="b">
        <v>1</v>
      </c>
      <c r="S737" t="s">
        <v>75</v>
      </c>
      <c r="T737">
        <v>5.3</v>
      </c>
      <c r="U737">
        <v>96.87</v>
      </c>
      <c r="V737" t="b">
        <v>1</v>
      </c>
      <c r="W737" t="s">
        <v>31</v>
      </c>
    </row>
    <row r="738" spans="1:23" x14ac:dyDescent="0.25">
      <c r="A738" t="s">
        <v>56</v>
      </c>
      <c r="B738" t="s">
        <v>70</v>
      </c>
      <c r="C738">
        <v>93.4</v>
      </c>
      <c r="D738">
        <v>470</v>
      </c>
      <c r="E738" t="b">
        <v>1</v>
      </c>
      <c r="F738" t="b">
        <v>0</v>
      </c>
      <c r="G738" t="b">
        <v>1</v>
      </c>
      <c r="H738" t="s">
        <v>43</v>
      </c>
      <c r="I738" t="s">
        <v>44</v>
      </c>
      <c r="J738" t="s">
        <v>45</v>
      </c>
      <c r="K738" t="s">
        <v>37</v>
      </c>
      <c r="L738" t="s">
        <v>29</v>
      </c>
      <c r="M738" t="s">
        <v>46</v>
      </c>
      <c r="N738" t="s">
        <v>39</v>
      </c>
      <c r="O738" t="b">
        <v>1</v>
      </c>
      <c r="P738" t="b">
        <v>0</v>
      </c>
      <c r="Q738">
        <v>10</v>
      </c>
      <c r="R738" t="b">
        <v>0</v>
      </c>
      <c r="T738">
        <v>0</v>
      </c>
      <c r="U738">
        <v>78.67</v>
      </c>
      <c r="V738" t="b">
        <v>0</v>
      </c>
      <c r="W738" t="s">
        <v>58</v>
      </c>
    </row>
    <row r="739" spans="1:23" x14ac:dyDescent="0.25">
      <c r="A739" t="s">
        <v>32</v>
      </c>
      <c r="B739" t="s">
        <v>73</v>
      </c>
      <c r="C739">
        <v>51.71</v>
      </c>
      <c r="D739">
        <v>711</v>
      </c>
      <c r="E739" t="b">
        <v>0</v>
      </c>
      <c r="F739" t="b">
        <v>1</v>
      </c>
      <c r="G739" t="b">
        <v>0</v>
      </c>
      <c r="H739" t="s">
        <v>53</v>
      </c>
      <c r="I739" t="s">
        <v>57</v>
      </c>
      <c r="J739" t="s">
        <v>54</v>
      </c>
      <c r="K739" t="s">
        <v>37</v>
      </c>
      <c r="L739" t="s">
        <v>51</v>
      </c>
      <c r="M739" t="s">
        <v>28</v>
      </c>
      <c r="N739" t="s">
        <v>28</v>
      </c>
      <c r="O739" t="b">
        <v>0</v>
      </c>
      <c r="P739" t="b">
        <v>0</v>
      </c>
      <c r="Q739">
        <v>3.9</v>
      </c>
      <c r="R739" t="b">
        <v>1</v>
      </c>
      <c r="S739" t="s">
        <v>55</v>
      </c>
      <c r="T739">
        <v>18.2</v>
      </c>
      <c r="U739">
        <v>56.54</v>
      </c>
      <c r="V739" t="b">
        <v>1</v>
      </c>
      <c r="W739" t="s">
        <v>72</v>
      </c>
    </row>
    <row r="740" spans="1:23" x14ac:dyDescent="0.25">
      <c r="A740" t="s">
        <v>68</v>
      </c>
      <c r="B740" t="s">
        <v>42</v>
      </c>
      <c r="C740">
        <v>84.92</v>
      </c>
      <c r="D740">
        <v>734</v>
      </c>
      <c r="E740" t="b">
        <v>1</v>
      </c>
      <c r="F740" t="b">
        <v>1</v>
      </c>
      <c r="G740" t="b">
        <v>0</v>
      </c>
      <c r="H740" t="s">
        <v>53</v>
      </c>
      <c r="I740" t="s">
        <v>35</v>
      </c>
      <c r="J740" t="s">
        <v>45</v>
      </c>
      <c r="K740" t="s">
        <v>37</v>
      </c>
      <c r="L740" t="s">
        <v>51</v>
      </c>
      <c r="M740" t="s">
        <v>39</v>
      </c>
      <c r="N740" t="s">
        <v>39</v>
      </c>
      <c r="O740" t="b">
        <v>0</v>
      </c>
      <c r="P740" t="b">
        <v>0</v>
      </c>
      <c r="Q740">
        <v>8.1999999999999993</v>
      </c>
      <c r="R740" t="b">
        <v>1</v>
      </c>
      <c r="S740" t="s">
        <v>75</v>
      </c>
      <c r="T740">
        <v>5.5</v>
      </c>
      <c r="U740">
        <v>77.47</v>
      </c>
      <c r="V740" t="b">
        <v>1</v>
      </c>
      <c r="W740" t="s">
        <v>31</v>
      </c>
    </row>
    <row r="741" spans="1:23" x14ac:dyDescent="0.25">
      <c r="A741" t="s">
        <v>61</v>
      </c>
      <c r="B741" t="s">
        <v>70</v>
      </c>
      <c r="C741">
        <v>82.15</v>
      </c>
      <c r="D741">
        <v>572</v>
      </c>
      <c r="E741" t="b">
        <v>0</v>
      </c>
      <c r="F741" t="b">
        <v>0</v>
      </c>
      <c r="G741" t="b">
        <v>1</v>
      </c>
      <c r="H741" t="s">
        <v>53</v>
      </c>
      <c r="I741" t="s">
        <v>44</v>
      </c>
      <c r="J741" t="s">
        <v>36</v>
      </c>
      <c r="K741" t="s">
        <v>46</v>
      </c>
      <c r="L741" t="s">
        <v>29</v>
      </c>
      <c r="M741" t="s">
        <v>28</v>
      </c>
      <c r="N741" t="s">
        <v>39</v>
      </c>
      <c r="P741" t="b">
        <v>0</v>
      </c>
      <c r="Q741">
        <v>9.6</v>
      </c>
      <c r="R741" t="b">
        <v>0</v>
      </c>
      <c r="T741">
        <v>0</v>
      </c>
      <c r="U741">
        <v>69.430000000000007</v>
      </c>
      <c r="V741" t="b">
        <v>0</v>
      </c>
      <c r="W741" t="s">
        <v>58</v>
      </c>
    </row>
    <row r="742" spans="1:23" x14ac:dyDescent="0.25">
      <c r="A742" t="s">
        <v>61</v>
      </c>
      <c r="B742" t="s">
        <v>70</v>
      </c>
      <c r="C742">
        <v>92.84</v>
      </c>
      <c r="D742">
        <v>434</v>
      </c>
      <c r="E742" t="b">
        <v>0</v>
      </c>
      <c r="F742" t="b">
        <v>0</v>
      </c>
      <c r="G742" t="b">
        <v>1</v>
      </c>
      <c r="H742" t="s">
        <v>34</v>
      </c>
      <c r="I742" t="s">
        <v>35</v>
      </c>
      <c r="J742" t="s">
        <v>36</v>
      </c>
      <c r="K742" t="s">
        <v>37</v>
      </c>
      <c r="L742" t="s">
        <v>69</v>
      </c>
      <c r="M742" t="s">
        <v>46</v>
      </c>
      <c r="N742" t="s">
        <v>39</v>
      </c>
      <c r="O742" t="b">
        <v>0</v>
      </c>
      <c r="P742" t="b">
        <v>1</v>
      </c>
      <c r="Q742">
        <v>9.1</v>
      </c>
      <c r="R742" t="b">
        <v>0</v>
      </c>
      <c r="T742">
        <v>0</v>
      </c>
      <c r="U742">
        <v>92.26</v>
      </c>
      <c r="V742" t="b">
        <v>1</v>
      </c>
      <c r="W742" t="s">
        <v>58</v>
      </c>
    </row>
    <row r="743" spans="1:23" x14ac:dyDescent="0.25">
      <c r="A743" t="s">
        <v>74</v>
      </c>
      <c r="B743" t="s">
        <v>62</v>
      </c>
      <c r="C743">
        <v>56.18</v>
      </c>
      <c r="D743">
        <v>60</v>
      </c>
      <c r="E743" t="b">
        <v>0</v>
      </c>
      <c r="F743" t="b">
        <v>1</v>
      </c>
      <c r="G743" t="b">
        <v>0</v>
      </c>
      <c r="H743" t="s">
        <v>34</v>
      </c>
      <c r="I743" t="s">
        <v>63</v>
      </c>
      <c r="J743" t="s">
        <v>27</v>
      </c>
      <c r="K743" t="s">
        <v>39</v>
      </c>
      <c r="L743" t="s">
        <v>38</v>
      </c>
      <c r="M743" t="s">
        <v>28</v>
      </c>
      <c r="N743" t="s">
        <v>28</v>
      </c>
      <c r="O743" t="b">
        <v>0</v>
      </c>
      <c r="P743" t="b">
        <v>1</v>
      </c>
      <c r="Q743">
        <v>5.7</v>
      </c>
      <c r="R743" t="b">
        <v>1</v>
      </c>
      <c r="S743" t="s">
        <v>48</v>
      </c>
      <c r="T743">
        <v>41.6</v>
      </c>
      <c r="U743">
        <v>70.05</v>
      </c>
      <c r="V743" t="b">
        <v>1</v>
      </c>
      <c r="W743" t="s">
        <v>41</v>
      </c>
    </row>
    <row r="744" spans="1:23" x14ac:dyDescent="0.25">
      <c r="A744" t="s">
        <v>61</v>
      </c>
      <c r="B744" t="s">
        <v>33</v>
      </c>
      <c r="C744">
        <v>84.48</v>
      </c>
      <c r="D744">
        <v>122</v>
      </c>
      <c r="E744" t="b">
        <v>0</v>
      </c>
      <c r="F744" t="b">
        <v>1</v>
      </c>
      <c r="G744" t="b">
        <v>1</v>
      </c>
      <c r="H744" t="s">
        <v>43</v>
      </c>
      <c r="I744" t="s">
        <v>63</v>
      </c>
      <c r="J744" t="s">
        <v>54</v>
      </c>
      <c r="K744" t="s">
        <v>28</v>
      </c>
      <c r="L744" t="s">
        <v>37</v>
      </c>
      <c r="M744" t="s">
        <v>39</v>
      </c>
      <c r="P744" t="b">
        <v>0</v>
      </c>
      <c r="Q744">
        <v>8</v>
      </c>
      <c r="R744" t="b">
        <v>1</v>
      </c>
      <c r="S744" t="s">
        <v>48</v>
      </c>
      <c r="T744">
        <v>40.5</v>
      </c>
      <c r="U744">
        <v>83.16</v>
      </c>
      <c r="V744" t="b">
        <v>1</v>
      </c>
      <c r="W744" t="s">
        <v>31</v>
      </c>
    </row>
    <row r="745" spans="1:23" x14ac:dyDescent="0.25">
      <c r="A745" t="s">
        <v>68</v>
      </c>
      <c r="B745" t="s">
        <v>60</v>
      </c>
      <c r="C745">
        <v>48.41</v>
      </c>
      <c r="D745">
        <v>798</v>
      </c>
      <c r="E745" t="b">
        <v>0</v>
      </c>
      <c r="F745" t="b">
        <v>1</v>
      </c>
      <c r="G745" t="b">
        <v>1</v>
      </c>
      <c r="H745" t="s">
        <v>53</v>
      </c>
      <c r="I745" t="s">
        <v>35</v>
      </c>
      <c r="J745" t="s">
        <v>54</v>
      </c>
      <c r="K745" t="s">
        <v>39</v>
      </c>
      <c r="L745" t="s">
        <v>29</v>
      </c>
      <c r="M745" t="s">
        <v>39</v>
      </c>
      <c r="N745" t="s">
        <v>46</v>
      </c>
      <c r="O745" t="b">
        <v>0</v>
      </c>
      <c r="P745" t="b">
        <v>0</v>
      </c>
      <c r="Q745">
        <v>2.2999999999999998</v>
      </c>
      <c r="R745" t="b">
        <v>1</v>
      </c>
      <c r="S745" t="s">
        <v>40</v>
      </c>
      <c r="T745">
        <v>17.899999999999999</v>
      </c>
      <c r="U745">
        <v>51.08</v>
      </c>
      <c r="V745" t="b">
        <v>0</v>
      </c>
      <c r="W745" t="s">
        <v>72</v>
      </c>
    </row>
    <row r="746" spans="1:23" x14ac:dyDescent="0.25">
      <c r="A746" t="s">
        <v>32</v>
      </c>
      <c r="B746" t="s">
        <v>71</v>
      </c>
      <c r="C746">
        <v>43.78</v>
      </c>
      <c r="D746">
        <v>737</v>
      </c>
      <c r="E746" t="b">
        <v>1</v>
      </c>
      <c r="F746" t="b">
        <v>0</v>
      </c>
      <c r="G746" t="b">
        <v>1</v>
      </c>
      <c r="H746" t="s">
        <v>25</v>
      </c>
      <c r="I746" t="s">
        <v>44</v>
      </c>
      <c r="J746" t="s">
        <v>36</v>
      </c>
      <c r="K746" t="s">
        <v>28</v>
      </c>
      <c r="L746" t="s">
        <v>51</v>
      </c>
      <c r="M746" t="s">
        <v>28</v>
      </c>
      <c r="N746" t="s">
        <v>46</v>
      </c>
      <c r="P746" t="b">
        <v>1</v>
      </c>
      <c r="Q746">
        <v>6.2</v>
      </c>
      <c r="R746" t="b">
        <v>1</v>
      </c>
      <c r="S746" t="s">
        <v>64</v>
      </c>
      <c r="T746">
        <v>33.799999999999997</v>
      </c>
      <c r="U746">
        <v>33.06</v>
      </c>
      <c r="V746" t="b">
        <v>0</v>
      </c>
      <c r="W746" t="s">
        <v>41</v>
      </c>
    </row>
    <row r="747" spans="1:23" x14ac:dyDescent="0.25">
      <c r="A747" t="s">
        <v>56</v>
      </c>
      <c r="B747" t="s">
        <v>62</v>
      </c>
      <c r="C747">
        <v>57.46</v>
      </c>
      <c r="D747">
        <v>280</v>
      </c>
      <c r="E747" t="b">
        <v>1</v>
      </c>
      <c r="F747" t="b">
        <v>0</v>
      </c>
      <c r="G747" t="b">
        <v>0</v>
      </c>
      <c r="H747" t="s">
        <v>53</v>
      </c>
      <c r="I747" t="s">
        <v>57</v>
      </c>
      <c r="J747" t="s">
        <v>45</v>
      </c>
      <c r="K747" t="s">
        <v>37</v>
      </c>
      <c r="L747" t="s">
        <v>38</v>
      </c>
      <c r="M747" t="s">
        <v>28</v>
      </c>
      <c r="P747" t="b">
        <v>1</v>
      </c>
      <c r="Q747">
        <v>8</v>
      </c>
      <c r="R747" t="b">
        <v>0</v>
      </c>
      <c r="T747">
        <v>0</v>
      </c>
      <c r="U747">
        <v>54.9</v>
      </c>
      <c r="V747" t="b">
        <v>0</v>
      </c>
      <c r="W747" t="s">
        <v>58</v>
      </c>
    </row>
    <row r="748" spans="1:23" x14ac:dyDescent="0.25">
      <c r="A748" t="s">
        <v>23</v>
      </c>
      <c r="B748" t="s">
        <v>60</v>
      </c>
      <c r="C748">
        <v>60.59</v>
      </c>
      <c r="D748">
        <v>89</v>
      </c>
      <c r="E748" t="b">
        <v>1</v>
      </c>
      <c r="F748" t="b">
        <v>1</v>
      </c>
      <c r="G748" t="b">
        <v>0</v>
      </c>
      <c r="H748" t="s">
        <v>43</v>
      </c>
      <c r="I748" t="s">
        <v>67</v>
      </c>
      <c r="J748" t="s">
        <v>36</v>
      </c>
      <c r="K748" t="s">
        <v>28</v>
      </c>
      <c r="L748" t="s">
        <v>38</v>
      </c>
      <c r="M748" t="s">
        <v>39</v>
      </c>
      <c r="N748" t="s">
        <v>46</v>
      </c>
      <c r="P748" t="b">
        <v>1</v>
      </c>
      <c r="Q748">
        <v>7.5</v>
      </c>
      <c r="R748" t="b">
        <v>1</v>
      </c>
      <c r="S748" t="s">
        <v>75</v>
      </c>
      <c r="T748">
        <v>23.1</v>
      </c>
      <c r="U748">
        <v>57.08</v>
      </c>
      <c r="V748" t="b">
        <v>1</v>
      </c>
      <c r="W748" t="s">
        <v>41</v>
      </c>
    </row>
    <row r="749" spans="1:23" x14ac:dyDescent="0.25">
      <c r="A749" t="s">
        <v>56</v>
      </c>
      <c r="B749" t="s">
        <v>70</v>
      </c>
      <c r="C749">
        <v>70.260000000000005</v>
      </c>
      <c r="D749">
        <v>498</v>
      </c>
      <c r="E749" t="b">
        <v>1</v>
      </c>
      <c r="F749" t="b">
        <v>0</v>
      </c>
      <c r="G749" t="b">
        <v>0</v>
      </c>
      <c r="H749" t="s">
        <v>43</v>
      </c>
      <c r="I749" t="s">
        <v>67</v>
      </c>
      <c r="J749" t="s">
        <v>45</v>
      </c>
      <c r="K749" t="s">
        <v>37</v>
      </c>
      <c r="L749" t="s">
        <v>37</v>
      </c>
      <c r="M749" t="s">
        <v>39</v>
      </c>
      <c r="N749" t="s">
        <v>46</v>
      </c>
      <c r="O749" t="b">
        <v>0</v>
      </c>
      <c r="P749" t="b">
        <v>1</v>
      </c>
      <c r="Q749">
        <v>6.6</v>
      </c>
      <c r="R749" t="b">
        <v>0</v>
      </c>
      <c r="T749">
        <v>0</v>
      </c>
      <c r="U749">
        <v>62.8</v>
      </c>
      <c r="V749" t="b">
        <v>1</v>
      </c>
      <c r="W749" t="s">
        <v>31</v>
      </c>
    </row>
    <row r="750" spans="1:23" x14ac:dyDescent="0.25">
      <c r="A750" t="s">
        <v>68</v>
      </c>
      <c r="B750" t="s">
        <v>71</v>
      </c>
      <c r="C750">
        <v>45.7</v>
      </c>
      <c r="D750">
        <v>226</v>
      </c>
      <c r="E750" t="b">
        <v>0</v>
      </c>
      <c r="F750" t="b">
        <v>0</v>
      </c>
      <c r="G750" t="b">
        <v>0</v>
      </c>
      <c r="H750" t="s">
        <v>43</v>
      </c>
      <c r="I750" t="s">
        <v>44</v>
      </c>
      <c r="J750" t="s">
        <v>36</v>
      </c>
      <c r="K750" t="s">
        <v>46</v>
      </c>
      <c r="L750" t="s">
        <v>29</v>
      </c>
      <c r="M750" t="s">
        <v>46</v>
      </c>
      <c r="N750" t="s">
        <v>39</v>
      </c>
      <c r="P750" t="b">
        <v>1</v>
      </c>
      <c r="Q750">
        <v>5</v>
      </c>
      <c r="R750" t="b">
        <v>0</v>
      </c>
      <c r="T750">
        <v>0</v>
      </c>
      <c r="U750">
        <v>46.48</v>
      </c>
      <c r="V750" t="b">
        <v>1</v>
      </c>
      <c r="W750" t="s">
        <v>41</v>
      </c>
    </row>
    <row r="751" spans="1:23" x14ac:dyDescent="0.25">
      <c r="A751" t="s">
        <v>23</v>
      </c>
      <c r="B751" t="s">
        <v>49</v>
      </c>
      <c r="C751">
        <v>68.52</v>
      </c>
      <c r="D751">
        <v>125</v>
      </c>
      <c r="E751" t="b">
        <v>0</v>
      </c>
      <c r="F751" t="b">
        <v>1</v>
      </c>
      <c r="G751" t="b">
        <v>1</v>
      </c>
      <c r="H751" t="s">
        <v>25</v>
      </c>
      <c r="I751" t="s">
        <v>26</v>
      </c>
      <c r="J751" t="s">
        <v>36</v>
      </c>
      <c r="K751" t="s">
        <v>46</v>
      </c>
      <c r="L751" t="s">
        <v>69</v>
      </c>
      <c r="M751" t="s">
        <v>46</v>
      </c>
      <c r="N751" t="s">
        <v>39</v>
      </c>
      <c r="O751" t="b">
        <v>1</v>
      </c>
      <c r="P751" t="b">
        <v>0</v>
      </c>
      <c r="Q751">
        <v>8.6999999999999993</v>
      </c>
      <c r="R751" t="b">
        <v>0</v>
      </c>
      <c r="T751">
        <v>0</v>
      </c>
      <c r="U751">
        <v>70.77</v>
      </c>
      <c r="V751" t="b">
        <v>1</v>
      </c>
      <c r="W751" t="s">
        <v>58</v>
      </c>
    </row>
    <row r="752" spans="1:23" x14ac:dyDescent="0.25">
      <c r="A752" t="s">
        <v>68</v>
      </c>
      <c r="B752" t="s">
        <v>42</v>
      </c>
      <c r="C752">
        <v>69.95</v>
      </c>
      <c r="D752">
        <v>295</v>
      </c>
      <c r="E752" t="b">
        <v>0</v>
      </c>
      <c r="F752" t="b">
        <v>0</v>
      </c>
      <c r="G752" t="b">
        <v>1</v>
      </c>
      <c r="H752" t="s">
        <v>25</v>
      </c>
      <c r="I752" t="s">
        <v>35</v>
      </c>
      <c r="J752" t="s">
        <v>54</v>
      </c>
      <c r="K752" t="s">
        <v>28</v>
      </c>
      <c r="L752" t="s">
        <v>69</v>
      </c>
      <c r="M752" t="s">
        <v>39</v>
      </c>
      <c r="N752" t="s">
        <v>46</v>
      </c>
      <c r="O752" t="b">
        <v>1</v>
      </c>
      <c r="P752" t="b">
        <v>0</v>
      </c>
      <c r="Q752">
        <v>9.4</v>
      </c>
      <c r="R752" t="b">
        <v>0</v>
      </c>
      <c r="T752">
        <v>0</v>
      </c>
      <c r="U752">
        <v>72.39</v>
      </c>
      <c r="V752" t="b">
        <v>0</v>
      </c>
      <c r="W752" t="s">
        <v>58</v>
      </c>
    </row>
    <row r="753" spans="1:23" x14ac:dyDescent="0.25">
      <c r="A753" t="s">
        <v>68</v>
      </c>
      <c r="B753" t="s">
        <v>59</v>
      </c>
      <c r="C753">
        <v>85.42</v>
      </c>
      <c r="D753">
        <v>428</v>
      </c>
      <c r="E753" t="b">
        <v>0</v>
      </c>
      <c r="F753" t="b">
        <v>0</v>
      </c>
      <c r="G753" t="b">
        <v>0</v>
      </c>
      <c r="H753" t="s">
        <v>34</v>
      </c>
      <c r="I753" t="s">
        <v>44</v>
      </c>
      <c r="J753" t="s">
        <v>54</v>
      </c>
      <c r="K753" t="s">
        <v>39</v>
      </c>
      <c r="L753" t="s">
        <v>37</v>
      </c>
      <c r="M753" t="s">
        <v>28</v>
      </c>
      <c r="N753" t="s">
        <v>28</v>
      </c>
      <c r="P753" t="b">
        <v>0</v>
      </c>
      <c r="Q753">
        <v>9</v>
      </c>
      <c r="R753" t="b">
        <v>0</v>
      </c>
      <c r="T753">
        <v>0</v>
      </c>
      <c r="U753">
        <v>90.23</v>
      </c>
      <c r="V753" t="b">
        <v>1</v>
      </c>
      <c r="W753" t="s">
        <v>58</v>
      </c>
    </row>
    <row r="754" spans="1:23" x14ac:dyDescent="0.25">
      <c r="A754" t="s">
        <v>74</v>
      </c>
      <c r="B754" t="s">
        <v>66</v>
      </c>
      <c r="C754">
        <v>63.93</v>
      </c>
      <c r="D754">
        <v>520</v>
      </c>
      <c r="E754" t="b">
        <v>0</v>
      </c>
      <c r="F754" t="b">
        <v>1</v>
      </c>
      <c r="G754" t="b">
        <v>0</v>
      </c>
      <c r="H754" t="s">
        <v>43</v>
      </c>
      <c r="I754" t="s">
        <v>57</v>
      </c>
      <c r="J754" t="s">
        <v>36</v>
      </c>
      <c r="K754" t="s">
        <v>46</v>
      </c>
      <c r="L754" t="s">
        <v>37</v>
      </c>
      <c r="M754" t="s">
        <v>39</v>
      </c>
      <c r="N754" t="s">
        <v>39</v>
      </c>
      <c r="O754" t="b">
        <v>1</v>
      </c>
      <c r="P754" t="b">
        <v>1</v>
      </c>
      <c r="Q754">
        <v>7.8</v>
      </c>
      <c r="R754" t="b">
        <v>0</v>
      </c>
      <c r="T754">
        <v>0</v>
      </c>
      <c r="U754">
        <v>59.11</v>
      </c>
      <c r="V754" t="b">
        <v>1</v>
      </c>
      <c r="W754" t="s">
        <v>31</v>
      </c>
    </row>
    <row r="755" spans="1:23" x14ac:dyDescent="0.25">
      <c r="A755" t="s">
        <v>32</v>
      </c>
      <c r="B755" t="s">
        <v>33</v>
      </c>
      <c r="C755">
        <v>75.16</v>
      </c>
      <c r="D755">
        <v>92</v>
      </c>
      <c r="E755" t="b">
        <v>1</v>
      </c>
      <c r="F755" t="b">
        <v>0</v>
      </c>
      <c r="G755" t="b">
        <v>1</v>
      </c>
      <c r="H755" t="s">
        <v>53</v>
      </c>
      <c r="I755" t="s">
        <v>44</v>
      </c>
      <c r="J755" t="s">
        <v>50</v>
      </c>
      <c r="K755" t="s">
        <v>39</v>
      </c>
      <c r="L755" t="s">
        <v>37</v>
      </c>
      <c r="M755" t="s">
        <v>28</v>
      </c>
      <c r="O755" t="b">
        <v>1</v>
      </c>
      <c r="P755" t="b">
        <v>1</v>
      </c>
      <c r="Q755">
        <v>10</v>
      </c>
      <c r="R755" t="b">
        <v>0</v>
      </c>
      <c r="T755">
        <v>0</v>
      </c>
      <c r="U755">
        <v>67.08</v>
      </c>
      <c r="V755" t="b">
        <v>0</v>
      </c>
      <c r="W755" t="s">
        <v>58</v>
      </c>
    </row>
    <row r="756" spans="1:23" x14ac:dyDescent="0.25">
      <c r="A756" t="s">
        <v>23</v>
      </c>
      <c r="B756" t="s">
        <v>24</v>
      </c>
      <c r="C756">
        <v>91.31</v>
      </c>
      <c r="D756">
        <v>560</v>
      </c>
      <c r="E756" t="b">
        <v>1</v>
      </c>
      <c r="F756" t="b">
        <v>1</v>
      </c>
      <c r="G756" t="b">
        <v>1</v>
      </c>
      <c r="H756" t="s">
        <v>25</v>
      </c>
      <c r="I756" t="s">
        <v>57</v>
      </c>
      <c r="J756" t="s">
        <v>54</v>
      </c>
      <c r="K756" t="s">
        <v>46</v>
      </c>
      <c r="L756" t="s">
        <v>29</v>
      </c>
      <c r="M756" t="s">
        <v>39</v>
      </c>
      <c r="N756" t="s">
        <v>46</v>
      </c>
      <c r="P756" t="b">
        <v>0</v>
      </c>
      <c r="Q756">
        <v>8.9</v>
      </c>
      <c r="R756" t="b">
        <v>0</v>
      </c>
      <c r="T756">
        <v>0</v>
      </c>
      <c r="U756">
        <v>92.59</v>
      </c>
      <c r="V756" t="b">
        <v>1</v>
      </c>
      <c r="W756" t="s">
        <v>58</v>
      </c>
    </row>
    <row r="757" spans="1:23" x14ac:dyDescent="0.25">
      <c r="A757" t="s">
        <v>23</v>
      </c>
      <c r="B757" t="s">
        <v>62</v>
      </c>
      <c r="C757">
        <v>66.599999999999994</v>
      </c>
      <c r="D757">
        <v>338</v>
      </c>
      <c r="E757" t="b">
        <v>0</v>
      </c>
      <c r="F757" t="b">
        <v>1</v>
      </c>
      <c r="G757" t="b">
        <v>0</v>
      </c>
      <c r="H757" t="s">
        <v>25</v>
      </c>
      <c r="I757" t="s">
        <v>44</v>
      </c>
      <c r="J757" t="s">
        <v>45</v>
      </c>
      <c r="K757" t="s">
        <v>28</v>
      </c>
      <c r="L757" t="s">
        <v>69</v>
      </c>
      <c r="M757" t="s">
        <v>39</v>
      </c>
      <c r="N757" t="s">
        <v>28</v>
      </c>
      <c r="P757" t="b">
        <v>1</v>
      </c>
      <c r="Q757">
        <v>7.2</v>
      </c>
      <c r="R757" t="b">
        <v>1</v>
      </c>
      <c r="S757" t="s">
        <v>40</v>
      </c>
      <c r="T757">
        <v>7.8</v>
      </c>
      <c r="U757">
        <v>72.19</v>
      </c>
      <c r="V757" t="b">
        <v>1</v>
      </c>
      <c r="W757" t="s">
        <v>41</v>
      </c>
    </row>
    <row r="758" spans="1:23" x14ac:dyDescent="0.25">
      <c r="A758" t="s">
        <v>74</v>
      </c>
      <c r="B758" t="s">
        <v>73</v>
      </c>
      <c r="C758">
        <v>55.34</v>
      </c>
      <c r="D758">
        <v>415</v>
      </c>
      <c r="E758" t="b">
        <v>0</v>
      </c>
      <c r="F758" t="b">
        <v>0</v>
      </c>
      <c r="G758" t="b">
        <v>1</v>
      </c>
      <c r="H758" t="s">
        <v>53</v>
      </c>
      <c r="I758" t="s">
        <v>63</v>
      </c>
      <c r="J758" t="s">
        <v>54</v>
      </c>
      <c r="K758" t="s">
        <v>37</v>
      </c>
      <c r="L758" t="s">
        <v>38</v>
      </c>
      <c r="M758" t="s">
        <v>46</v>
      </c>
      <c r="N758" t="s">
        <v>46</v>
      </c>
      <c r="O758" t="b">
        <v>1</v>
      </c>
      <c r="P758" t="b">
        <v>1</v>
      </c>
      <c r="Q758">
        <v>8.1999999999999993</v>
      </c>
      <c r="R758" t="b">
        <v>1</v>
      </c>
      <c r="S758" t="s">
        <v>64</v>
      </c>
      <c r="T758">
        <v>17.2</v>
      </c>
      <c r="U758">
        <v>50.52</v>
      </c>
      <c r="V758" t="b">
        <v>0</v>
      </c>
      <c r="W758" t="s">
        <v>31</v>
      </c>
    </row>
    <row r="759" spans="1:23" x14ac:dyDescent="0.25">
      <c r="A759" t="s">
        <v>56</v>
      </c>
      <c r="B759" t="s">
        <v>66</v>
      </c>
      <c r="C759">
        <v>73.37</v>
      </c>
      <c r="D759">
        <v>467</v>
      </c>
      <c r="E759" t="b">
        <v>0</v>
      </c>
      <c r="F759" t="b">
        <v>1</v>
      </c>
      <c r="G759" t="b">
        <v>1</v>
      </c>
      <c r="H759" t="s">
        <v>53</v>
      </c>
      <c r="I759" t="s">
        <v>35</v>
      </c>
      <c r="J759" t="s">
        <v>36</v>
      </c>
      <c r="K759" t="s">
        <v>28</v>
      </c>
      <c r="L759" t="s">
        <v>69</v>
      </c>
      <c r="M759" t="s">
        <v>46</v>
      </c>
      <c r="N759" t="s">
        <v>39</v>
      </c>
      <c r="P759" t="b">
        <v>0</v>
      </c>
      <c r="Q759">
        <v>8.4</v>
      </c>
      <c r="R759" t="b">
        <v>0</v>
      </c>
      <c r="T759">
        <v>0</v>
      </c>
      <c r="U759">
        <v>51.63</v>
      </c>
      <c r="V759" t="b">
        <v>0</v>
      </c>
      <c r="W759" t="s">
        <v>58</v>
      </c>
    </row>
    <row r="760" spans="1:23" x14ac:dyDescent="0.25">
      <c r="A760" t="s">
        <v>23</v>
      </c>
      <c r="B760" t="s">
        <v>62</v>
      </c>
      <c r="C760">
        <v>70.459999999999994</v>
      </c>
      <c r="D760">
        <v>275</v>
      </c>
      <c r="E760" t="b">
        <v>0</v>
      </c>
      <c r="F760" t="b">
        <v>0</v>
      </c>
      <c r="G760" t="b">
        <v>1</v>
      </c>
      <c r="H760" t="s">
        <v>34</v>
      </c>
      <c r="I760" t="s">
        <v>26</v>
      </c>
      <c r="J760" t="s">
        <v>27</v>
      </c>
      <c r="K760" t="s">
        <v>37</v>
      </c>
      <c r="L760" t="s">
        <v>38</v>
      </c>
      <c r="M760" t="s">
        <v>46</v>
      </c>
      <c r="N760" t="s">
        <v>39</v>
      </c>
      <c r="O760" t="b">
        <v>1</v>
      </c>
      <c r="P760" t="b">
        <v>1</v>
      </c>
      <c r="Q760">
        <v>9.4</v>
      </c>
      <c r="R760" t="b">
        <v>0</v>
      </c>
      <c r="T760">
        <v>0</v>
      </c>
      <c r="U760">
        <v>82.93</v>
      </c>
      <c r="V760" t="b">
        <v>1</v>
      </c>
      <c r="W760" t="s">
        <v>58</v>
      </c>
    </row>
    <row r="761" spans="1:23" x14ac:dyDescent="0.25">
      <c r="A761" t="s">
        <v>61</v>
      </c>
      <c r="B761" t="s">
        <v>73</v>
      </c>
      <c r="C761">
        <v>67.25</v>
      </c>
      <c r="D761">
        <v>438</v>
      </c>
      <c r="E761" t="b">
        <v>0</v>
      </c>
      <c r="F761" t="b">
        <v>0</v>
      </c>
      <c r="G761" t="b">
        <v>0</v>
      </c>
      <c r="H761" t="s">
        <v>53</v>
      </c>
      <c r="I761" t="s">
        <v>67</v>
      </c>
      <c r="J761" t="s">
        <v>50</v>
      </c>
      <c r="K761" t="s">
        <v>39</v>
      </c>
      <c r="L761" t="s">
        <v>51</v>
      </c>
      <c r="M761" t="s">
        <v>46</v>
      </c>
      <c r="N761" t="s">
        <v>39</v>
      </c>
      <c r="O761" t="b">
        <v>0</v>
      </c>
      <c r="P761" t="b">
        <v>0</v>
      </c>
      <c r="Q761">
        <v>5.8</v>
      </c>
      <c r="R761" t="b">
        <v>1</v>
      </c>
      <c r="S761" t="s">
        <v>52</v>
      </c>
      <c r="T761">
        <v>2.5</v>
      </c>
      <c r="U761">
        <v>70.84</v>
      </c>
      <c r="V761" t="b">
        <v>1</v>
      </c>
      <c r="W761" t="s">
        <v>41</v>
      </c>
    </row>
    <row r="762" spans="1:23" x14ac:dyDescent="0.25">
      <c r="A762" t="s">
        <v>68</v>
      </c>
      <c r="B762" t="s">
        <v>62</v>
      </c>
      <c r="C762">
        <v>66.23</v>
      </c>
      <c r="D762">
        <v>128</v>
      </c>
      <c r="E762" t="b">
        <v>1</v>
      </c>
      <c r="F762" t="b">
        <v>1</v>
      </c>
      <c r="G762" t="b">
        <v>0</v>
      </c>
      <c r="H762" t="s">
        <v>25</v>
      </c>
      <c r="I762" t="s">
        <v>44</v>
      </c>
      <c r="J762" t="s">
        <v>27</v>
      </c>
      <c r="K762" t="s">
        <v>46</v>
      </c>
      <c r="L762" t="s">
        <v>37</v>
      </c>
      <c r="M762" t="s">
        <v>46</v>
      </c>
      <c r="P762" t="b">
        <v>1</v>
      </c>
      <c r="Q762">
        <v>8.4</v>
      </c>
      <c r="R762" t="b">
        <v>1</v>
      </c>
      <c r="S762" t="s">
        <v>65</v>
      </c>
      <c r="T762">
        <v>2</v>
      </c>
      <c r="U762">
        <v>59.4</v>
      </c>
      <c r="V762" t="b">
        <v>0</v>
      </c>
      <c r="W762" t="s">
        <v>31</v>
      </c>
    </row>
    <row r="763" spans="1:23" x14ac:dyDescent="0.25">
      <c r="A763" t="s">
        <v>23</v>
      </c>
      <c r="B763" t="s">
        <v>60</v>
      </c>
      <c r="C763">
        <v>61.47</v>
      </c>
      <c r="D763">
        <v>369</v>
      </c>
      <c r="E763" t="b">
        <v>1</v>
      </c>
      <c r="F763" t="b">
        <v>1</v>
      </c>
      <c r="G763" t="b">
        <v>1</v>
      </c>
      <c r="H763" t="s">
        <v>43</v>
      </c>
      <c r="I763" t="s">
        <v>57</v>
      </c>
      <c r="J763" t="s">
        <v>36</v>
      </c>
      <c r="K763" t="s">
        <v>28</v>
      </c>
      <c r="L763" t="s">
        <v>69</v>
      </c>
      <c r="M763" t="s">
        <v>39</v>
      </c>
      <c r="N763" t="s">
        <v>28</v>
      </c>
      <c r="P763" t="b">
        <v>0</v>
      </c>
      <c r="Q763">
        <v>7.1</v>
      </c>
      <c r="R763" t="b">
        <v>1</v>
      </c>
      <c r="S763" t="s">
        <v>48</v>
      </c>
      <c r="T763">
        <v>41.1</v>
      </c>
      <c r="U763">
        <v>66.86</v>
      </c>
      <c r="V763" t="b">
        <v>1</v>
      </c>
      <c r="W763" t="s">
        <v>41</v>
      </c>
    </row>
    <row r="764" spans="1:23" x14ac:dyDescent="0.25">
      <c r="A764" t="s">
        <v>68</v>
      </c>
      <c r="B764" t="s">
        <v>42</v>
      </c>
      <c r="C764">
        <v>83.36</v>
      </c>
      <c r="D764">
        <v>360</v>
      </c>
      <c r="E764" t="b">
        <v>1</v>
      </c>
      <c r="F764" t="b">
        <v>1</v>
      </c>
      <c r="G764" t="b">
        <v>0</v>
      </c>
      <c r="H764" t="s">
        <v>25</v>
      </c>
      <c r="I764" t="s">
        <v>35</v>
      </c>
      <c r="J764" t="s">
        <v>36</v>
      </c>
      <c r="K764" t="s">
        <v>46</v>
      </c>
      <c r="L764" t="s">
        <v>38</v>
      </c>
      <c r="M764" t="s">
        <v>39</v>
      </c>
      <c r="N764" t="s">
        <v>28</v>
      </c>
      <c r="O764" t="b">
        <v>0</v>
      </c>
      <c r="P764" t="b">
        <v>1</v>
      </c>
      <c r="Q764">
        <v>8.9</v>
      </c>
      <c r="R764" t="b">
        <v>1</v>
      </c>
      <c r="S764" t="s">
        <v>65</v>
      </c>
      <c r="T764">
        <v>20.399999999999999</v>
      </c>
      <c r="U764">
        <v>81.05</v>
      </c>
      <c r="V764" t="b">
        <v>1</v>
      </c>
      <c r="W764" t="s">
        <v>31</v>
      </c>
    </row>
    <row r="765" spans="1:23" x14ac:dyDescent="0.25">
      <c r="A765" t="s">
        <v>74</v>
      </c>
      <c r="B765" t="s">
        <v>70</v>
      </c>
      <c r="C765">
        <v>82.66</v>
      </c>
      <c r="D765">
        <v>104</v>
      </c>
      <c r="E765" t="b">
        <v>0</v>
      </c>
      <c r="F765" t="b">
        <v>0</v>
      </c>
      <c r="G765" t="b">
        <v>0</v>
      </c>
      <c r="H765" t="s">
        <v>53</v>
      </c>
      <c r="I765" t="s">
        <v>26</v>
      </c>
      <c r="J765" t="s">
        <v>36</v>
      </c>
      <c r="K765" t="s">
        <v>46</v>
      </c>
      <c r="L765" t="s">
        <v>69</v>
      </c>
      <c r="M765" t="s">
        <v>46</v>
      </c>
      <c r="N765" t="s">
        <v>28</v>
      </c>
      <c r="O765" t="b">
        <v>0</v>
      </c>
      <c r="P765" t="b">
        <v>1</v>
      </c>
      <c r="Q765">
        <v>8.8000000000000007</v>
      </c>
      <c r="R765" t="b">
        <v>0</v>
      </c>
      <c r="T765">
        <v>0</v>
      </c>
      <c r="U765">
        <v>76.72</v>
      </c>
      <c r="V765" t="b">
        <v>1</v>
      </c>
      <c r="W765" t="s">
        <v>58</v>
      </c>
    </row>
    <row r="766" spans="1:23" x14ac:dyDescent="0.25">
      <c r="A766" t="s">
        <v>56</v>
      </c>
      <c r="B766" t="s">
        <v>71</v>
      </c>
      <c r="C766">
        <v>59.41</v>
      </c>
      <c r="D766">
        <v>663</v>
      </c>
      <c r="E766" t="b">
        <v>1</v>
      </c>
      <c r="F766" t="b">
        <v>0</v>
      </c>
      <c r="G766" t="b">
        <v>0</v>
      </c>
      <c r="H766" t="s">
        <v>53</v>
      </c>
      <c r="I766" t="s">
        <v>57</v>
      </c>
      <c r="J766" t="s">
        <v>45</v>
      </c>
      <c r="K766" t="s">
        <v>37</v>
      </c>
      <c r="L766" t="s">
        <v>51</v>
      </c>
      <c r="M766" t="s">
        <v>46</v>
      </c>
      <c r="O766" t="b">
        <v>1</v>
      </c>
      <c r="P766" t="b">
        <v>0</v>
      </c>
      <c r="Q766">
        <v>8.4</v>
      </c>
      <c r="R766" t="b">
        <v>0</v>
      </c>
      <c r="T766">
        <v>0</v>
      </c>
      <c r="U766">
        <v>47.7</v>
      </c>
      <c r="V766" t="b">
        <v>0</v>
      </c>
      <c r="W766" t="s">
        <v>58</v>
      </c>
    </row>
    <row r="767" spans="1:23" x14ac:dyDescent="0.25">
      <c r="A767" t="s">
        <v>23</v>
      </c>
      <c r="B767" t="s">
        <v>42</v>
      </c>
      <c r="C767">
        <v>65.22</v>
      </c>
      <c r="D767">
        <v>528</v>
      </c>
      <c r="E767" t="b">
        <v>1</v>
      </c>
      <c r="F767" t="b">
        <v>0</v>
      </c>
      <c r="G767" t="b">
        <v>1</v>
      </c>
      <c r="H767" t="s">
        <v>53</v>
      </c>
      <c r="I767" t="s">
        <v>57</v>
      </c>
      <c r="J767" t="s">
        <v>45</v>
      </c>
      <c r="K767" t="s">
        <v>37</v>
      </c>
      <c r="L767" t="s">
        <v>51</v>
      </c>
      <c r="M767" t="s">
        <v>46</v>
      </c>
      <c r="P767" t="b">
        <v>1</v>
      </c>
      <c r="Q767">
        <v>7.4</v>
      </c>
      <c r="R767" t="b">
        <v>1</v>
      </c>
      <c r="S767" t="s">
        <v>52</v>
      </c>
      <c r="T767">
        <v>34.299999999999997</v>
      </c>
      <c r="U767">
        <v>50.29</v>
      </c>
      <c r="V767" t="b">
        <v>0</v>
      </c>
      <c r="W767" t="s">
        <v>41</v>
      </c>
    </row>
    <row r="768" spans="1:23" x14ac:dyDescent="0.25">
      <c r="A768" t="s">
        <v>61</v>
      </c>
      <c r="B768" t="s">
        <v>33</v>
      </c>
      <c r="C768">
        <v>85.62</v>
      </c>
      <c r="D768">
        <v>635</v>
      </c>
      <c r="E768" t="b">
        <v>0</v>
      </c>
      <c r="F768" t="b">
        <v>1</v>
      </c>
      <c r="G768" t="b">
        <v>0</v>
      </c>
      <c r="H768" t="s">
        <v>34</v>
      </c>
      <c r="I768" t="s">
        <v>63</v>
      </c>
      <c r="J768" t="s">
        <v>27</v>
      </c>
      <c r="K768" t="s">
        <v>28</v>
      </c>
      <c r="L768" t="s">
        <v>29</v>
      </c>
      <c r="M768" t="s">
        <v>46</v>
      </c>
      <c r="N768" t="s">
        <v>39</v>
      </c>
      <c r="P768" t="b">
        <v>1</v>
      </c>
      <c r="Q768">
        <v>8.5</v>
      </c>
      <c r="R768" t="b">
        <v>1</v>
      </c>
      <c r="S768" t="s">
        <v>48</v>
      </c>
      <c r="T768">
        <v>13.7</v>
      </c>
      <c r="U768">
        <v>97.17</v>
      </c>
      <c r="V768" t="b">
        <v>1</v>
      </c>
      <c r="W768" t="s">
        <v>31</v>
      </c>
    </row>
    <row r="769" spans="1:23" x14ac:dyDescent="0.25">
      <c r="A769" t="s">
        <v>32</v>
      </c>
      <c r="B769" t="s">
        <v>24</v>
      </c>
      <c r="C769">
        <v>94.67</v>
      </c>
      <c r="D769">
        <v>643</v>
      </c>
      <c r="E769" t="b">
        <v>1</v>
      </c>
      <c r="F769" t="b">
        <v>1</v>
      </c>
      <c r="G769" t="b">
        <v>1</v>
      </c>
      <c r="H769" t="s">
        <v>43</v>
      </c>
      <c r="I769" t="s">
        <v>26</v>
      </c>
      <c r="J769" t="s">
        <v>36</v>
      </c>
      <c r="K769" t="s">
        <v>39</v>
      </c>
      <c r="L769" t="s">
        <v>69</v>
      </c>
      <c r="M769" t="s">
        <v>39</v>
      </c>
      <c r="N769" t="s">
        <v>46</v>
      </c>
      <c r="O769" t="b">
        <v>0</v>
      </c>
      <c r="P769" t="b">
        <v>0</v>
      </c>
      <c r="Q769">
        <v>8.4</v>
      </c>
      <c r="R769" t="b">
        <v>0</v>
      </c>
      <c r="T769">
        <v>0</v>
      </c>
      <c r="U769">
        <v>79.83</v>
      </c>
      <c r="V769" t="b">
        <v>1</v>
      </c>
      <c r="W769" t="s">
        <v>58</v>
      </c>
    </row>
    <row r="770" spans="1:23" x14ac:dyDescent="0.25">
      <c r="A770" t="s">
        <v>68</v>
      </c>
      <c r="B770" t="s">
        <v>70</v>
      </c>
      <c r="C770">
        <v>90.32</v>
      </c>
      <c r="D770">
        <v>147</v>
      </c>
      <c r="E770" t="b">
        <v>1</v>
      </c>
      <c r="F770" t="b">
        <v>1</v>
      </c>
      <c r="G770" t="b">
        <v>0</v>
      </c>
      <c r="H770" t="s">
        <v>53</v>
      </c>
      <c r="I770" t="s">
        <v>67</v>
      </c>
      <c r="J770" t="s">
        <v>45</v>
      </c>
      <c r="K770" t="s">
        <v>39</v>
      </c>
      <c r="L770" t="s">
        <v>69</v>
      </c>
      <c r="M770" t="s">
        <v>39</v>
      </c>
      <c r="N770" t="s">
        <v>39</v>
      </c>
      <c r="P770" t="b">
        <v>0</v>
      </c>
      <c r="Q770">
        <v>10</v>
      </c>
      <c r="R770" t="b">
        <v>0</v>
      </c>
      <c r="T770">
        <v>0</v>
      </c>
      <c r="U770">
        <v>100</v>
      </c>
      <c r="V770" t="b">
        <v>1</v>
      </c>
      <c r="W770" t="s">
        <v>58</v>
      </c>
    </row>
    <row r="771" spans="1:23" x14ac:dyDescent="0.25">
      <c r="A771" t="s">
        <v>23</v>
      </c>
      <c r="B771" t="s">
        <v>49</v>
      </c>
      <c r="C771">
        <v>70.680000000000007</v>
      </c>
      <c r="D771">
        <v>636</v>
      </c>
      <c r="E771" t="b">
        <v>1</v>
      </c>
      <c r="F771" t="b">
        <v>0</v>
      </c>
      <c r="G771" t="b">
        <v>0</v>
      </c>
      <c r="H771" t="s">
        <v>43</v>
      </c>
      <c r="I771" t="s">
        <v>63</v>
      </c>
      <c r="J771" t="s">
        <v>27</v>
      </c>
      <c r="K771" t="s">
        <v>37</v>
      </c>
      <c r="L771" t="s">
        <v>37</v>
      </c>
      <c r="M771" t="s">
        <v>46</v>
      </c>
      <c r="N771" t="s">
        <v>46</v>
      </c>
      <c r="O771" t="b">
        <v>1</v>
      </c>
      <c r="P771" t="b">
        <v>1</v>
      </c>
      <c r="Q771">
        <v>9.1999999999999993</v>
      </c>
      <c r="R771" t="b">
        <v>1</v>
      </c>
      <c r="S771" t="s">
        <v>64</v>
      </c>
      <c r="T771">
        <v>35.799999999999997</v>
      </c>
      <c r="U771">
        <v>79.58</v>
      </c>
      <c r="V771" t="b">
        <v>1</v>
      </c>
      <c r="W771" t="s">
        <v>31</v>
      </c>
    </row>
    <row r="772" spans="1:23" x14ac:dyDescent="0.25">
      <c r="A772" t="s">
        <v>68</v>
      </c>
      <c r="B772" t="s">
        <v>33</v>
      </c>
      <c r="C772">
        <v>75.47</v>
      </c>
      <c r="D772">
        <v>439</v>
      </c>
      <c r="E772" t="b">
        <v>1</v>
      </c>
      <c r="F772" t="b">
        <v>1</v>
      </c>
      <c r="G772" t="b">
        <v>1</v>
      </c>
      <c r="H772" t="s">
        <v>34</v>
      </c>
      <c r="I772" t="s">
        <v>57</v>
      </c>
      <c r="J772" t="s">
        <v>50</v>
      </c>
      <c r="K772" t="s">
        <v>39</v>
      </c>
      <c r="L772" t="s">
        <v>29</v>
      </c>
      <c r="M772" t="s">
        <v>46</v>
      </c>
      <c r="P772" t="b">
        <v>1</v>
      </c>
      <c r="Q772">
        <v>7.9</v>
      </c>
      <c r="R772" t="b">
        <v>1</v>
      </c>
      <c r="S772" t="s">
        <v>75</v>
      </c>
      <c r="T772">
        <v>13.8</v>
      </c>
      <c r="U772">
        <v>68.48</v>
      </c>
      <c r="V772" t="b">
        <v>1</v>
      </c>
      <c r="W772" t="s">
        <v>41</v>
      </c>
    </row>
    <row r="773" spans="1:23" x14ac:dyDescent="0.25">
      <c r="A773" t="s">
        <v>23</v>
      </c>
      <c r="B773" t="s">
        <v>70</v>
      </c>
      <c r="C773">
        <v>84.5</v>
      </c>
      <c r="D773">
        <v>143</v>
      </c>
      <c r="E773" t="b">
        <v>0</v>
      </c>
      <c r="F773" t="b">
        <v>0</v>
      </c>
      <c r="G773" t="b">
        <v>1</v>
      </c>
      <c r="H773" t="s">
        <v>43</v>
      </c>
      <c r="I773" t="s">
        <v>63</v>
      </c>
      <c r="J773" t="s">
        <v>54</v>
      </c>
      <c r="K773" t="s">
        <v>39</v>
      </c>
      <c r="L773" t="s">
        <v>69</v>
      </c>
      <c r="M773" t="s">
        <v>39</v>
      </c>
      <c r="N773" t="s">
        <v>39</v>
      </c>
      <c r="O773" t="b">
        <v>0</v>
      </c>
      <c r="P773" t="b">
        <v>1</v>
      </c>
      <c r="Q773">
        <v>8.1</v>
      </c>
      <c r="R773" t="b">
        <v>0</v>
      </c>
      <c r="T773">
        <v>0</v>
      </c>
      <c r="U773">
        <v>79.62</v>
      </c>
      <c r="V773" t="b">
        <v>1</v>
      </c>
      <c r="W773" t="s">
        <v>58</v>
      </c>
    </row>
    <row r="774" spans="1:23" x14ac:dyDescent="0.25">
      <c r="A774" t="s">
        <v>61</v>
      </c>
      <c r="B774" t="s">
        <v>49</v>
      </c>
      <c r="C774">
        <v>77.41</v>
      </c>
      <c r="D774">
        <v>251</v>
      </c>
      <c r="E774" t="b">
        <v>0</v>
      </c>
      <c r="F774" t="b">
        <v>1</v>
      </c>
      <c r="G774" t="b">
        <v>1</v>
      </c>
      <c r="H774" t="s">
        <v>25</v>
      </c>
      <c r="I774" t="s">
        <v>63</v>
      </c>
      <c r="J774" t="s">
        <v>50</v>
      </c>
      <c r="K774" t="s">
        <v>39</v>
      </c>
      <c r="L774" t="s">
        <v>69</v>
      </c>
      <c r="M774" t="s">
        <v>47</v>
      </c>
      <c r="N774" t="s">
        <v>39</v>
      </c>
      <c r="O774" t="b">
        <v>1</v>
      </c>
      <c r="P774" t="b">
        <v>1</v>
      </c>
      <c r="Q774">
        <v>8.6</v>
      </c>
      <c r="R774" t="b">
        <v>0</v>
      </c>
      <c r="T774">
        <v>0</v>
      </c>
      <c r="U774">
        <v>75.14</v>
      </c>
      <c r="V774" t="b">
        <v>1</v>
      </c>
      <c r="W774" t="s">
        <v>58</v>
      </c>
    </row>
    <row r="775" spans="1:23" x14ac:dyDescent="0.25">
      <c r="A775" t="s">
        <v>56</v>
      </c>
      <c r="B775" t="s">
        <v>59</v>
      </c>
      <c r="C775">
        <v>77.739999999999995</v>
      </c>
      <c r="D775">
        <v>275</v>
      </c>
      <c r="E775" t="b">
        <v>1</v>
      </c>
      <c r="F775" t="b">
        <v>1</v>
      </c>
      <c r="G775" t="b">
        <v>0</v>
      </c>
      <c r="H775" t="s">
        <v>53</v>
      </c>
      <c r="I775" t="s">
        <v>63</v>
      </c>
      <c r="J775" t="s">
        <v>36</v>
      </c>
      <c r="K775" t="s">
        <v>39</v>
      </c>
      <c r="L775" t="s">
        <v>37</v>
      </c>
      <c r="M775" t="s">
        <v>39</v>
      </c>
      <c r="N775" t="s">
        <v>39</v>
      </c>
      <c r="O775" t="b">
        <v>1</v>
      </c>
      <c r="P775" t="b">
        <v>1</v>
      </c>
      <c r="Q775">
        <v>8.9</v>
      </c>
      <c r="R775" t="b">
        <v>1</v>
      </c>
      <c r="S775" t="s">
        <v>30</v>
      </c>
      <c r="T775">
        <v>9.1999999999999993</v>
      </c>
      <c r="U775">
        <v>70.650000000000006</v>
      </c>
      <c r="V775" t="b">
        <v>1</v>
      </c>
      <c r="W775" t="s">
        <v>31</v>
      </c>
    </row>
    <row r="776" spans="1:23" x14ac:dyDescent="0.25">
      <c r="A776" t="s">
        <v>32</v>
      </c>
      <c r="B776" t="s">
        <v>33</v>
      </c>
      <c r="C776">
        <v>78.39</v>
      </c>
      <c r="D776">
        <v>517</v>
      </c>
      <c r="E776" t="b">
        <v>1</v>
      </c>
      <c r="F776" t="b">
        <v>1</v>
      </c>
      <c r="G776" t="b">
        <v>0</v>
      </c>
      <c r="H776" t="s">
        <v>25</v>
      </c>
      <c r="I776" t="s">
        <v>63</v>
      </c>
      <c r="J776" t="s">
        <v>45</v>
      </c>
      <c r="K776" t="s">
        <v>46</v>
      </c>
      <c r="L776" t="s">
        <v>37</v>
      </c>
      <c r="M776" t="s">
        <v>46</v>
      </c>
      <c r="O776" t="b">
        <v>0</v>
      </c>
      <c r="P776" t="b">
        <v>1</v>
      </c>
      <c r="Q776">
        <v>7.4</v>
      </c>
      <c r="R776" t="b">
        <v>0</v>
      </c>
      <c r="T776">
        <v>0</v>
      </c>
      <c r="U776">
        <v>83.84</v>
      </c>
      <c r="V776" t="b">
        <v>1</v>
      </c>
      <c r="W776" t="s">
        <v>31</v>
      </c>
    </row>
    <row r="777" spans="1:23" x14ac:dyDescent="0.25">
      <c r="A777" t="s">
        <v>61</v>
      </c>
      <c r="B777" t="s">
        <v>70</v>
      </c>
      <c r="C777">
        <v>78.069999999999993</v>
      </c>
      <c r="D777">
        <v>80</v>
      </c>
      <c r="E777" t="b">
        <v>1</v>
      </c>
      <c r="F777" t="b">
        <v>0</v>
      </c>
      <c r="G777" t="b">
        <v>1</v>
      </c>
      <c r="H777" t="s">
        <v>43</v>
      </c>
      <c r="I777" t="s">
        <v>44</v>
      </c>
      <c r="J777" t="s">
        <v>50</v>
      </c>
      <c r="K777" t="s">
        <v>28</v>
      </c>
      <c r="L777" t="s">
        <v>69</v>
      </c>
      <c r="M777" t="s">
        <v>47</v>
      </c>
      <c r="N777" t="s">
        <v>28</v>
      </c>
      <c r="P777" t="b">
        <v>0</v>
      </c>
      <c r="Q777">
        <v>8.4</v>
      </c>
      <c r="R777" t="b">
        <v>1</v>
      </c>
      <c r="S777" t="s">
        <v>65</v>
      </c>
      <c r="T777">
        <v>5.0999999999999996</v>
      </c>
      <c r="U777">
        <v>90.32</v>
      </c>
      <c r="V777" t="b">
        <v>1</v>
      </c>
      <c r="W777" t="s">
        <v>31</v>
      </c>
    </row>
    <row r="778" spans="1:23" x14ac:dyDescent="0.25">
      <c r="A778" t="s">
        <v>61</v>
      </c>
      <c r="B778" t="s">
        <v>42</v>
      </c>
      <c r="C778">
        <v>81.73</v>
      </c>
      <c r="D778">
        <v>482</v>
      </c>
      <c r="E778" t="b">
        <v>0</v>
      </c>
      <c r="F778" t="b">
        <v>0</v>
      </c>
      <c r="G778" t="b">
        <v>1</v>
      </c>
      <c r="H778" t="s">
        <v>43</v>
      </c>
      <c r="I778" t="s">
        <v>26</v>
      </c>
      <c r="J778" t="s">
        <v>27</v>
      </c>
      <c r="K778" t="s">
        <v>28</v>
      </c>
      <c r="L778" t="s">
        <v>29</v>
      </c>
      <c r="M778" t="s">
        <v>28</v>
      </c>
      <c r="N778" t="s">
        <v>39</v>
      </c>
      <c r="P778" t="b">
        <v>0</v>
      </c>
      <c r="Q778">
        <v>9.1999999999999993</v>
      </c>
      <c r="R778" t="b">
        <v>1</v>
      </c>
      <c r="S778" t="s">
        <v>75</v>
      </c>
      <c r="T778">
        <v>2.6</v>
      </c>
      <c r="U778">
        <v>85.3</v>
      </c>
      <c r="V778" t="b">
        <v>1</v>
      </c>
      <c r="W778" t="s">
        <v>31</v>
      </c>
    </row>
    <row r="779" spans="1:23" x14ac:dyDescent="0.25">
      <c r="A779" t="s">
        <v>32</v>
      </c>
      <c r="B779" t="s">
        <v>70</v>
      </c>
      <c r="C779">
        <v>70.8</v>
      </c>
      <c r="D779">
        <v>562</v>
      </c>
      <c r="E779" t="b">
        <v>0</v>
      </c>
      <c r="F779" t="b">
        <v>1</v>
      </c>
      <c r="G779" t="b">
        <v>1</v>
      </c>
      <c r="H779" t="s">
        <v>43</v>
      </c>
      <c r="I779" t="s">
        <v>57</v>
      </c>
      <c r="J779" t="s">
        <v>36</v>
      </c>
      <c r="K779" t="s">
        <v>46</v>
      </c>
      <c r="L779" t="s">
        <v>51</v>
      </c>
      <c r="M779" t="s">
        <v>39</v>
      </c>
      <c r="N779" t="s">
        <v>39</v>
      </c>
      <c r="P779" t="b">
        <v>1</v>
      </c>
      <c r="Q779">
        <v>6.5</v>
      </c>
      <c r="R779" t="b">
        <v>1</v>
      </c>
      <c r="S779" t="s">
        <v>30</v>
      </c>
      <c r="T779">
        <v>44.8</v>
      </c>
      <c r="U779">
        <v>71.22</v>
      </c>
      <c r="V779" t="b">
        <v>1</v>
      </c>
      <c r="W779" t="s">
        <v>41</v>
      </c>
    </row>
    <row r="780" spans="1:23" x14ac:dyDescent="0.25">
      <c r="A780" t="s">
        <v>61</v>
      </c>
      <c r="B780" t="s">
        <v>59</v>
      </c>
      <c r="C780">
        <v>79.849999999999994</v>
      </c>
      <c r="D780">
        <v>752</v>
      </c>
      <c r="E780" t="b">
        <v>0</v>
      </c>
      <c r="F780" t="b">
        <v>0</v>
      </c>
      <c r="G780" t="b">
        <v>1</v>
      </c>
      <c r="H780" t="s">
        <v>34</v>
      </c>
      <c r="I780" t="s">
        <v>26</v>
      </c>
      <c r="J780" t="s">
        <v>36</v>
      </c>
      <c r="K780" t="s">
        <v>28</v>
      </c>
      <c r="L780" t="s">
        <v>29</v>
      </c>
      <c r="M780" t="s">
        <v>47</v>
      </c>
      <c r="N780" t="s">
        <v>46</v>
      </c>
      <c r="P780" t="b">
        <v>0</v>
      </c>
      <c r="Q780">
        <v>7.9</v>
      </c>
      <c r="R780" t="b">
        <v>1</v>
      </c>
      <c r="S780" t="s">
        <v>48</v>
      </c>
      <c r="T780">
        <v>42.3</v>
      </c>
      <c r="U780">
        <v>86.66</v>
      </c>
      <c r="V780" t="b">
        <v>1</v>
      </c>
      <c r="W780" t="s">
        <v>41</v>
      </c>
    </row>
    <row r="781" spans="1:23" x14ac:dyDescent="0.25">
      <c r="A781" t="s">
        <v>61</v>
      </c>
      <c r="B781" t="s">
        <v>24</v>
      </c>
      <c r="C781">
        <v>86.87</v>
      </c>
      <c r="D781">
        <v>359</v>
      </c>
      <c r="E781" t="b">
        <v>1</v>
      </c>
      <c r="F781" t="b">
        <v>0</v>
      </c>
      <c r="G781" t="b">
        <v>0</v>
      </c>
      <c r="H781" t="s">
        <v>53</v>
      </c>
      <c r="I781" t="s">
        <v>67</v>
      </c>
      <c r="J781" t="s">
        <v>45</v>
      </c>
      <c r="K781" t="s">
        <v>28</v>
      </c>
      <c r="L781" t="s">
        <v>37</v>
      </c>
      <c r="M781" t="s">
        <v>39</v>
      </c>
      <c r="N781" t="s">
        <v>39</v>
      </c>
      <c r="O781" t="b">
        <v>0</v>
      </c>
      <c r="P781" t="b">
        <v>1</v>
      </c>
      <c r="Q781">
        <v>8.6</v>
      </c>
      <c r="R781" t="b">
        <v>0</v>
      </c>
      <c r="T781">
        <v>0</v>
      </c>
      <c r="U781">
        <v>73.400000000000006</v>
      </c>
      <c r="V781" t="b">
        <v>1</v>
      </c>
      <c r="W781" t="s">
        <v>58</v>
      </c>
    </row>
    <row r="782" spans="1:23" x14ac:dyDescent="0.25">
      <c r="A782" t="s">
        <v>74</v>
      </c>
      <c r="B782" t="s">
        <v>60</v>
      </c>
      <c r="C782">
        <v>54.43</v>
      </c>
      <c r="D782">
        <v>420</v>
      </c>
      <c r="E782" t="b">
        <v>1</v>
      </c>
      <c r="F782" t="b">
        <v>1</v>
      </c>
      <c r="G782" t="b">
        <v>0</v>
      </c>
      <c r="H782" t="s">
        <v>53</v>
      </c>
      <c r="I782" t="s">
        <v>57</v>
      </c>
      <c r="J782" t="s">
        <v>36</v>
      </c>
      <c r="K782" t="s">
        <v>39</v>
      </c>
      <c r="L782" t="s">
        <v>69</v>
      </c>
      <c r="M782" t="s">
        <v>28</v>
      </c>
      <c r="N782" t="s">
        <v>46</v>
      </c>
      <c r="O782" t="b">
        <v>0</v>
      </c>
      <c r="P782" t="b">
        <v>0</v>
      </c>
      <c r="Q782">
        <v>6.1</v>
      </c>
      <c r="R782" t="b">
        <v>1</v>
      </c>
      <c r="S782" t="s">
        <v>48</v>
      </c>
      <c r="T782">
        <v>16</v>
      </c>
      <c r="U782">
        <v>56.42</v>
      </c>
      <c r="V782" t="b">
        <v>1</v>
      </c>
      <c r="W782" t="s">
        <v>41</v>
      </c>
    </row>
    <row r="783" spans="1:23" x14ac:dyDescent="0.25">
      <c r="A783" t="s">
        <v>32</v>
      </c>
      <c r="B783" t="s">
        <v>24</v>
      </c>
      <c r="C783">
        <v>92.18</v>
      </c>
      <c r="D783">
        <v>311</v>
      </c>
      <c r="E783" t="b">
        <v>0</v>
      </c>
      <c r="F783" t="b">
        <v>1</v>
      </c>
      <c r="G783" t="b">
        <v>1</v>
      </c>
      <c r="H783" t="s">
        <v>34</v>
      </c>
      <c r="I783" t="s">
        <v>35</v>
      </c>
      <c r="J783" t="s">
        <v>45</v>
      </c>
      <c r="K783" t="s">
        <v>46</v>
      </c>
      <c r="L783" t="s">
        <v>69</v>
      </c>
      <c r="M783" t="s">
        <v>47</v>
      </c>
      <c r="P783" t="b">
        <v>0</v>
      </c>
      <c r="Q783">
        <v>8.6</v>
      </c>
      <c r="R783" t="b">
        <v>1</v>
      </c>
      <c r="S783" t="s">
        <v>52</v>
      </c>
      <c r="T783">
        <v>39.799999999999997</v>
      </c>
      <c r="U783">
        <v>100</v>
      </c>
      <c r="V783" t="b">
        <v>1</v>
      </c>
      <c r="W783" t="s">
        <v>31</v>
      </c>
    </row>
    <row r="784" spans="1:23" x14ac:dyDescent="0.25">
      <c r="A784" t="s">
        <v>56</v>
      </c>
      <c r="B784" t="s">
        <v>59</v>
      </c>
      <c r="C784">
        <v>81.099999999999994</v>
      </c>
      <c r="D784">
        <v>654</v>
      </c>
      <c r="E784" t="b">
        <v>0</v>
      </c>
      <c r="F784" t="b">
        <v>1</v>
      </c>
      <c r="G784" t="b">
        <v>1</v>
      </c>
      <c r="H784" t="s">
        <v>34</v>
      </c>
      <c r="I784" t="s">
        <v>35</v>
      </c>
      <c r="J784" t="s">
        <v>45</v>
      </c>
      <c r="K784" t="s">
        <v>37</v>
      </c>
      <c r="L784" t="s">
        <v>38</v>
      </c>
      <c r="M784" t="s">
        <v>39</v>
      </c>
      <c r="N784" t="s">
        <v>28</v>
      </c>
      <c r="O784" t="b">
        <v>0</v>
      </c>
      <c r="P784" t="b">
        <v>1</v>
      </c>
      <c r="Q784">
        <v>7</v>
      </c>
      <c r="R784" t="b">
        <v>1</v>
      </c>
      <c r="S784" t="s">
        <v>75</v>
      </c>
      <c r="T784">
        <v>28.3</v>
      </c>
      <c r="U784">
        <v>75.680000000000007</v>
      </c>
      <c r="V784" t="b">
        <v>1</v>
      </c>
      <c r="W784" t="s">
        <v>41</v>
      </c>
    </row>
    <row r="785" spans="1:23" x14ac:dyDescent="0.25">
      <c r="A785" t="s">
        <v>61</v>
      </c>
      <c r="B785" t="s">
        <v>76</v>
      </c>
      <c r="C785">
        <v>79.45</v>
      </c>
      <c r="D785">
        <v>185</v>
      </c>
      <c r="E785" t="b">
        <v>1</v>
      </c>
      <c r="F785" t="b">
        <v>0</v>
      </c>
      <c r="G785" t="b">
        <v>0</v>
      </c>
      <c r="H785" t="s">
        <v>43</v>
      </c>
      <c r="I785" t="s">
        <v>35</v>
      </c>
      <c r="J785" t="s">
        <v>50</v>
      </c>
      <c r="K785" t="s">
        <v>37</v>
      </c>
      <c r="L785" t="s">
        <v>29</v>
      </c>
      <c r="M785" t="s">
        <v>46</v>
      </c>
      <c r="N785" t="s">
        <v>39</v>
      </c>
      <c r="O785" t="b">
        <v>0</v>
      </c>
      <c r="P785" t="b">
        <v>0</v>
      </c>
      <c r="Q785">
        <v>8.1999999999999993</v>
      </c>
      <c r="R785" t="b">
        <v>1</v>
      </c>
      <c r="S785" t="s">
        <v>30</v>
      </c>
      <c r="T785">
        <v>28</v>
      </c>
      <c r="U785">
        <v>93.81</v>
      </c>
      <c r="V785" t="b">
        <v>1</v>
      </c>
      <c r="W785" t="s">
        <v>31</v>
      </c>
    </row>
    <row r="786" spans="1:23" x14ac:dyDescent="0.25">
      <c r="A786" t="s">
        <v>32</v>
      </c>
      <c r="B786" t="s">
        <v>66</v>
      </c>
      <c r="C786">
        <v>65.459999999999994</v>
      </c>
      <c r="D786">
        <v>653</v>
      </c>
      <c r="E786" t="b">
        <v>0</v>
      </c>
      <c r="F786" t="b">
        <v>1</v>
      </c>
      <c r="G786" t="b">
        <v>0</v>
      </c>
      <c r="H786" t="s">
        <v>34</v>
      </c>
      <c r="I786" t="s">
        <v>57</v>
      </c>
      <c r="J786" t="s">
        <v>50</v>
      </c>
      <c r="K786" t="s">
        <v>46</v>
      </c>
      <c r="L786" t="s">
        <v>51</v>
      </c>
      <c r="M786" t="s">
        <v>47</v>
      </c>
      <c r="N786" t="s">
        <v>39</v>
      </c>
      <c r="P786" t="b">
        <v>0</v>
      </c>
      <c r="Q786">
        <v>5.6</v>
      </c>
      <c r="R786" t="b">
        <v>1</v>
      </c>
      <c r="S786" t="s">
        <v>40</v>
      </c>
      <c r="T786">
        <v>21.5</v>
      </c>
      <c r="U786">
        <v>50.08</v>
      </c>
      <c r="V786" t="b">
        <v>1</v>
      </c>
      <c r="W786" t="s">
        <v>41</v>
      </c>
    </row>
    <row r="787" spans="1:23" x14ac:dyDescent="0.25">
      <c r="A787" t="s">
        <v>23</v>
      </c>
      <c r="B787" t="s">
        <v>49</v>
      </c>
      <c r="C787">
        <v>72.95</v>
      </c>
      <c r="D787">
        <v>787</v>
      </c>
      <c r="E787" t="b">
        <v>1</v>
      </c>
      <c r="F787" t="b">
        <v>0</v>
      </c>
      <c r="G787" t="b">
        <v>0</v>
      </c>
      <c r="H787" t="s">
        <v>53</v>
      </c>
      <c r="I787" t="s">
        <v>57</v>
      </c>
      <c r="J787" t="s">
        <v>45</v>
      </c>
      <c r="K787" t="s">
        <v>39</v>
      </c>
      <c r="L787" t="s">
        <v>38</v>
      </c>
      <c r="M787" t="s">
        <v>28</v>
      </c>
      <c r="N787" t="s">
        <v>46</v>
      </c>
      <c r="P787" t="b">
        <v>1</v>
      </c>
      <c r="Q787">
        <v>9.3000000000000007</v>
      </c>
      <c r="R787" t="b">
        <v>0</v>
      </c>
      <c r="T787">
        <v>0</v>
      </c>
      <c r="U787">
        <v>66.62</v>
      </c>
      <c r="V787" t="b">
        <v>0</v>
      </c>
      <c r="W787" t="s">
        <v>58</v>
      </c>
    </row>
    <row r="788" spans="1:23" x14ac:dyDescent="0.25">
      <c r="A788" t="s">
        <v>56</v>
      </c>
      <c r="B788" t="s">
        <v>76</v>
      </c>
      <c r="C788">
        <v>89.23</v>
      </c>
      <c r="D788">
        <v>759</v>
      </c>
      <c r="E788" t="b">
        <v>1</v>
      </c>
      <c r="F788" t="b">
        <v>1</v>
      </c>
      <c r="G788" t="b">
        <v>0</v>
      </c>
      <c r="H788" t="s">
        <v>25</v>
      </c>
      <c r="I788" t="s">
        <v>63</v>
      </c>
      <c r="J788" t="s">
        <v>27</v>
      </c>
      <c r="K788" t="s">
        <v>39</v>
      </c>
      <c r="L788" t="s">
        <v>51</v>
      </c>
      <c r="M788" t="s">
        <v>46</v>
      </c>
      <c r="N788" t="s">
        <v>39</v>
      </c>
      <c r="O788" t="b">
        <v>1</v>
      </c>
      <c r="P788" t="b">
        <v>0</v>
      </c>
      <c r="Q788">
        <v>10</v>
      </c>
      <c r="R788" t="b">
        <v>1</v>
      </c>
      <c r="S788" t="s">
        <v>75</v>
      </c>
      <c r="T788">
        <v>13.4</v>
      </c>
      <c r="U788">
        <v>81.62</v>
      </c>
      <c r="V788" t="b">
        <v>1</v>
      </c>
      <c r="W788" t="s">
        <v>31</v>
      </c>
    </row>
    <row r="789" spans="1:23" x14ac:dyDescent="0.25">
      <c r="A789" t="s">
        <v>68</v>
      </c>
      <c r="B789" t="s">
        <v>42</v>
      </c>
      <c r="C789">
        <v>68.959999999999994</v>
      </c>
      <c r="D789">
        <v>196</v>
      </c>
      <c r="E789" t="b">
        <v>0</v>
      </c>
      <c r="F789" t="b">
        <v>1</v>
      </c>
      <c r="G789" t="b">
        <v>1</v>
      </c>
      <c r="H789" t="s">
        <v>25</v>
      </c>
      <c r="I789" t="s">
        <v>67</v>
      </c>
      <c r="J789" t="s">
        <v>54</v>
      </c>
      <c r="K789" t="s">
        <v>39</v>
      </c>
      <c r="L789" t="s">
        <v>69</v>
      </c>
      <c r="M789" t="s">
        <v>46</v>
      </c>
      <c r="N789" t="s">
        <v>28</v>
      </c>
      <c r="O789" t="b">
        <v>1</v>
      </c>
      <c r="P789" t="b">
        <v>1</v>
      </c>
      <c r="Q789">
        <v>8.4</v>
      </c>
      <c r="R789" t="b">
        <v>0</v>
      </c>
      <c r="T789">
        <v>0</v>
      </c>
      <c r="U789">
        <v>68.98</v>
      </c>
      <c r="V789" t="b">
        <v>1</v>
      </c>
      <c r="W789" t="s">
        <v>58</v>
      </c>
    </row>
    <row r="790" spans="1:23" x14ac:dyDescent="0.25">
      <c r="A790" t="s">
        <v>68</v>
      </c>
      <c r="B790" t="s">
        <v>71</v>
      </c>
      <c r="C790">
        <v>56.78</v>
      </c>
      <c r="D790">
        <v>280</v>
      </c>
      <c r="E790" t="b">
        <v>0</v>
      </c>
      <c r="F790" t="b">
        <v>1</v>
      </c>
      <c r="G790" t="b">
        <v>0</v>
      </c>
      <c r="H790" t="s">
        <v>43</v>
      </c>
      <c r="I790" t="s">
        <v>26</v>
      </c>
      <c r="J790" t="s">
        <v>36</v>
      </c>
      <c r="K790" t="s">
        <v>39</v>
      </c>
      <c r="L790" t="s">
        <v>69</v>
      </c>
      <c r="M790" t="s">
        <v>47</v>
      </c>
      <c r="N790" t="s">
        <v>28</v>
      </c>
      <c r="O790" t="b">
        <v>0</v>
      </c>
      <c r="P790" t="b">
        <v>0</v>
      </c>
      <c r="Q790">
        <v>4.3</v>
      </c>
      <c r="R790" t="b">
        <v>1</v>
      </c>
      <c r="S790" t="s">
        <v>75</v>
      </c>
      <c r="T790">
        <v>38.6</v>
      </c>
      <c r="U790">
        <v>59.34</v>
      </c>
      <c r="V790" t="b">
        <v>1</v>
      </c>
      <c r="W790" t="s">
        <v>72</v>
      </c>
    </row>
    <row r="791" spans="1:23" x14ac:dyDescent="0.25">
      <c r="A791" t="s">
        <v>61</v>
      </c>
      <c r="B791" t="s">
        <v>73</v>
      </c>
      <c r="C791">
        <v>59.88</v>
      </c>
      <c r="D791">
        <v>183</v>
      </c>
      <c r="E791" t="b">
        <v>0</v>
      </c>
      <c r="F791" t="b">
        <v>1</v>
      </c>
      <c r="G791" t="b">
        <v>0</v>
      </c>
      <c r="H791" t="s">
        <v>34</v>
      </c>
      <c r="I791" t="s">
        <v>57</v>
      </c>
      <c r="J791" t="s">
        <v>45</v>
      </c>
      <c r="K791" t="s">
        <v>37</v>
      </c>
      <c r="L791" t="s">
        <v>38</v>
      </c>
      <c r="M791" t="s">
        <v>46</v>
      </c>
      <c r="N791" t="s">
        <v>39</v>
      </c>
      <c r="O791" t="b">
        <v>0</v>
      </c>
      <c r="P791" t="b">
        <v>0</v>
      </c>
      <c r="Q791">
        <v>6.2</v>
      </c>
      <c r="R791" t="b">
        <v>0</v>
      </c>
      <c r="T791">
        <v>0</v>
      </c>
      <c r="U791">
        <v>58.57</v>
      </c>
      <c r="V791" t="b">
        <v>1</v>
      </c>
      <c r="W791" t="s">
        <v>31</v>
      </c>
    </row>
    <row r="792" spans="1:23" x14ac:dyDescent="0.25">
      <c r="A792" t="s">
        <v>23</v>
      </c>
      <c r="B792" t="s">
        <v>66</v>
      </c>
      <c r="C792">
        <v>66.16</v>
      </c>
      <c r="D792">
        <v>150</v>
      </c>
      <c r="E792" t="b">
        <v>1</v>
      </c>
      <c r="F792" t="b">
        <v>1</v>
      </c>
      <c r="G792" t="b">
        <v>0</v>
      </c>
      <c r="H792" t="s">
        <v>43</v>
      </c>
      <c r="I792" t="s">
        <v>57</v>
      </c>
      <c r="J792" t="s">
        <v>27</v>
      </c>
      <c r="K792" t="s">
        <v>46</v>
      </c>
      <c r="L792" t="s">
        <v>38</v>
      </c>
      <c r="M792" t="s">
        <v>46</v>
      </c>
      <c r="N792" t="s">
        <v>39</v>
      </c>
      <c r="P792" t="b">
        <v>0</v>
      </c>
      <c r="Q792">
        <v>8.6</v>
      </c>
      <c r="R792" t="b">
        <v>0</v>
      </c>
      <c r="T792">
        <v>0</v>
      </c>
      <c r="U792">
        <v>51.68</v>
      </c>
      <c r="V792" t="b">
        <v>0</v>
      </c>
      <c r="W792" t="s">
        <v>58</v>
      </c>
    </row>
    <row r="793" spans="1:23" x14ac:dyDescent="0.25">
      <c r="A793" t="s">
        <v>61</v>
      </c>
      <c r="B793" t="s">
        <v>42</v>
      </c>
      <c r="C793">
        <v>77.59</v>
      </c>
      <c r="D793">
        <v>423</v>
      </c>
      <c r="E793" t="b">
        <v>0</v>
      </c>
      <c r="F793" t="b">
        <v>0</v>
      </c>
      <c r="G793" t="b">
        <v>1</v>
      </c>
      <c r="H793" t="s">
        <v>43</v>
      </c>
      <c r="I793" t="s">
        <v>44</v>
      </c>
      <c r="J793" t="s">
        <v>50</v>
      </c>
      <c r="K793" t="s">
        <v>46</v>
      </c>
      <c r="L793" t="s">
        <v>51</v>
      </c>
      <c r="M793" t="s">
        <v>47</v>
      </c>
      <c r="N793" t="s">
        <v>39</v>
      </c>
      <c r="O793" t="b">
        <v>0</v>
      </c>
      <c r="P793" t="b">
        <v>0</v>
      </c>
      <c r="Q793">
        <v>6.8</v>
      </c>
      <c r="R793" t="b">
        <v>0</v>
      </c>
      <c r="T793">
        <v>0</v>
      </c>
      <c r="U793">
        <v>67.45</v>
      </c>
      <c r="V793" t="b">
        <v>1</v>
      </c>
      <c r="W793" t="s">
        <v>31</v>
      </c>
    </row>
    <row r="794" spans="1:23" x14ac:dyDescent="0.25">
      <c r="A794" t="s">
        <v>23</v>
      </c>
      <c r="B794" t="s">
        <v>49</v>
      </c>
      <c r="C794">
        <v>68.150000000000006</v>
      </c>
      <c r="D794">
        <v>331</v>
      </c>
      <c r="E794" t="b">
        <v>1</v>
      </c>
      <c r="F794" t="b">
        <v>1</v>
      </c>
      <c r="G794" t="b">
        <v>0</v>
      </c>
      <c r="H794" t="s">
        <v>25</v>
      </c>
      <c r="I794" t="s">
        <v>63</v>
      </c>
      <c r="J794" t="s">
        <v>45</v>
      </c>
      <c r="K794" t="s">
        <v>37</v>
      </c>
      <c r="L794" t="s">
        <v>69</v>
      </c>
      <c r="M794" t="s">
        <v>39</v>
      </c>
      <c r="N794" t="s">
        <v>28</v>
      </c>
      <c r="O794" t="b">
        <v>1</v>
      </c>
      <c r="P794" t="b">
        <v>1</v>
      </c>
      <c r="Q794">
        <v>9.4</v>
      </c>
      <c r="R794" t="b">
        <v>0</v>
      </c>
      <c r="T794">
        <v>0</v>
      </c>
      <c r="U794">
        <v>73.62</v>
      </c>
      <c r="V794" t="b">
        <v>0</v>
      </c>
      <c r="W794" t="s">
        <v>58</v>
      </c>
    </row>
    <row r="795" spans="1:23" x14ac:dyDescent="0.25">
      <c r="A795" t="s">
        <v>56</v>
      </c>
      <c r="B795" t="s">
        <v>59</v>
      </c>
      <c r="C795">
        <v>81.569999999999993</v>
      </c>
      <c r="D795">
        <v>594</v>
      </c>
      <c r="E795" t="b">
        <v>1</v>
      </c>
      <c r="F795" t="b">
        <v>1</v>
      </c>
      <c r="G795" t="b">
        <v>1</v>
      </c>
      <c r="H795" t="s">
        <v>43</v>
      </c>
      <c r="I795" t="s">
        <v>67</v>
      </c>
      <c r="J795" t="s">
        <v>50</v>
      </c>
      <c r="K795" t="s">
        <v>39</v>
      </c>
      <c r="L795" t="s">
        <v>38</v>
      </c>
      <c r="M795" t="s">
        <v>39</v>
      </c>
      <c r="N795" t="s">
        <v>28</v>
      </c>
      <c r="O795" t="b">
        <v>0</v>
      </c>
      <c r="P795" t="b">
        <v>0</v>
      </c>
      <c r="Q795">
        <v>7.6</v>
      </c>
      <c r="R795" t="b">
        <v>1</v>
      </c>
      <c r="S795" t="s">
        <v>75</v>
      </c>
      <c r="T795">
        <v>33.1</v>
      </c>
      <c r="U795">
        <v>91.32</v>
      </c>
      <c r="V795" t="b">
        <v>1</v>
      </c>
      <c r="W795" t="s">
        <v>41</v>
      </c>
    </row>
    <row r="796" spans="1:23" x14ac:dyDescent="0.25">
      <c r="A796" t="s">
        <v>68</v>
      </c>
      <c r="B796" t="s">
        <v>76</v>
      </c>
      <c r="C796">
        <v>70.12</v>
      </c>
      <c r="D796">
        <v>520</v>
      </c>
      <c r="E796" t="b">
        <v>1</v>
      </c>
      <c r="F796" t="b">
        <v>1</v>
      </c>
      <c r="G796" t="b">
        <v>0</v>
      </c>
      <c r="H796" t="s">
        <v>34</v>
      </c>
      <c r="I796" t="s">
        <v>57</v>
      </c>
      <c r="J796" t="s">
        <v>50</v>
      </c>
      <c r="K796" t="s">
        <v>37</v>
      </c>
      <c r="L796" t="s">
        <v>69</v>
      </c>
      <c r="M796" t="s">
        <v>39</v>
      </c>
      <c r="O796" t="b">
        <v>1</v>
      </c>
      <c r="P796" t="b">
        <v>1</v>
      </c>
      <c r="Q796">
        <v>10</v>
      </c>
      <c r="R796" t="b">
        <v>1</v>
      </c>
      <c r="S796" t="s">
        <v>40</v>
      </c>
      <c r="T796">
        <v>38.200000000000003</v>
      </c>
      <c r="U796">
        <v>79.2</v>
      </c>
      <c r="V796" t="b">
        <v>0</v>
      </c>
      <c r="W796" t="s">
        <v>31</v>
      </c>
    </row>
    <row r="797" spans="1:23" x14ac:dyDescent="0.25">
      <c r="A797" t="s">
        <v>23</v>
      </c>
      <c r="B797" t="s">
        <v>71</v>
      </c>
      <c r="C797">
        <v>52.19</v>
      </c>
      <c r="D797">
        <v>691</v>
      </c>
      <c r="E797" t="b">
        <v>1</v>
      </c>
      <c r="F797" t="b">
        <v>1</v>
      </c>
      <c r="G797" t="b">
        <v>0</v>
      </c>
      <c r="H797" t="s">
        <v>34</v>
      </c>
      <c r="I797" t="s">
        <v>57</v>
      </c>
      <c r="J797" t="s">
        <v>36</v>
      </c>
      <c r="K797" t="s">
        <v>28</v>
      </c>
      <c r="L797" t="s">
        <v>51</v>
      </c>
      <c r="M797" t="s">
        <v>47</v>
      </c>
      <c r="N797" t="s">
        <v>28</v>
      </c>
      <c r="P797" t="b">
        <v>1</v>
      </c>
      <c r="Q797">
        <v>4.7</v>
      </c>
      <c r="R797" t="b">
        <v>1</v>
      </c>
      <c r="S797" t="s">
        <v>52</v>
      </c>
      <c r="T797">
        <v>36.700000000000003</v>
      </c>
      <c r="U797">
        <v>29.04</v>
      </c>
      <c r="V797" t="b">
        <v>1</v>
      </c>
      <c r="W797" t="s">
        <v>72</v>
      </c>
    </row>
    <row r="798" spans="1:23" x14ac:dyDescent="0.25">
      <c r="A798" t="s">
        <v>68</v>
      </c>
      <c r="B798" t="s">
        <v>70</v>
      </c>
      <c r="C798">
        <v>91.23</v>
      </c>
      <c r="D798">
        <v>176</v>
      </c>
      <c r="E798" t="b">
        <v>1</v>
      </c>
      <c r="F798" t="b">
        <v>0</v>
      </c>
      <c r="G798" t="b">
        <v>0</v>
      </c>
      <c r="H798" t="s">
        <v>25</v>
      </c>
      <c r="I798" t="s">
        <v>35</v>
      </c>
      <c r="J798" t="s">
        <v>36</v>
      </c>
      <c r="K798" t="s">
        <v>37</v>
      </c>
      <c r="L798" t="s">
        <v>38</v>
      </c>
      <c r="M798" t="s">
        <v>39</v>
      </c>
      <c r="O798" t="b">
        <v>1</v>
      </c>
      <c r="P798" t="b">
        <v>0</v>
      </c>
      <c r="Q798">
        <v>10</v>
      </c>
      <c r="R798" t="b">
        <v>1</v>
      </c>
      <c r="S798" t="s">
        <v>52</v>
      </c>
      <c r="T798">
        <v>22.3</v>
      </c>
      <c r="U798">
        <v>98.31</v>
      </c>
      <c r="V798" t="b">
        <v>1</v>
      </c>
      <c r="W798" t="s">
        <v>31</v>
      </c>
    </row>
    <row r="799" spans="1:23" x14ac:dyDescent="0.25">
      <c r="A799" t="s">
        <v>56</v>
      </c>
      <c r="B799" t="s">
        <v>62</v>
      </c>
      <c r="C799">
        <v>70.53</v>
      </c>
      <c r="D799">
        <v>409</v>
      </c>
      <c r="E799" t="b">
        <v>1</v>
      </c>
      <c r="F799" t="b">
        <v>1</v>
      </c>
      <c r="G799" t="b">
        <v>0</v>
      </c>
      <c r="H799" t="s">
        <v>25</v>
      </c>
      <c r="I799" t="s">
        <v>35</v>
      </c>
      <c r="J799" t="s">
        <v>50</v>
      </c>
      <c r="K799" t="s">
        <v>39</v>
      </c>
      <c r="L799" t="s">
        <v>38</v>
      </c>
      <c r="M799" t="s">
        <v>39</v>
      </c>
      <c r="N799" t="s">
        <v>46</v>
      </c>
      <c r="O799" t="b">
        <v>0</v>
      </c>
      <c r="P799" t="b">
        <v>0</v>
      </c>
      <c r="Q799">
        <v>7.2</v>
      </c>
      <c r="R799" t="b">
        <v>1</v>
      </c>
      <c r="S799" t="s">
        <v>65</v>
      </c>
      <c r="T799">
        <v>13.6</v>
      </c>
      <c r="U799">
        <v>81.510000000000005</v>
      </c>
      <c r="V799" t="b">
        <v>1</v>
      </c>
      <c r="W799" t="s">
        <v>41</v>
      </c>
    </row>
    <row r="800" spans="1:23" x14ac:dyDescent="0.25">
      <c r="A800" t="s">
        <v>68</v>
      </c>
      <c r="B800" t="s">
        <v>33</v>
      </c>
      <c r="C800">
        <v>84.23</v>
      </c>
      <c r="D800">
        <v>542</v>
      </c>
      <c r="E800" t="b">
        <v>0</v>
      </c>
      <c r="F800" t="b">
        <v>1</v>
      </c>
      <c r="G800" t="b">
        <v>1</v>
      </c>
      <c r="H800" t="s">
        <v>43</v>
      </c>
      <c r="I800" t="s">
        <v>57</v>
      </c>
      <c r="J800" t="s">
        <v>45</v>
      </c>
      <c r="K800" t="s">
        <v>46</v>
      </c>
      <c r="L800" t="s">
        <v>37</v>
      </c>
      <c r="M800" t="s">
        <v>39</v>
      </c>
      <c r="N800" t="s">
        <v>28</v>
      </c>
      <c r="O800" t="b">
        <v>1</v>
      </c>
      <c r="P800" t="b">
        <v>1</v>
      </c>
      <c r="Q800">
        <v>9.9</v>
      </c>
      <c r="R800" t="b">
        <v>0</v>
      </c>
      <c r="T800">
        <v>0</v>
      </c>
      <c r="U800">
        <v>93.29</v>
      </c>
      <c r="V800" t="b">
        <v>1</v>
      </c>
      <c r="W800" t="s">
        <v>58</v>
      </c>
    </row>
    <row r="801" spans="1:23" x14ac:dyDescent="0.25">
      <c r="A801" t="s">
        <v>68</v>
      </c>
      <c r="B801" t="s">
        <v>73</v>
      </c>
      <c r="C801">
        <v>47.73</v>
      </c>
      <c r="D801">
        <v>189</v>
      </c>
      <c r="E801" t="b">
        <v>0</v>
      </c>
      <c r="F801" t="b">
        <v>0</v>
      </c>
      <c r="G801" t="b">
        <v>0</v>
      </c>
      <c r="H801" t="s">
        <v>53</v>
      </c>
      <c r="I801" t="s">
        <v>67</v>
      </c>
      <c r="J801" t="s">
        <v>54</v>
      </c>
      <c r="K801" t="s">
        <v>28</v>
      </c>
      <c r="L801" t="s">
        <v>69</v>
      </c>
      <c r="M801" t="s">
        <v>47</v>
      </c>
      <c r="N801" t="s">
        <v>39</v>
      </c>
      <c r="O801" t="b">
        <v>1</v>
      </c>
      <c r="P801" t="b">
        <v>1</v>
      </c>
      <c r="Q801">
        <v>6.3</v>
      </c>
      <c r="R801" t="b">
        <v>1</v>
      </c>
      <c r="S801" t="s">
        <v>75</v>
      </c>
      <c r="T801">
        <v>30.2</v>
      </c>
      <c r="U801">
        <v>60.58</v>
      </c>
      <c r="V801" t="b">
        <v>1</v>
      </c>
      <c r="W801" t="s">
        <v>41</v>
      </c>
    </row>
    <row r="802" spans="1:23" x14ac:dyDescent="0.25">
      <c r="A802" t="s">
        <v>32</v>
      </c>
      <c r="B802" t="s">
        <v>60</v>
      </c>
      <c r="C802">
        <v>49.06</v>
      </c>
      <c r="D802">
        <v>784</v>
      </c>
      <c r="E802" t="b">
        <v>1</v>
      </c>
      <c r="F802" t="b">
        <v>0</v>
      </c>
      <c r="G802" t="b">
        <v>0</v>
      </c>
      <c r="H802" t="s">
        <v>43</v>
      </c>
      <c r="I802" t="s">
        <v>57</v>
      </c>
      <c r="J802" t="s">
        <v>27</v>
      </c>
      <c r="K802" t="s">
        <v>46</v>
      </c>
      <c r="L802" t="s">
        <v>38</v>
      </c>
      <c r="M802" t="s">
        <v>47</v>
      </c>
      <c r="P802" t="b">
        <v>0</v>
      </c>
      <c r="Q802">
        <v>6.1</v>
      </c>
      <c r="R802" t="b">
        <v>1</v>
      </c>
      <c r="S802" t="s">
        <v>48</v>
      </c>
      <c r="T802">
        <v>2.6</v>
      </c>
      <c r="U802">
        <v>44.56</v>
      </c>
      <c r="V802" t="b">
        <v>1</v>
      </c>
      <c r="W802" t="s">
        <v>41</v>
      </c>
    </row>
    <row r="803" spans="1:23" x14ac:dyDescent="0.25">
      <c r="A803" t="s">
        <v>61</v>
      </c>
      <c r="B803" t="s">
        <v>62</v>
      </c>
      <c r="C803">
        <v>55.37</v>
      </c>
      <c r="D803">
        <v>244</v>
      </c>
      <c r="E803" t="b">
        <v>1</v>
      </c>
      <c r="F803" t="b">
        <v>1</v>
      </c>
      <c r="G803" t="b">
        <v>1</v>
      </c>
      <c r="H803" t="s">
        <v>53</v>
      </c>
      <c r="I803" t="s">
        <v>44</v>
      </c>
      <c r="J803" t="s">
        <v>27</v>
      </c>
      <c r="K803" t="s">
        <v>39</v>
      </c>
      <c r="L803" t="s">
        <v>69</v>
      </c>
      <c r="M803" t="s">
        <v>46</v>
      </c>
      <c r="N803" t="s">
        <v>46</v>
      </c>
      <c r="P803" t="b">
        <v>0</v>
      </c>
      <c r="Q803">
        <v>7</v>
      </c>
      <c r="R803" t="b">
        <v>1</v>
      </c>
      <c r="S803" t="s">
        <v>40</v>
      </c>
      <c r="T803">
        <v>3.6</v>
      </c>
      <c r="U803">
        <v>68.78</v>
      </c>
      <c r="V803" t="b">
        <v>1</v>
      </c>
      <c r="W803" t="s">
        <v>41</v>
      </c>
    </row>
    <row r="804" spans="1:23" x14ac:dyDescent="0.25">
      <c r="A804" t="s">
        <v>61</v>
      </c>
      <c r="B804" t="s">
        <v>76</v>
      </c>
      <c r="C804">
        <v>72.05</v>
      </c>
      <c r="D804">
        <v>635</v>
      </c>
      <c r="E804" t="b">
        <v>1</v>
      </c>
      <c r="F804" t="b">
        <v>1</v>
      </c>
      <c r="G804" t="b">
        <v>0</v>
      </c>
      <c r="H804" t="s">
        <v>25</v>
      </c>
      <c r="I804" t="s">
        <v>26</v>
      </c>
      <c r="J804" t="s">
        <v>50</v>
      </c>
      <c r="K804" t="s">
        <v>39</v>
      </c>
      <c r="L804" t="s">
        <v>37</v>
      </c>
      <c r="M804" t="s">
        <v>39</v>
      </c>
      <c r="N804" t="s">
        <v>39</v>
      </c>
      <c r="O804" t="b">
        <v>0</v>
      </c>
      <c r="P804" t="b">
        <v>1</v>
      </c>
      <c r="Q804">
        <v>6.7</v>
      </c>
      <c r="R804" t="b">
        <v>1</v>
      </c>
      <c r="S804" t="s">
        <v>30</v>
      </c>
      <c r="T804">
        <v>38.4</v>
      </c>
      <c r="U804">
        <v>65.319999999999993</v>
      </c>
      <c r="V804" t="b">
        <v>1</v>
      </c>
      <c r="W804" t="s">
        <v>41</v>
      </c>
    </row>
    <row r="805" spans="1:23" x14ac:dyDescent="0.25">
      <c r="A805" t="s">
        <v>74</v>
      </c>
      <c r="B805" t="s">
        <v>66</v>
      </c>
      <c r="C805">
        <v>60.46</v>
      </c>
      <c r="D805">
        <v>268</v>
      </c>
      <c r="E805" t="b">
        <v>1</v>
      </c>
      <c r="F805" t="b">
        <v>1</v>
      </c>
      <c r="G805" t="b">
        <v>0</v>
      </c>
      <c r="H805" t="s">
        <v>53</v>
      </c>
      <c r="I805" t="s">
        <v>67</v>
      </c>
      <c r="J805" t="s">
        <v>36</v>
      </c>
      <c r="K805" t="s">
        <v>46</v>
      </c>
      <c r="L805" t="s">
        <v>37</v>
      </c>
      <c r="M805" t="s">
        <v>46</v>
      </c>
      <c r="N805" t="s">
        <v>28</v>
      </c>
      <c r="P805" t="b">
        <v>0</v>
      </c>
      <c r="Q805">
        <v>6.9</v>
      </c>
      <c r="R805" t="b">
        <v>1</v>
      </c>
      <c r="S805" t="s">
        <v>75</v>
      </c>
      <c r="T805">
        <v>9.1</v>
      </c>
      <c r="U805">
        <v>37.409999999999997</v>
      </c>
      <c r="V805" t="b">
        <v>0</v>
      </c>
      <c r="W805" t="s">
        <v>41</v>
      </c>
    </row>
    <row r="806" spans="1:23" x14ac:dyDescent="0.25">
      <c r="A806" t="s">
        <v>68</v>
      </c>
      <c r="B806" t="s">
        <v>66</v>
      </c>
      <c r="C806">
        <v>64.58</v>
      </c>
      <c r="D806">
        <v>608</v>
      </c>
      <c r="E806" t="b">
        <v>0</v>
      </c>
      <c r="F806" t="b">
        <v>1</v>
      </c>
      <c r="G806" t="b">
        <v>0</v>
      </c>
      <c r="H806" t="s">
        <v>34</v>
      </c>
      <c r="I806" t="s">
        <v>57</v>
      </c>
      <c r="J806" t="s">
        <v>27</v>
      </c>
      <c r="K806" t="s">
        <v>37</v>
      </c>
      <c r="L806" t="s">
        <v>37</v>
      </c>
      <c r="M806" t="s">
        <v>39</v>
      </c>
      <c r="N806" t="s">
        <v>46</v>
      </c>
      <c r="O806" t="b">
        <v>1</v>
      </c>
      <c r="P806" t="b">
        <v>1</v>
      </c>
      <c r="Q806">
        <v>6.6</v>
      </c>
      <c r="R806" t="b">
        <v>1</v>
      </c>
      <c r="S806" t="s">
        <v>75</v>
      </c>
      <c r="T806">
        <v>7.1</v>
      </c>
      <c r="U806">
        <v>65.069999999999993</v>
      </c>
      <c r="V806" t="b">
        <v>1</v>
      </c>
      <c r="W806" t="s">
        <v>41</v>
      </c>
    </row>
    <row r="807" spans="1:23" x14ac:dyDescent="0.25">
      <c r="A807" t="s">
        <v>74</v>
      </c>
      <c r="B807" t="s">
        <v>71</v>
      </c>
      <c r="C807">
        <v>44.61</v>
      </c>
      <c r="D807">
        <v>604</v>
      </c>
      <c r="E807" t="b">
        <v>0</v>
      </c>
      <c r="F807" t="b">
        <v>1</v>
      </c>
      <c r="G807" t="b">
        <v>0</v>
      </c>
      <c r="H807" t="s">
        <v>25</v>
      </c>
      <c r="I807" t="s">
        <v>44</v>
      </c>
      <c r="J807" t="s">
        <v>27</v>
      </c>
      <c r="K807" t="s">
        <v>39</v>
      </c>
      <c r="L807" t="s">
        <v>69</v>
      </c>
      <c r="M807" t="s">
        <v>46</v>
      </c>
      <c r="N807" t="s">
        <v>39</v>
      </c>
      <c r="O807" t="b">
        <v>0</v>
      </c>
      <c r="P807" t="b">
        <v>0</v>
      </c>
      <c r="Q807">
        <v>3.7</v>
      </c>
      <c r="R807" t="b">
        <v>0</v>
      </c>
      <c r="T807">
        <v>0</v>
      </c>
      <c r="U807">
        <v>45.31</v>
      </c>
      <c r="V807" t="b">
        <v>1</v>
      </c>
      <c r="W807" t="s">
        <v>41</v>
      </c>
    </row>
    <row r="808" spans="1:23" x14ac:dyDescent="0.25">
      <c r="A808" t="s">
        <v>68</v>
      </c>
      <c r="B808" t="s">
        <v>76</v>
      </c>
      <c r="C808">
        <v>82.35</v>
      </c>
      <c r="D808">
        <v>115</v>
      </c>
      <c r="E808" t="b">
        <v>1</v>
      </c>
      <c r="F808" t="b">
        <v>1</v>
      </c>
      <c r="G808" t="b">
        <v>0</v>
      </c>
      <c r="H808" t="s">
        <v>53</v>
      </c>
      <c r="I808" t="s">
        <v>63</v>
      </c>
      <c r="J808" t="s">
        <v>36</v>
      </c>
      <c r="K808" t="s">
        <v>39</v>
      </c>
      <c r="L808" t="s">
        <v>38</v>
      </c>
      <c r="M808" t="s">
        <v>46</v>
      </c>
      <c r="N808" t="s">
        <v>46</v>
      </c>
      <c r="O808" t="b">
        <v>1</v>
      </c>
      <c r="P808" t="b">
        <v>1</v>
      </c>
      <c r="Q808">
        <v>9.9</v>
      </c>
      <c r="R808" t="b">
        <v>1</v>
      </c>
      <c r="S808" t="s">
        <v>48</v>
      </c>
      <c r="T808">
        <v>38</v>
      </c>
      <c r="U808">
        <v>90.81</v>
      </c>
      <c r="V808" t="b">
        <v>1</v>
      </c>
      <c r="W808" t="s">
        <v>31</v>
      </c>
    </row>
    <row r="809" spans="1:23" x14ac:dyDescent="0.25">
      <c r="A809" t="s">
        <v>61</v>
      </c>
      <c r="B809" t="s">
        <v>66</v>
      </c>
      <c r="C809">
        <v>75.790000000000006</v>
      </c>
      <c r="D809">
        <v>116</v>
      </c>
      <c r="E809" t="b">
        <v>0</v>
      </c>
      <c r="F809" t="b">
        <v>1</v>
      </c>
      <c r="G809" t="b">
        <v>0</v>
      </c>
      <c r="H809" t="s">
        <v>34</v>
      </c>
      <c r="I809" t="s">
        <v>35</v>
      </c>
      <c r="J809" t="s">
        <v>50</v>
      </c>
      <c r="K809" t="s">
        <v>39</v>
      </c>
      <c r="L809" t="s">
        <v>29</v>
      </c>
      <c r="M809" t="s">
        <v>39</v>
      </c>
      <c r="N809" t="s">
        <v>28</v>
      </c>
      <c r="P809" t="b">
        <v>1</v>
      </c>
      <c r="Q809">
        <v>6.6</v>
      </c>
      <c r="R809" t="b">
        <v>0</v>
      </c>
      <c r="T809">
        <v>0</v>
      </c>
      <c r="U809">
        <v>62.75</v>
      </c>
      <c r="V809" t="b">
        <v>1</v>
      </c>
      <c r="W809" t="s">
        <v>31</v>
      </c>
    </row>
    <row r="810" spans="1:23" x14ac:dyDescent="0.25">
      <c r="A810" t="s">
        <v>68</v>
      </c>
      <c r="B810" t="s">
        <v>71</v>
      </c>
      <c r="C810">
        <v>42.38</v>
      </c>
      <c r="D810">
        <v>784</v>
      </c>
      <c r="E810" t="b">
        <v>0</v>
      </c>
      <c r="F810" t="b">
        <v>1</v>
      </c>
      <c r="G810" t="b">
        <v>0</v>
      </c>
      <c r="H810" t="s">
        <v>25</v>
      </c>
      <c r="I810" t="s">
        <v>26</v>
      </c>
      <c r="J810" t="s">
        <v>50</v>
      </c>
      <c r="K810" t="s">
        <v>46</v>
      </c>
      <c r="L810" t="s">
        <v>51</v>
      </c>
      <c r="M810" t="s">
        <v>46</v>
      </c>
      <c r="N810" t="s">
        <v>28</v>
      </c>
      <c r="O810" t="b">
        <v>0</v>
      </c>
      <c r="P810" t="b">
        <v>0</v>
      </c>
      <c r="Q810">
        <v>3.6</v>
      </c>
      <c r="R810" t="b">
        <v>1</v>
      </c>
      <c r="S810" t="s">
        <v>75</v>
      </c>
      <c r="T810">
        <v>21.3</v>
      </c>
      <c r="U810">
        <v>25.28</v>
      </c>
      <c r="V810" t="b">
        <v>1</v>
      </c>
      <c r="W810" t="s">
        <v>72</v>
      </c>
    </row>
    <row r="811" spans="1:23" x14ac:dyDescent="0.25">
      <c r="A811" t="s">
        <v>32</v>
      </c>
      <c r="B811" t="s">
        <v>49</v>
      </c>
      <c r="C811">
        <v>69.31</v>
      </c>
      <c r="D811">
        <v>389</v>
      </c>
      <c r="E811" t="b">
        <v>1</v>
      </c>
      <c r="F811" t="b">
        <v>0</v>
      </c>
      <c r="G811" t="b">
        <v>0</v>
      </c>
      <c r="H811" t="s">
        <v>25</v>
      </c>
      <c r="I811" t="s">
        <v>44</v>
      </c>
      <c r="J811" t="s">
        <v>36</v>
      </c>
      <c r="K811" t="s">
        <v>46</v>
      </c>
      <c r="L811" t="s">
        <v>37</v>
      </c>
      <c r="M811" t="s">
        <v>47</v>
      </c>
      <c r="N811" t="s">
        <v>39</v>
      </c>
      <c r="O811" t="b">
        <v>1</v>
      </c>
      <c r="P811" t="b">
        <v>0</v>
      </c>
      <c r="Q811">
        <v>8.8000000000000007</v>
      </c>
      <c r="R811" t="b">
        <v>1</v>
      </c>
      <c r="S811" t="s">
        <v>65</v>
      </c>
      <c r="T811">
        <v>9.1</v>
      </c>
      <c r="U811">
        <v>82.32</v>
      </c>
      <c r="V811" t="b">
        <v>1</v>
      </c>
      <c r="W811" t="s">
        <v>31</v>
      </c>
    </row>
    <row r="812" spans="1:23" x14ac:dyDescent="0.25">
      <c r="A812" t="s">
        <v>56</v>
      </c>
      <c r="B812" t="s">
        <v>33</v>
      </c>
      <c r="C812">
        <v>82.59</v>
      </c>
      <c r="D812">
        <v>372</v>
      </c>
      <c r="E812" t="b">
        <v>0</v>
      </c>
      <c r="F812" t="b">
        <v>1</v>
      </c>
      <c r="G812" t="b">
        <v>0</v>
      </c>
      <c r="H812" t="s">
        <v>43</v>
      </c>
      <c r="I812" t="s">
        <v>35</v>
      </c>
      <c r="J812" t="s">
        <v>27</v>
      </c>
      <c r="K812" t="s">
        <v>28</v>
      </c>
      <c r="L812" t="s">
        <v>51</v>
      </c>
      <c r="M812" t="s">
        <v>47</v>
      </c>
      <c r="N812" t="s">
        <v>46</v>
      </c>
      <c r="O812" t="b">
        <v>1</v>
      </c>
      <c r="P812" t="b">
        <v>1</v>
      </c>
      <c r="Q812">
        <v>8.9</v>
      </c>
      <c r="R812" t="b">
        <v>0</v>
      </c>
      <c r="T812">
        <v>0</v>
      </c>
      <c r="U812">
        <v>77.599999999999994</v>
      </c>
      <c r="V812" t="b">
        <v>1</v>
      </c>
      <c r="W812" t="s">
        <v>58</v>
      </c>
    </row>
    <row r="813" spans="1:23" x14ac:dyDescent="0.25">
      <c r="A813" t="s">
        <v>74</v>
      </c>
      <c r="B813" t="s">
        <v>33</v>
      </c>
      <c r="C813">
        <v>76.8</v>
      </c>
      <c r="D813">
        <v>535</v>
      </c>
      <c r="E813" t="b">
        <v>0</v>
      </c>
      <c r="F813" t="b">
        <v>0</v>
      </c>
      <c r="G813" t="b">
        <v>1</v>
      </c>
      <c r="H813" t="s">
        <v>43</v>
      </c>
      <c r="I813" t="s">
        <v>35</v>
      </c>
      <c r="J813" t="s">
        <v>27</v>
      </c>
      <c r="K813" t="s">
        <v>46</v>
      </c>
      <c r="L813" t="s">
        <v>29</v>
      </c>
      <c r="M813" t="s">
        <v>28</v>
      </c>
      <c r="N813" t="s">
        <v>28</v>
      </c>
      <c r="O813" t="b">
        <v>0</v>
      </c>
      <c r="P813" t="b">
        <v>1</v>
      </c>
      <c r="Q813">
        <v>7.6</v>
      </c>
      <c r="R813" t="b">
        <v>0</v>
      </c>
      <c r="T813">
        <v>0</v>
      </c>
      <c r="U813">
        <v>82.67</v>
      </c>
      <c r="V813" t="b">
        <v>1</v>
      </c>
      <c r="W813" t="s">
        <v>31</v>
      </c>
    </row>
    <row r="814" spans="1:23" x14ac:dyDescent="0.25">
      <c r="A814" t="s">
        <v>61</v>
      </c>
      <c r="B814" t="s">
        <v>71</v>
      </c>
      <c r="C814">
        <v>48.8</v>
      </c>
      <c r="D814">
        <v>678</v>
      </c>
      <c r="E814" t="b">
        <v>1</v>
      </c>
      <c r="F814" t="b">
        <v>0</v>
      </c>
      <c r="G814" t="b">
        <v>1</v>
      </c>
      <c r="H814" t="s">
        <v>25</v>
      </c>
      <c r="I814" t="s">
        <v>44</v>
      </c>
      <c r="J814" t="s">
        <v>54</v>
      </c>
      <c r="K814" t="s">
        <v>46</v>
      </c>
      <c r="L814" t="s">
        <v>29</v>
      </c>
      <c r="M814" t="s">
        <v>46</v>
      </c>
      <c r="N814" t="s">
        <v>46</v>
      </c>
      <c r="P814" t="b">
        <v>1</v>
      </c>
      <c r="Q814">
        <v>6.3</v>
      </c>
      <c r="R814" t="b">
        <v>1</v>
      </c>
      <c r="S814" t="s">
        <v>40</v>
      </c>
      <c r="T814">
        <v>40.1</v>
      </c>
      <c r="U814">
        <v>53.4</v>
      </c>
      <c r="V814" t="b">
        <v>1</v>
      </c>
      <c r="W814" t="s">
        <v>41</v>
      </c>
    </row>
    <row r="815" spans="1:23" x14ac:dyDescent="0.25">
      <c r="A815" t="s">
        <v>56</v>
      </c>
      <c r="B815" t="s">
        <v>24</v>
      </c>
      <c r="C815">
        <v>95.04</v>
      </c>
      <c r="D815">
        <v>553</v>
      </c>
      <c r="E815" t="b">
        <v>0</v>
      </c>
      <c r="F815" t="b">
        <v>1</v>
      </c>
      <c r="G815" t="b">
        <v>1</v>
      </c>
      <c r="H815" t="s">
        <v>43</v>
      </c>
      <c r="I815" t="s">
        <v>44</v>
      </c>
      <c r="J815" t="s">
        <v>50</v>
      </c>
      <c r="K815" t="s">
        <v>28</v>
      </c>
      <c r="L815" t="s">
        <v>51</v>
      </c>
      <c r="M815" t="s">
        <v>39</v>
      </c>
      <c r="N815" t="s">
        <v>39</v>
      </c>
      <c r="O815" t="b">
        <v>1</v>
      </c>
      <c r="P815" t="b">
        <v>0</v>
      </c>
      <c r="Q815">
        <v>10</v>
      </c>
      <c r="R815" t="b">
        <v>0</v>
      </c>
      <c r="T815">
        <v>0</v>
      </c>
      <c r="U815">
        <v>94.98</v>
      </c>
      <c r="V815" t="b">
        <v>1</v>
      </c>
      <c r="W815" t="s">
        <v>58</v>
      </c>
    </row>
    <row r="816" spans="1:23" x14ac:dyDescent="0.25">
      <c r="A816" t="s">
        <v>23</v>
      </c>
      <c r="B816" t="s">
        <v>42</v>
      </c>
      <c r="C816">
        <v>66.650000000000006</v>
      </c>
      <c r="D816">
        <v>171</v>
      </c>
      <c r="E816" t="b">
        <v>1</v>
      </c>
      <c r="F816" t="b">
        <v>1</v>
      </c>
      <c r="G816" t="b">
        <v>0</v>
      </c>
      <c r="H816" t="s">
        <v>25</v>
      </c>
      <c r="I816" t="s">
        <v>35</v>
      </c>
      <c r="J816" t="s">
        <v>50</v>
      </c>
      <c r="K816" t="s">
        <v>28</v>
      </c>
      <c r="L816" t="s">
        <v>38</v>
      </c>
      <c r="M816" t="s">
        <v>39</v>
      </c>
      <c r="N816" t="s">
        <v>28</v>
      </c>
      <c r="P816" t="b">
        <v>1</v>
      </c>
      <c r="Q816">
        <v>8.3000000000000007</v>
      </c>
      <c r="R816" t="b">
        <v>1</v>
      </c>
      <c r="S816" t="s">
        <v>75</v>
      </c>
      <c r="T816">
        <v>23.5</v>
      </c>
      <c r="U816">
        <v>58.86</v>
      </c>
      <c r="V816" t="b">
        <v>0</v>
      </c>
      <c r="W816" t="s">
        <v>31</v>
      </c>
    </row>
    <row r="817" spans="1:23" x14ac:dyDescent="0.25">
      <c r="A817" t="s">
        <v>32</v>
      </c>
      <c r="B817" t="s">
        <v>59</v>
      </c>
      <c r="C817">
        <v>75.930000000000007</v>
      </c>
      <c r="D817">
        <v>774</v>
      </c>
      <c r="E817" t="b">
        <v>0</v>
      </c>
      <c r="F817" t="b">
        <v>1</v>
      </c>
      <c r="G817" t="b">
        <v>1</v>
      </c>
      <c r="H817" t="s">
        <v>53</v>
      </c>
      <c r="I817" t="s">
        <v>57</v>
      </c>
      <c r="J817" t="s">
        <v>45</v>
      </c>
      <c r="K817" t="s">
        <v>37</v>
      </c>
      <c r="L817" t="s">
        <v>51</v>
      </c>
      <c r="M817" t="s">
        <v>28</v>
      </c>
      <c r="N817" t="s">
        <v>46</v>
      </c>
      <c r="O817" t="b">
        <v>1</v>
      </c>
      <c r="P817" t="b">
        <v>0</v>
      </c>
      <c r="Q817">
        <v>9.3000000000000007</v>
      </c>
      <c r="R817" t="b">
        <v>0</v>
      </c>
      <c r="T817">
        <v>0</v>
      </c>
      <c r="U817">
        <v>63.94</v>
      </c>
      <c r="V817" t="b">
        <v>0</v>
      </c>
      <c r="W817" t="s">
        <v>58</v>
      </c>
    </row>
    <row r="818" spans="1:23" x14ac:dyDescent="0.25">
      <c r="A818" t="s">
        <v>61</v>
      </c>
      <c r="B818" t="s">
        <v>76</v>
      </c>
      <c r="C818">
        <v>75.69</v>
      </c>
      <c r="D818">
        <v>259</v>
      </c>
      <c r="E818" t="b">
        <v>0</v>
      </c>
      <c r="F818" t="b">
        <v>0</v>
      </c>
      <c r="G818" t="b">
        <v>1</v>
      </c>
      <c r="H818" t="s">
        <v>25</v>
      </c>
      <c r="I818" t="s">
        <v>44</v>
      </c>
      <c r="J818" t="s">
        <v>27</v>
      </c>
      <c r="K818" t="s">
        <v>28</v>
      </c>
      <c r="L818" t="s">
        <v>69</v>
      </c>
      <c r="M818" t="s">
        <v>47</v>
      </c>
      <c r="N818" t="s">
        <v>39</v>
      </c>
      <c r="O818" t="b">
        <v>1</v>
      </c>
      <c r="P818" t="b">
        <v>0</v>
      </c>
      <c r="Q818">
        <v>9.3000000000000007</v>
      </c>
      <c r="R818" t="b">
        <v>1</v>
      </c>
      <c r="S818" t="s">
        <v>48</v>
      </c>
      <c r="T818">
        <v>26.7</v>
      </c>
      <c r="U818">
        <v>87.9</v>
      </c>
      <c r="V818" t="b">
        <v>1</v>
      </c>
      <c r="W818" t="s">
        <v>31</v>
      </c>
    </row>
    <row r="819" spans="1:23" x14ac:dyDescent="0.25">
      <c r="A819" t="s">
        <v>23</v>
      </c>
      <c r="B819" t="s">
        <v>73</v>
      </c>
      <c r="C819">
        <v>53.8</v>
      </c>
      <c r="D819">
        <v>696</v>
      </c>
      <c r="E819" t="b">
        <v>0</v>
      </c>
      <c r="F819" t="b">
        <v>1</v>
      </c>
      <c r="G819" t="b">
        <v>1</v>
      </c>
      <c r="H819" t="s">
        <v>34</v>
      </c>
      <c r="I819" t="s">
        <v>35</v>
      </c>
      <c r="J819" t="s">
        <v>36</v>
      </c>
      <c r="K819" t="s">
        <v>39</v>
      </c>
      <c r="L819" t="s">
        <v>29</v>
      </c>
      <c r="M819" t="s">
        <v>39</v>
      </c>
      <c r="N819" t="s">
        <v>39</v>
      </c>
      <c r="O819" t="b">
        <v>1</v>
      </c>
      <c r="P819" t="b">
        <v>1</v>
      </c>
      <c r="Q819">
        <v>6.3</v>
      </c>
      <c r="R819" t="b">
        <v>1</v>
      </c>
      <c r="S819" t="s">
        <v>30</v>
      </c>
      <c r="T819">
        <v>14.7</v>
      </c>
      <c r="U819">
        <v>62.94</v>
      </c>
      <c r="V819" t="b">
        <v>1</v>
      </c>
      <c r="W819" t="s">
        <v>41</v>
      </c>
    </row>
    <row r="820" spans="1:23" x14ac:dyDescent="0.25">
      <c r="A820" t="s">
        <v>61</v>
      </c>
      <c r="B820" t="s">
        <v>62</v>
      </c>
      <c r="C820">
        <v>74.25</v>
      </c>
      <c r="D820">
        <v>712</v>
      </c>
      <c r="E820" t="b">
        <v>1</v>
      </c>
      <c r="F820" t="b">
        <v>0</v>
      </c>
      <c r="G820" t="b">
        <v>1</v>
      </c>
      <c r="H820" t="s">
        <v>25</v>
      </c>
      <c r="I820" t="s">
        <v>26</v>
      </c>
      <c r="J820" t="s">
        <v>54</v>
      </c>
      <c r="K820" t="s">
        <v>28</v>
      </c>
      <c r="L820" t="s">
        <v>38</v>
      </c>
      <c r="M820" t="s">
        <v>47</v>
      </c>
      <c r="O820" t="b">
        <v>0</v>
      </c>
      <c r="P820" t="b">
        <v>1</v>
      </c>
      <c r="Q820">
        <v>8.8000000000000007</v>
      </c>
      <c r="R820" t="b">
        <v>1</v>
      </c>
      <c r="S820" t="s">
        <v>48</v>
      </c>
      <c r="T820">
        <v>15</v>
      </c>
      <c r="U820">
        <v>64.510000000000005</v>
      </c>
      <c r="V820" t="b">
        <v>0</v>
      </c>
      <c r="W820" t="s">
        <v>31</v>
      </c>
    </row>
    <row r="821" spans="1:23" x14ac:dyDescent="0.25">
      <c r="A821" t="s">
        <v>74</v>
      </c>
      <c r="B821" t="s">
        <v>62</v>
      </c>
      <c r="C821">
        <v>72.53</v>
      </c>
      <c r="D821">
        <v>740</v>
      </c>
      <c r="E821" t="b">
        <v>1</v>
      </c>
      <c r="F821" t="b">
        <v>0</v>
      </c>
      <c r="G821" t="b">
        <v>0</v>
      </c>
      <c r="H821" t="s">
        <v>25</v>
      </c>
      <c r="I821" t="s">
        <v>63</v>
      </c>
      <c r="J821" t="s">
        <v>45</v>
      </c>
      <c r="K821" t="s">
        <v>46</v>
      </c>
      <c r="L821" t="s">
        <v>51</v>
      </c>
      <c r="M821" t="s">
        <v>47</v>
      </c>
      <c r="N821" t="s">
        <v>39</v>
      </c>
      <c r="P821" t="b">
        <v>1</v>
      </c>
      <c r="Q821">
        <v>7.5</v>
      </c>
      <c r="R821" t="b">
        <v>1</v>
      </c>
      <c r="S821" t="s">
        <v>55</v>
      </c>
      <c r="T821">
        <v>8.4</v>
      </c>
      <c r="U821">
        <v>65.92</v>
      </c>
      <c r="V821" t="b">
        <v>1</v>
      </c>
      <c r="W821" t="s">
        <v>41</v>
      </c>
    </row>
    <row r="822" spans="1:23" x14ac:dyDescent="0.25">
      <c r="A822" t="s">
        <v>68</v>
      </c>
      <c r="B822" t="s">
        <v>49</v>
      </c>
      <c r="C822">
        <v>62.4</v>
      </c>
      <c r="D822">
        <v>261</v>
      </c>
      <c r="E822" t="b">
        <v>0</v>
      </c>
      <c r="F822" t="b">
        <v>1</v>
      </c>
      <c r="G822" t="b">
        <v>0</v>
      </c>
      <c r="H822" t="s">
        <v>34</v>
      </c>
      <c r="I822" t="s">
        <v>44</v>
      </c>
      <c r="J822" t="s">
        <v>36</v>
      </c>
      <c r="K822" t="s">
        <v>37</v>
      </c>
      <c r="L822" t="s">
        <v>29</v>
      </c>
      <c r="M822" t="s">
        <v>28</v>
      </c>
      <c r="N822" t="s">
        <v>46</v>
      </c>
      <c r="O822" t="b">
        <v>0</v>
      </c>
      <c r="P822" t="b">
        <v>0</v>
      </c>
      <c r="Q822">
        <v>4.8</v>
      </c>
      <c r="R822" t="b">
        <v>1</v>
      </c>
      <c r="S822" t="s">
        <v>30</v>
      </c>
      <c r="T822">
        <v>7.3</v>
      </c>
      <c r="U822">
        <v>60.04</v>
      </c>
      <c r="V822" t="b">
        <v>1</v>
      </c>
      <c r="W822" t="s">
        <v>72</v>
      </c>
    </row>
    <row r="823" spans="1:23" x14ac:dyDescent="0.25">
      <c r="A823" t="s">
        <v>68</v>
      </c>
      <c r="B823" t="s">
        <v>76</v>
      </c>
      <c r="C823">
        <v>89.69</v>
      </c>
      <c r="D823">
        <v>415</v>
      </c>
      <c r="E823" t="b">
        <v>1</v>
      </c>
      <c r="F823" t="b">
        <v>1</v>
      </c>
      <c r="G823" t="b">
        <v>0</v>
      </c>
      <c r="H823" t="s">
        <v>43</v>
      </c>
      <c r="I823" t="s">
        <v>35</v>
      </c>
      <c r="J823" t="s">
        <v>54</v>
      </c>
      <c r="K823" t="s">
        <v>39</v>
      </c>
      <c r="L823" t="s">
        <v>51</v>
      </c>
      <c r="M823" t="s">
        <v>46</v>
      </c>
      <c r="O823" t="b">
        <v>0</v>
      </c>
      <c r="P823" t="b">
        <v>1</v>
      </c>
      <c r="Q823">
        <v>8</v>
      </c>
      <c r="R823" t="b">
        <v>1</v>
      </c>
      <c r="S823" t="s">
        <v>64</v>
      </c>
      <c r="T823">
        <v>20.7</v>
      </c>
      <c r="U823">
        <v>90.59</v>
      </c>
      <c r="V823" t="b">
        <v>1</v>
      </c>
      <c r="W823" t="s">
        <v>31</v>
      </c>
    </row>
    <row r="824" spans="1:23" x14ac:dyDescent="0.25">
      <c r="A824" t="s">
        <v>23</v>
      </c>
      <c r="B824" t="s">
        <v>62</v>
      </c>
      <c r="C824">
        <v>59.77</v>
      </c>
      <c r="D824">
        <v>622</v>
      </c>
      <c r="E824" t="b">
        <v>1</v>
      </c>
      <c r="F824" t="b">
        <v>0</v>
      </c>
      <c r="G824" t="b">
        <v>1</v>
      </c>
      <c r="H824" t="s">
        <v>34</v>
      </c>
      <c r="I824" t="s">
        <v>26</v>
      </c>
      <c r="J824" t="s">
        <v>27</v>
      </c>
      <c r="K824" t="s">
        <v>39</v>
      </c>
      <c r="L824" t="s">
        <v>69</v>
      </c>
      <c r="M824" t="s">
        <v>46</v>
      </c>
      <c r="N824" t="s">
        <v>28</v>
      </c>
      <c r="O824" t="b">
        <v>0</v>
      </c>
      <c r="P824" t="b">
        <v>0</v>
      </c>
      <c r="Q824">
        <v>6.8</v>
      </c>
      <c r="R824" t="b">
        <v>1</v>
      </c>
      <c r="S824" t="s">
        <v>64</v>
      </c>
      <c r="T824">
        <v>7.7</v>
      </c>
      <c r="U824">
        <v>72.650000000000006</v>
      </c>
      <c r="V824" t="b">
        <v>1</v>
      </c>
      <c r="W824" t="s">
        <v>41</v>
      </c>
    </row>
    <row r="825" spans="1:23" x14ac:dyDescent="0.25">
      <c r="A825" t="s">
        <v>56</v>
      </c>
      <c r="B825" t="s">
        <v>33</v>
      </c>
      <c r="C825">
        <v>85.53</v>
      </c>
      <c r="D825">
        <v>798</v>
      </c>
      <c r="E825" t="b">
        <v>0</v>
      </c>
      <c r="F825" t="b">
        <v>1</v>
      </c>
      <c r="G825" t="b">
        <v>1</v>
      </c>
      <c r="H825" t="s">
        <v>43</v>
      </c>
      <c r="I825" t="s">
        <v>35</v>
      </c>
      <c r="J825" t="s">
        <v>54</v>
      </c>
      <c r="K825" t="s">
        <v>28</v>
      </c>
      <c r="L825" t="s">
        <v>37</v>
      </c>
      <c r="M825" t="s">
        <v>28</v>
      </c>
      <c r="N825" t="s">
        <v>46</v>
      </c>
      <c r="P825" t="b">
        <v>0</v>
      </c>
      <c r="Q825">
        <v>9</v>
      </c>
      <c r="R825" t="b">
        <v>1</v>
      </c>
      <c r="S825" t="s">
        <v>52</v>
      </c>
      <c r="T825">
        <v>39.6</v>
      </c>
      <c r="U825">
        <v>73.489999999999995</v>
      </c>
      <c r="V825" t="b">
        <v>1</v>
      </c>
      <c r="W825" t="s">
        <v>31</v>
      </c>
    </row>
    <row r="826" spans="1:23" x14ac:dyDescent="0.25">
      <c r="A826" t="s">
        <v>68</v>
      </c>
      <c r="B826" t="s">
        <v>70</v>
      </c>
      <c r="C826">
        <v>75.45</v>
      </c>
      <c r="D826">
        <v>237</v>
      </c>
      <c r="E826" t="b">
        <v>0</v>
      </c>
      <c r="F826" t="b">
        <v>1</v>
      </c>
      <c r="G826" t="b">
        <v>0</v>
      </c>
      <c r="H826" t="s">
        <v>34</v>
      </c>
      <c r="I826" t="s">
        <v>26</v>
      </c>
      <c r="J826" t="s">
        <v>50</v>
      </c>
      <c r="K826" t="s">
        <v>39</v>
      </c>
      <c r="L826" t="s">
        <v>51</v>
      </c>
      <c r="M826" t="s">
        <v>47</v>
      </c>
      <c r="N826" t="s">
        <v>39</v>
      </c>
      <c r="O826" t="b">
        <v>0</v>
      </c>
      <c r="P826" t="b">
        <v>1</v>
      </c>
      <c r="Q826">
        <v>5.0999999999999996</v>
      </c>
      <c r="R826" t="b">
        <v>0</v>
      </c>
      <c r="T826">
        <v>0</v>
      </c>
      <c r="U826">
        <v>66.180000000000007</v>
      </c>
      <c r="V826" t="b">
        <v>1</v>
      </c>
      <c r="W826" t="s">
        <v>41</v>
      </c>
    </row>
    <row r="827" spans="1:23" x14ac:dyDescent="0.25">
      <c r="A827" t="s">
        <v>32</v>
      </c>
      <c r="B827" t="s">
        <v>70</v>
      </c>
      <c r="C827">
        <v>72.7</v>
      </c>
      <c r="D827">
        <v>632</v>
      </c>
      <c r="E827" t="b">
        <v>1</v>
      </c>
      <c r="F827" t="b">
        <v>1</v>
      </c>
      <c r="G827" t="b">
        <v>1</v>
      </c>
      <c r="H827" t="s">
        <v>53</v>
      </c>
      <c r="I827" t="s">
        <v>35</v>
      </c>
      <c r="J827" t="s">
        <v>45</v>
      </c>
      <c r="K827" t="s">
        <v>39</v>
      </c>
      <c r="L827" t="s">
        <v>37</v>
      </c>
      <c r="M827" t="s">
        <v>47</v>
      </c>
      <c r="N827" t="s">
        <v>39</v>
      </c>
      <c r="P827" t="b">
        <v>0</v>
      </c>
      <c r="Q827">
        <v>6.9</v>
      </c>
      <c r="R827" t="b">
        <v>1</v>
      </c>
      <c r="S827" t="s">
        <v>48</v>
      </c>
      <c r="T827">
        <v>29</v>
      </c>
      <c r="U827">
        <v>69.650000000000006</v>
      </c>
      <c r="V827" t="b">
        <v>1</v>
      </c>
      <c r="W827" t="s">
        <v>41</v>
      </c>
    </row>
    <row r="828" spans="1:23" x14ac:dyDescent="0.25">
      <c r="A828" t="s">
        <v>23</v>
      </c>
      <c r="B828" t="s">
        <v>66</v>
      </c>
      <c r="C828">
        <v>64.239999999999995</v>
      </c>
      <c r="D828">
        <v>476</v>
      </c>
      <c r="E828" t="b">
        <v>0</v>
      </c>
      <c r="F828" t="b">
        <v>1</v>
      </c>
      <c r="G828" t="b">
        <v>1</v>
      </c>
      <c r="H828" t="s">
        <v>43</v>
      </c>
      <c r="I828" t="s">
        <v>57</v>
      </c>
      <c r="J828" t="s">
        <v>54</v>
      </c>
      <c r="K828" t="s">
        <v>28</v>
      </c>
      <c r="L828" t="s">
        <v>37</v>
      </c>
      <c r="M828" t="s">
        <v>39</v>
      </c>
      <c r="N828" t="s">
        <v>46</v>
      </c>
      <c r="O828" t="b">
        <v>1</v>
      </c>
      <c r="P828" t="b">
        <v>0</v>
      </c>
      <c r="Q828">
        <v>7.9</v>
      </c>
      <c r="R828" t="b">
        <v>1</v>
      </c>
      <c r="S828" t="s">
        <v>64</v>
      </c>
      <c r="T828">
        <v>9.6</v>
      </c>
      <c r="U828">
        <v>65.83</v>
      </c>
      <c r="V828" t="b">
        <v>1</v>
      </c>
      <c r="W828" t="s">
        <v>41</v>
      </c>
    </row>
    <row r="829" spans="1:23" x14ac:dyDescent="0.25">
      <c r="A829" t="s">
        <v>23</v>
      </c>
      <c r="B829" t="s">
        <v>59</v>
      </c>
      <c r="C829">
        <v>78.56</v>
      </c>
      <c r="D829">
        <v>72</v>
      </c>
      <c r="E829" t="b">
        <v>1</v>
      </c>
      <c r="F829" t="b">
        <v>0</v>
      </c>
      <c r="G829" t="b">
        <v>0</v>
      </c>
      <c r="H829" t="s">
        <v>25</v>
      </c>
      <c r="I829" t="s">
        <v>44</v>
      </c>
      <c r="J829" t="s">
        <v>50</v>
      </c>
      <c r="K829" t="s">
        <v>37</v>
      </c>
      <c r="L829" t="s">
        <v>37</v>
      </c>
      <c r="M829" t="s">
        <v>28</v>
      </c>
      <c r="N829" t="s">
        <v>28</v>
      </c>
      <c r="P829" t="b">
        <v>0</v>
      </c>
      <c r="Q829">
        <v>9</v>
      </c>
      <c r="R829" t="b">
        <v>0</v>
      </c>
      <c r="T829">
        <v>0</v>
      </c>
      <c r="U829">
        <v>83.32</v>
      </c>
      <c r="V829" t="b">
        <v>1</v>
      </c>
      <c r="W829" t="s">
        <v>58</v>
      </c>
    </row>
    <row r="830" spans="1:23" x14ac:dyDescent="0.25">
      <c r="A830" t="s">
        <v>61</v>
      </c>
      <c r="B830" t="s">
        <v>73</v>
      </c>
      <c r="C830">
        <v>56.91</v>
      </c>
      <c r="D830">
        <v>662</v>
      </c>
      <c r="E830" t="b">
        <v>0</v>
      </c>
      <c r="F830" t="b">
        <v>1</v>
      </c>
      <c r="G830" t="b">
        <v>1</v>
      </c>
      <c r="H830" t="s">
        <v>53</v>
      </c>
      <c r="I830" t="s">
        <v>67</v>
      </c>
      <c r="J830" t="s">
        <v>50</v>
      </c>
      <c r="K830" t="s">
        <v>39</v>
      </c>
      <c r="L830" t="s">
        <v>38</v>
      </c>
      <c r="M830" t="s">
        <v>28</v>
      </c>
      <c r="N830" t="s">
        <v>46</v>
      </c>
      <c r="O830" t="b">
        <v>1</v>
      </c>
      <c r="P830" t="b">
        <v>1</v>
      </c>
      <c r="Q830">
        <v>8.4</v>
      </c>
      <c r="R830" t="b">
        <v>1</v>
      </c>
      <c r="S830" t="s">
        <v>64</v>
      </c>
      <c r="T830">
        <v>44.3</v>
      </c>
      <c r="U830">
        <v>58.84</v>
      </c>
      <c r="V830" t="b">
        <v>0</v>
      </c>
      <c r="W830" t="s">
        <v>31</v>
      </c>
    </row>
    <row r="831" spans="1:23" x14ac:dyDescent="0.25">
      <c r="A831" t="s">
        <v>61</v>
      </c>
      <c r="B831" t="s">
        <v>73</v>
      </c>
      <c r="C831">
        <v>54.09</v>
      </c>
      <c r="D831">
        <v>150</v>
      </c>
      <c r="E831" t="b">
        <v>0</v>
      </c>
      <c r="F831" t="b">
        <v>1</v>
      </c>
      <c r="G831" t="b">
        <v>1</v>
      </c>
      <c r="H831" t="s">
        <v>53</v>
      </c>
      <c r="I831" t="s">
        <v>44</v>
      </c>
      <c r="J831" t="s">
        <v>54</v>
      </c>
      <c r="K831" t="s">
        <v>37</v>
      </c>
      <c r="L831" t="s">
        <v>38</v>
      </c>
      <c r="M831" t="s">
        <v>46</v>
      </c>
      <c r="N831" t="s">
        <v>46</v>
      </c>
      <c r="O831" t="b">
        <v>0</v>
      </c>
      <c r="P831" t="b">
        <v>0</v>
      </c>
      <c r="Q831">
        <v>5.0999999999999996</v>
      </c>
      <c r="R831" t="b">
        <v>1</v>
      </c>
      <c r="S831" t="s">
        <v>30</v>
      </c>
      <c r="T831">
        <v>21.5</v>
      </c>
      <c r="U831">
        <v>67.349999999999994</v>
      </c>
      <c r="V831" t="b">
        <v>1</v>
      </c>
      <c r="W831" t="s">
        <v>41</v>
      </c>
    </row>
    <row r="832" spans="1:23" x14ac:dyDescent="0.25">
      <c r="A832" t="s">
        <v>68</v>
      </c>
      <c r="B832" t="s">
        <v>76</v>
      </c>
      <c r="C832">
        <v>73.14</v>
      </c>
      <c r="D832">
        <v>711</v>
      </c>
      <c r="E832" t="b">
        <v>0</v>
      </c>
      <c r="F832" t="b">
        <v>0</v>
      </c>
      <c r="G832" t="b">
        <v>0</v>
      </c>
      <c r="H832" t="s">
        <v>25</v>
      </c>
      <c r="I832" t="s">
        <v>35</v>
      </c>
      <c r="J832" t="s">
        <v>54</v>
      </c>
      <c r="K832" t="s">
        <v>39</v>
      </c>
      <c r="L832" t="s">
        <v>37</v>
      </c>
      <c r="M832" t="s">
        <v>28</v>
      </c>
      <c r="N832" t="s">
        <v>46</v>
      </c>
      <c r="P832" t="b">
        <v>0</v>
      </c>
      <c r="Q832">
        <v>7.8</v>
      </c>
      <c r="R832" t="b">
        <v>1</v>
      </c>
      <c r="S832" t="s">
        <v>52</v>
      </c>
      <c r="T832">
        <v>36.9</v>
      </c>
      <c r="U832">
        <v>72.319999999999993</v>
      </c>
      <c r="V832" t="b">
        <v>1</v>
      </c>
      <c r="W832" t="s">
        <v>41</v>
      </c>
    </row>
    <row r="833" spans="1:23" x14ac:dyDescent="0.25">
      <c r="A833" t="s">
        <v>68</v>
      </c>
      <c r="B833" t="s">
        <v>62</v>
      </c>
      <c r="C833">
        <v>53.74</v>
      </c>
      <c r="D833">
        <v>94</v>
      </c>
      <c r="E833" t="b">
        <v>0</v>
      </c>
      <c r="F833" t="b">
        <v>1</v>
      </c>
      <c r="G833" t="b">
        <v>0</v>
      </c>
      <c r="H833" t="s">
        <v>25</v>
      </c>
      <c r="I833" t="s">
        <v>26</v>
      </c>
      <c r="J833" t="s">
        <v>45</v>
      </c>
      <c r="K833" t="s">
        <v>28</v>
      </c>
      <c r="L833" t="s">
        <v>37</v>
      </c>
      <c r="M833" t="s">
        <v>39</v>
      </c>
      <c r="N833" t="s">
        <v>28</v>
      </c>
      <c r="P833" t="b">
        <v>0</v>
      </c>
      <c r="Q833">
        <v>4.5999999999999996</v>
      </c>
      <c r="R833" t="b">
        <v>1</v>
      </c>
      <c r="S833" t="s">
        <v>30</v>
      </c>
      <c r="T833">
        <v>27.9</v>
      </c>
      <c r="U833">
        <v>41.21</v>
      </c>
      <c r="V833" t="b">
        <v>1</v>
      </c>
      <c r="W833" t="s">
        <v>72</v>
      </c>
    </row>
    <row r="834" spans="1:23" x14ac:dyDescent="0.25">
      <c r="A834" t="s">
        <v>61</v>
      </c>
      <c r="B834" t="s">
        <v>42</v>
      </c>
      <c r="C834">
        <v>78.39</v>
      </c>
      <c r="D834">
        <v>501</v>
      </c>
      <c r="E834" t="b">
        <v>0</v>
      </c>
      <c r="F834" t="b">
        <v>1</v>
      </c>
      <c r="G834" t="b">
        <v>1</v>
      </c>
      <c r="H834" t="s">
        <v>53</v>
      </c>
      <c r="I834" t="s">
        <v>44</v>
      </c>
      <c r="J834" t="s">
        <v>27</v>
      </c>
      <c r="K834" t="s">
        <v>37</v>
      </c>
      <c r="L834" t="s">
        <v>29</v>
      </c>
      <c r="M834" t="s">
        <v>39</v>
      </c>
      <c r="N834" t="s">
        <v>39</v>
      </c>
      <c r="P834" t="b">
        <v>0</v>
      </c>
      <c r="Q834">
        <v>6.7</v>
      </c>
      <c r="R834" t="b">
        <v>0</v>
      </c>
      <c r="T834">
        <v>0</v>
      </c>
      <c r="U834">
        <v>83.58</v>
      </c>
      <c r="V834" t="b">
        <v>1</v>
      </c>
      <c r="W834" t="s">
        <v>31</v>
      </c>
    </row>
    <row r="835" spans="1:23" x14ac:dyDescent="0.25">
      <c r="A835" t="s">
        <v>74</v>
      </c>
      <c r="B835" t="s">
        <v>24</v>
      </c>
      <c r="C835">
        <v>86.39</v>
      </c>
      <c r="D835">
        <v>261</v>
      </c>
      <c r="E835" t="b">
        <v>1</v>
      </c>
      <c r="F835" t="b">
        <v>0</v>
      </c>
      <c r="G835" t="b">
        <v>0</v>
      </c>
      <c r="H835" t="s">
        <v>43</v>
      </c>
      <c r="I835" t="s">
        <v>67</v>
      </c>
      <c r="J835" t="s">
        <v>45</v>
      </c>
      <c r="K835" t="s">
        <v>46</v>
      </c>
      <c r="L835" t="s">
        <v>51</v>
      </c>
      <c r="M835" t="s">
        <v>39</v>
      </c>
      <c r="N835" t="s">
        <v>39</v>
      </c>
      <c r="O835" t="b">
        <v>0</v>
      </c>
      <c r="P835" t="b">
        <v>1</v>
      </c>
      <c r="Q835">
        <v>9</v>
      </c>
      <c r="R835" t="b">
        <v>0</v>
      </c>
      <c r="T835">
        <v>0</v>
      </c>
      <c r="U835">
        <v>97.58</v>
      </c>
      <c r="V835" t="b">
        <v>1</v>
      </c>
      <c r="W835" t="s">
        <v>58</v>
      </c>
    </row>
    <row r="836" spans="1:23" x14ac:dyDescent="0.25">
      <c r="A836" t="s">
        <v>56</v>
      </c>
      <c r="B836" t="s">
        <v>71</v>
      </c>
      <c r="C836">
        <v>51.29</v>
      </c>
      <c r="D836">
        <v>384</v>
      </c>
      <c r="E836" t="b">
        <v>1</v>
      </c>
      <c r="F836" t="b">
        <v>1</v>
      </c>
      <c r="G836" t="b">
        <v>1</v>
      </c>
      <c r="H836" t="s">
        <v>43</v>
      </c>
      <c r="I836" t="s">
        <v>57</v>
      </c>
      <c r="J836" t="s">
        <v>45</v>
      </c>
      <c r="K836" t="s">
        <v>37</v>
      </c>
      <c r="L836" t="s">
        <v>29</v>
      </c>
      <c r="M836" t="s">
        <v>46</v>
      </c>
      <c r="O836" t="b">
        <v>0</v>
      </c>
      <c r="P836" t="b">
        <v>0</v>
      </c>
      <c r="Q836">
        <v>4.7</v>
      </c>
      <c r="R836" t="b">
        <v>0</v>
      </c>
      <c r="T836">
        <v>0</v>
      </c>
      <c r="U836">
        <v>40.72</v>
      </c>
      <c r="V836" t="b">
        <v>1</v>
      </c>
      <c r="W836" t="s">
        <v>41</v>
      </c>
    </row>
    <row r="837" spans="1:23" x14ac:dyDescent="0.25">
      <c r="A837" t="s">
        <v>56</v>
      </c>
      <c r="B837" t="s">
        <v>24</v>
      </c>
      <c r="C837">
        <v>85.45</v>
      </c>
      <c r="D837">
        <v>193</v>
      </c>
      <c r="E837" t="b">
        <v>0</v>
      </c>
      <c r="F837" t="b">
        <v>0</v>
      </c>
      <c r="G837" t="b">
        <v>0</v>
      </c>
      <c r="H837" t="s">
        <v>53</v>
      </c>
      <c r="I837" t="s">
        <v>26</v>
      </c>
      <c r="J837" t="s">
        <v>36</v>
      </c>
      <c r="K837" t="s">
        <v>28</v>
      </c>
      <c r="L837" t="s">
        <v>51</v>
      </c>
      <c r="M837" t="s">
        <v>28</v>
      </c>
      <c r="N837" t="s">
        <v>39</v>
      </c>
      <c r="O837" t="b">
        <v>1</v>
      </c>
      <c r="P837" t="b">
        <v>0</v>
      </c>
      <c r="Q837">
        <v>10</v>
      </c>
      <c r="R837" t="b">
        <v>0</v>
      </c>
      <c r="T837">
        <v>0</v>
      </c>
      <c r="U837">
        <v>91.48</v>
      </c>
      <c r="V837" t="b">
        <v>1</v>
      </c>
      <c r="W837" t="s">
        <v>58</v>
      </c>
    </row>
    <row r="838" spans="1:23" x14ac:dyDescent="0.25">
      <c r="A838" t="s">
        <v>23</v>
      </c>
      <c r="B838" t="s">
        <v>62</v>
      </c>
      <c r="C838">
        <v>50.79</v>
      </c>
      <c r="D838">
        <v>307</v>
      </c>
      <c r="E838" t="b">
        <v>0</v>
      </c>
      <c r="F838" t="b">
        <v>0</v>
      </c>
      <c r="G838" t="b">
        <v>1</v>
      </c>
      <c r="H838" t="s">
        <v>34</v>
      </c>
      <c r="I838" t="s">
        <v>26</v>
      </c>
      <c r="J838" t="s">
        <v>36</v>
      </c>
      <c r="K838" t="s">
        <v>28</v>
      </c>
      <c r="L838" t="s">
        <v>38</v>
      </c>
      <c r="M838" t="s">
        <v>28</v>
      </c>
      <c r="O838" t="b">
        <v>1</v>
      </c>
      <c r="P838" t="b">
        <v>1</v>
      </c>
      <c r="Q838">
        <v>7.7</v>
      </c>
      <c r="R838" t="b">
        <v>1</v>
      </c>
      <c r="S838" t="s">
        <v>52</v>
      </c>
      <c r="T838">
        <v>31.2</v>
      </c>
      <c r="U838">
        <v>63.14</v>
      </c>
      <c r="V838" t="b">
        <v>1</v>
      </c>
      <c r="W838" t="s">
        <v>41</v>
      </c>
    </row>
    <row r="839" spans="1:23" x14ac:dyDescent="0.25">
      <c r="A839" t="s">
        <v>74</v>
      </c>
      <c r="B839" t="s">
        <v>24</v>
      </c>
      <c r="C839">
        <v>90.05</v>
      </c>
      <c r="D839">
        <v>208</v>
      </c>
      <c r="E839" t="b">
        <v>0</v>
      </c>
      <c r="F839" t="b">
        <v>0</v>
      </c>
      <c r="G839" t="b">
        <v>0</v>
      </c>
      <c r="H839" t="s">
        <v>25</v>
      </c>
      <c r="I839" t="s">
        <v>35</v>
      </c>
      <c r="J839" t="s">
        <v>36</v>
      </c>
      <c r="K839" t="s">
        <v>28</v>
      </c>
      <c r="L839" t="s">
        <v>38</v>
      </c>
      <c r="M839" t="s">
        <v>47</v>
      </c>
      <c r="N839" t="s">
        <v>28</v>
      </c>
      <c r="P839" t="b">
        <v>1</v>
      </c>
      <c r="Q839">
        <v>9.6</v>
      </c>
      <c r="R839" t="b">
        <v>1</v>
      </c>
      <c r="S839" t="s">
        <v>65</v>
      </c>
      <c r="T839">
        <v>17.2</v>
      </c>
      <c r="U839">
        <v>100</v>
      </c>
      <c r="V839" t="b">
        <v>1</v>
      </c>
      <c r="W839" t="s">
        <v>31</v>
      </c>
    </row>
    <row r="840" spans="1:23" x14ac:dyDescent="0.25">
      <c r="A840" t="s">
        <v>23</v>
      </c>
      <c r="B840" t="s">
        <v>66</v>
      </c>
      <c r="C840">
        <v>71.459999999999994</v>
      </c>
      <c r="D840">
        <v>305</v>
      </c>
      <c r="E840" t="b">
        <v>1</v>
      </c>
      <c r="F840" t="b">
        <v>1</v>
      </c>
      <c r="G840" t="b">
        <v>0</v>
      </c>
      <c r="H840" t="s">
        <v>25</v>
      </c>
      <c r="I840" t="s">
        <v>57</v>
      </c>
      <c r="J840" t="s">
        <v>45</v>
      </c>
      <c r="K840" t="s">
        <v>37</v>
      </c>
      <c r="L840" t="s">
        <v>69</v>
      </c>
      <c r="M840" t="s">
        <v>46</v>
      </c>
      <c r="N840" t="s">
        <v>39</v>
      </c>
      <c r="P840" t="b">
        <v>1</v>
      </c>
      <c r="Q840">
        <v>9.1</v>
      </c>
      <c r="R840" t="b">
        <v>0</v>
      </c>
      <c r="T840">
        <v>0</v>
      </c>
      <c r="U840">
        <v>68.02</v>
      </c>
      <c r="V840" t="b">
        <v>0</v>
      </c>
      <c r="W840" t="s">
        <v>58</v>
      </c>
    </row>
    <row r="841" spans="1:23" x14ac:dyDescent="0.25">
      <c r="A841" t="s">
        <v>56</v>
      </c>
      <c r="B841" t="s">
        <v>70</v>
      </c>
      <c r="C841">
        <v>70.16</v>
      </c>
      <c r="D841">
        <v>776</v>
      </c>
      <c r="E841" t="b">
        <v>1</v>
      </c>
      <c r="F841" t="b">
        <v>1</v>
      </c>
      <c r="G841" t="b">
        <v>1</v>
      </c>
      <c r="H841" t="s">
        <v>53</v>
      </c>
      <c r="I841" t="s">
        <v>63</v>
      </c>
      <c r="J841" t="s">
        <v>27</v>
      </c>
      <c r="K841" t="s">
        <v>28</v>
      </c>
      <c r="L841" t="s">
        <v>37</v>
      </c>
      <c r="M841" t="s">
        <v>28</v>
      </c>
      <c r="N841" t="s">
        <v>39</v>
      </c>
      <c r="O841" t="b">
        <v>0</v>
      </c>
      <c r="P841" t="b">
        <v>0</v>
      </c>
      <c r="Q841">
        <v>6.9</v>
      </c>
      <c r="R841" t="b">
        <v>0</v>
      </c>
      <c r="T841">
        <v>0</v>
      </c>
      <c r="U841">
        <v>73.349999999999994</v>
      </c>
      <c r="V841" t="b">
        <v>1</v>
      </c>
      <c r="W841" t="s">
        <v>31</v>
      </c>
    </row>
    <row r="842" spans="1:23" x14ac:dyDescent="0.25">
      <c r="A842" t="s">
        <v>56</v>
      </c>
      <c r="B842" t="s">
        <v>76</v>
      </c>
      <c r="C842">
        <v>89.12</v>
      </c>
      <c r="D842">
        <v>87</v>
      </c>
      <c r="E842" t="b">
        <v>1</v>
      </c>
      <c r="F842" t="b">
        <v>0</v>
      </c>
      <c r="G842" t="b">
        <v>0</v>
      </c>
      <c r="H842" t="s">
        <v>25</v>
      </c>
      <c r="I842" t="s">
        <v>26</v>
      </c>
      <c r="J842" t="s">
        <v>54</v>
      </c>
      <c r="K842" t="s">
        <v>37</v>
      </c>
      <c r="L842" t="s">
        <v>51</v>
      </c>
      <c r="M842" t="s">
        <v>46</v>
      </c>
      <c r="N842" t="s">
        <v>46</v>
      </c>
      <c r="P842" t="b">
        <v>1</v>
      </c>
      <c r="Q842">
        <v>9.6</v>
      </c>
      <c r="R842" t="b">
        <v>1</v>
      </c>
      <c r="S842" t="s">
        <v>30</v>
      </c>
      <c r="T842">
        <v>14.3</v>
      </c>
      <c r="U842">
        <v>85.82</v>
      </c>
      <c r="V842" t="b">
        <v>1</v>
      </c>
      <c r="W842" t="s">
        <v>31</v>
      </c>
    </row>
    <row r="843" spans="1:23" x14ac:dyDescent="0.25">
      <c r="A843" t="s">
        <v>61</v>
      </c>
      <c r="B843" t="s">
        <v>42</v>
      </c>
      <c r="C843">
        <v>69.239999999999995</v>
      </c>
      <c r="D843">
        <v>98</v>
      </c>
      <c r="E843" t="b">
        <v>1</v>
      </c>
      <c r="F843" t="b">
        <v>1</v>
      </c>
      <c r="G843" t="b">
        <v>1</v>
      </c>
      <c r="H843" t="s">
        <v>34</v>
      </c>
      <c r="I843" t="s">
        <v>35</v>
      </c>
      <c r="J843" t="s">
        <v>36</v>
      </c>
      <c r="K843" t="s">
        <v>37</v>
      </c>
      <c r="L843" t="s">
        <v>69</v>
      </c>
      <c r="M843" t="s">
        <v>28</v>
      </c>
      <c r="N843" t="s">
        <v>28</v>
      </c>
      <c r="P843" t="b">
        <v>0</v>
      </c>
      <c r="Q843">
        <v>8.6999999999999993</v>
      </c>
      <c r="R843" t="b">
        <v>1</v>
      </c>
      <c r="S843" t="s">
        <v>52</v>
      </c>
      <c r="T843">
        <v>14.2</v>
      </c>
      <c r="U843">
        <v>59.03</v>
      </c>
      <c r="V843" t="b">
        <v>0</v>
      </c>
      <c r="W843" t="s">
        <v>31</v>
      </c>
    </row>
    <row r="844" spans="1:23" x14ac:dyDescent="0.25">
      <c r="A844" t="s">
        <v>68</v>
      </c>
      <c r="B844" t="s">
        <v>24</v>
      </c>
      <c r="C844">
        <v>95.49</v>
      </c>
      <c r="D844">
        <v>366</v>
      </c>
      <c r="E844" t="b">
        <v>1</v>
      </c>
      <c r="F844" t="b">
        <v>0</v>
      </c>
      <c r="G844" t="b">
        <v>0</v>
      </c>
      <c r="H844" t="s">
        <v>53</v>
      </c>
      <c r="I844" t="s">
        <v>35</v>
      </c>
      <c r="J844" t="s">
        <v>54</v>
      </c>
      <c r="K844" t="s">
        <v>28</v>
      </c>
      <c r="L844" t="s">
        <v>38</v>
      </c>
      <c r="M844" t="s">
        <v>39</v>
      </c>
      <c r="N844" t="s">
        <v>46</v>
      </c>
      <c r="O844" t="b">
        <v>1</v>
      </c>
      <c r="P844" t="b">
        <v>1</v>
      </c>
      <c r="Q844">
        <v>10</v>
      </c>
      <c r="R844" t="b">
        <v>1</v>
      </c>
      <c r="S844" t="s">
        <v>75</v>
      </c>
      <c r="T844">
        <v>37.700000000000003</v>
      </c>
      <c r="U844">
        <v>98.12</v>
      </c>
      <c r="V844" t="b">
        <v>1</v>
      </c>
      <c r="W844" t="s">
        <v>31</v>
      </c>
    </row>
    <row r="845" spans="1:23" x14ac:dyDescent="0.25">
      <c r="A845" t="s">
        <v>56</v>
      </c>
      <c r="B845" t="s">
        <v>33</v>
      </c>
      <c r="C845">
        <v>76.91</v>
      </c>
      <c r="D845">
        <v>542</v>
      </c>
      <c r="E845" t="b">
        <v>0</v>
      </c>
      <c r="F845" t="b">
        <v>0</v>
      </c>
      <c r="G845" t="b">
        <v>1</v>
      </c>
      <c r="H845" t="s">
        <v>53</v>
      </c>
      <c r="I845" t="s">
        <v>67</v>
      </c>
      <c r="J845" t="s">
        <v>45</v>
      </c>
      <c r="K845" t="s">
        <v>39</v>
      </c>
      <c r="L845" t="s">
        <v>69</v>
      </c>
      <c r="M845" t="s">
        <v>28</v>
      </c>
      <c r="N845" t="s">
        <v>46</v>
      </c>
      <c r="O845" t="b">
        <v>1</v>
      </c>
      <c r="P845" t="b">
        <v>1</v>
      </c>
      <c r="Q845">
        <v>10</v>
      </c>
      <c r="R845" t="b">
        <v>0</v>
      </c>
      <c r="T845">
        <v>0</v>
      </c>
      <c r="U845">
        <v>79.98</v>
      </c>
      <c r="V845" t="b">
        <v>0</v>
      </c>
      <c r="W845" t="s">
        <v>58</v>
      </c>
    </row>
    <row r="846" spans="1:23" x14ac:dyDescent="0.25">
      <c r="A846" t="s">
        <v>23</v>
      </c>
      <c r="B846" t="s">
        <v>60</v>
      </c>
      <c r="C846">
        <v>51.32</v>
      </c>
      <c r="D846">
        <v>521</v>
      </c>
      <c r="E846" t="b">
        <v>1</v>
      </c>
      <c r="F846" t="b">
        <v>1</v>
      </c>
      <c r="G846" t="b">
        <v>1</v>
      </c>
      <c r="H846" t="s">
        <v>43</v>
      </c>
      <c r="I846" t="s">
        <v>44</v>
      </c>
      <c r="J846" t="s">
        <v>54</v>
      </c>
      <c r="K846" t="s">
        <v>37</v>
      </c>
      <c r="L846" t="s">
        <v>69</v>
      </c>
      <c r="M846" t="s">
        <v>46</v>
      </c>
      <c r="N846" t="s">
        <v>28</v>
      </c>
      <c r="O846" t="b">
        <v>0</v>
      </c>
      <c r="P846" t="b">
        <v>0</v>
      </c>
      <c r="Q846">
        <v>5.7</v>
      </c>
      <c r="R846" t="b">
        <v>1</v>
      </c>
      <c r="S846" t="s">
        <v>30</v>
      </c>
      <c r="T846">
        <v>43.6</v>
      </c>
      <c r="U846">
        <v>60.42</v>
      </c>
      <c r="V846" t="b">
        <v>1</v>
      </c>
      <c r="W846" t="s">
        <v>41</v>
      </c>
    </row>
    <row r="847" spans="1:23" x14ac:dyDescent="0.25">
      <c r="A847" t="s">
        <v>68</v>
      </c>
      <c r="B847" t="s">
        <v>60</v>
      </c>
      <c r="C847">
        <v>59.33</v>
      </c>
      <c r="D847">
        <v>199</v>
      </c>
      <c r="E847" t="b">
        <v>1</v>
      </c>
      <c r="F847" t="b">
        <v>1</v>
      </c>
      <c r="G847" t="b">
        <v>0</v>
      </c>
      <c r="H847" t="s">
        <v>43</v>
      </c>
      <c r="I847" t="s">
        <v>63</v>
      </c>
      <c r="J847" t="s">
        <v>27</v>
      </c>
      <c r="K847" t="s">
        <v>39</v>
      </c>
      <c r="L847" t="s">
        <v>51</v>
      </c>
      <c r="M847" t="s">
        <v>28</v>
      </c>
      <c r="N847" t="s">
        <v>46</v>
      </c>
      <c r="O847" t="b">
        <v>0</v>
      </c>
      <c r="P847" t="b">
        <v>0</v>
      </c>
      <c r="Q847">
        <v>6.1</v>
      </c>
      <c r="R847" t="b">
        <v>1</v>
      </c>
      <c r="S847" t="s">
        <v>75</v>
      </c>
      <c r="T847">
        <v>7.3</v>
      </c>
      <c r="U847">
        <v>51.8</v>
      </c>
      <c r="V847" t="b">
        <v>1</v>
      </c>
      <c r="W847" t="s">
        <v>41</v>
      </c>
    </row>
    <row r="848" spans="1:23" x14ac:dyDescent="0.25">
      <c r="A848" t="s">
        <v>23</v>
      </c>
      <c r="B848" t="s">
        <v>59</v>
      </c>
      <c r="C848">
        <v>91.03</v>
      </c>
      <c r="D848">
        <v>380</v>
      </c>
      <c r="E848" t="b">
        <v>1</v>
      </c>
      <c r="F848" t="b">
        <v>0</v>
      </c>
      <c r="G848" t="b">
        <v>0</v>
      </c>
      <c r="H848" t="s">
        <v>34</v>
      </c>
      <c r="I848" t="s">
        <v>57</v>
      </c>
      <c r="J848" t="s">
        <v>45</v>
      </c>
      <c r="K848" t="s">
        <v>28</v>
      </c>
      <c r="L848" t="s">
        <v>38</v>
      </c>
      <c r="M848" t="s">
        <v>28</v>
      </c>
      <c r="N848" t="s">
        <v>46</v>
      </c>
      <c r="O848" t="b">
        <v>0</v>
      </c>
      <c r="P848" t="b">
        <v>1</v>
      </c>
      <c r="Q848">
        <v>10</v>
      </c>
      <c r="R848" t="b">
        <v>0</v>
      </c>
      <c r="T848">
        <v>0</v>
      </c>
      <c r="U848">
        <v>77.67</v>
      </c>
      <c r="V848" t="b">
        <v>0</v>
      </c>
      <c r="W848" t="s">
        <v>58</v>
      </c>
    </row>
    <row r="849" spans="1:23" x14ac:dyDescent="0.25">
      <c r="A849" t="s">
        <v>68</v>
      </c>
      <c r="B849" t="s">
        <v>73</v>
      </c>
      <c r="C849">
        <v>51.15</v>
      </c>
      <c r="D849">
        <v>440</v>
      </c>
      <c r="E849" t="b">
        <v>1</v>
      </c>
      <c r="F849" t="b">
        <v>1</v>
      </c>
      <c r="G849" t="b">
        <v>1</v>
      </c>
      <c r="H849" t="s">
        <v>53</v>
      </c>
      <c r="I849" t="s">
        <v>35</v>
      </c>
      <c r="J849" t="s">
        <v>27</v>
      </c>
      <c r="K849" t="s">
        <v>28</v>
      </c>
      <c r="L849" t="s">
        <v>38</v>
      </c>
      <c r="M849" t="s">
        <v>47</v>
      </c>
      <c r="N849" t="s">
        <v>28</v>
      </c>
      <c r="P849" t="b">
        <v>1</v>
      </c>
      <c r="Q849">
        <v>5.5</v>
      </c>
      <c r="R849" t="b">
        <v>1</v>
      </c>
      <c r="S849" t="s">
        <v>55</v>
      </c>
      <c r="T849">
        <v>33.700000000000003</v>
      </c>
      <c r="U849">
        <v>53.39</v>
      </c>
      <c r="V849" t="b">
        <v>1</v>
      </c>
      <c r="W849" t="s">
        <v>41</v>
      </c>
    </row>
    <row r="850" spans="1:23" x14ac:dyDescent="0.25">
      <c r="A850" t="s">
        <v>23</v>
      </c>
      <c r="B850" t="s">
        <v>33</v>
      </c>
      <c r="C850">
        <v>87.33</v>
      </c>
      <c r="D850">
        <v>532</v>
      </c>
      <c r="E850" t="b">
        <v>0</v>
      </c>
      <c r="F850" t="b">
        <v>0</v>
      </c>
      <c r="G850" t="b">
        <v>0</v>
      </c>
      <c r="H850" t="s">
        <v>43</v>
      </c>
      <c r="I850" t="s">
        <v>67</v>
      </c>
      <c r="J850" t="s">
        <v>36</v>
      </c>
      <c r="K850" t="s">
        <v>46</v>
      </c>
      <c r="L850" t="s">
        <v>69</v>
      </c>
      <c r="M850" t="s">
        <v>46</v>
      </c>
      <c r="O850" t="b">
        <v>1</v>
      </c>
      <c r="P850" t="b">
        <v>0</v>
      </c>
      <c r="Q850">
        <v>10</v>
      </c>
      <c r="R850" t="b">
        <v>1</v>
      </c>
      <c r="S850" t="s">
        <v>65</v>
      </c>
      <c r="T850">
        <v>5.7</v>
      </c>
      <c r="U850">
        <v>79.349999999999994</v>
      </c>
      <c r="V850" t="b">
        <v>0</v>
      </c>
      <c r="W850" t="s">
        <v>31</v>
      </c>
    </row>
    <row r="851" spans="1:23" x14ac:dyDescent="0.25">
      <c r="A851" t="s">
        <v>23</v>
      </c>
      <c r="B851" t="s">
        <v>76</v>
      </c>
      <c r="C851">
        <v>82.23</v>
      </c>
      <c r="D851">
        <v>385</v>
      </c>
      <c r="E851" t="b">
        <v>1</v>
      </c>
      <c r="F851" t="b">
        <v>0</v>
      </c>
      <c r="G851" t="b">
        <v>0</v>
      </c>
      <c r="H851" t="s">
        <v>43</v>
      </c>
      <c r="I851" t="s">
        <v>44</v>
      </c>
      <c r="J851" t="s">
        <v>27</v>
      </c>
      <c r="K851" t="s">
        <v>37</v>
      </c>
      <c r="L851" t="s">
        <v>69</v>
      </c>
      <c r="M851" t="s">
        <v>39</v>
      </c>
      <c r="N851" t="s">
        <v>46</v>
      </c>
      <c r="O851" t="b">
        <v>1</v>
      </c>
      <c r="P851" t="b">
        <v>1</v>
      </c>
      <c r="Q851">
        <v>10</v>
      </c>
      <c r="R851" t="b">
        <v>1</v>
      </c>
      <c r="S851" t="s">
        <v>55</v>
      </c>
      <c r="T851">
        <v>33.799999999999997</v>
      </c>
      <c r="U851">
        <v>78.72</v>
      </c>
      <c r="V851" t="b">
        <v>0</v>
      </c>
      <c r="W851" t="s">
        <v>31</v>
      </c>
    </row>
    <row r="852" spans="1:23" x14ac:dyDescent="0.25">
      <c r="A852" t="s">
        <v>23</v>
      </c>
      <c r="B852" t="s">
        <v>24</v>
      </c>
      <c r="C852">
        <v>87.17</v>
      </c>
      <c r="D852">
        <v>326</v>
      </c>
      <c r="E852" t="b">
        <v>1</v>
      </c>
      <c r="F852" t="b">
        <v>0</v>
      </c>
      <c r="G852" t="b">
        <v>1</v>
      </c>
      <c r="H852" t="s">
        <v>53</v>
      </c>
      <c r="I852" t="s">
        <v>26</v>
      </c>
      <c r="J852" t="s">
        <v>36</v>
      </c>
      <c r="K852" t="s">
        <v>37</v>
      </c>
      <c r="L852" t="s">
        <v>37</v>
      </c>
      <c r="M852" t="s">
        <v>28</v>
      </c>
      <c r="N852" t="s">
        <v>28</v>
      </c>
      <c r="O852" t="b">
        <v>1</v>
      </c>
      <c r="P852" t="b">
        <v>0</v>
      </c>
      <c r="Q852">
        <v>10</v>
      </c>
      <c r="R852" t="b">
        <v>1</v>
      </c>
      <c r="S852" t="s">
        <v>40</v>
      </c>
      <c r="T852">
        <v>24.7</v>
      </c>
      <c r="U852">
        <v>79.52</v>
      </c>
      <c r="V852" t="b">
        <v>0</v>
      </c>
      <c r="W852" t="s">
        <v>31</v>
      </c>
    </row>
    <row r="853" spans="1:23" x14ac:dyDescent="0.25">
      <c r="A853" t="s">
        <v>23</v>
      </c>
      <c r="B853" t="s">
        <v>33</v>
      </c>
      <c r="C853">
        <v>83.88</v>
      </c>
      <c r="D853">
        <v>347</v>
      </c>
      <c r="E853" t="b">
        <v>1</v>
      </c>
      <c r="F853" t="b">
        <v>0</v>
      </c>
      <c r="G853" t="b">
        <v>1</v>
      </c>
      <c r="H853" t="s">
        <v>43</v>
      </c>
      <c r="I853" t="s">
        <v>35</v>
      </c>
      <c r="J853" t="s">
        <v>36</v>
      </c>
      <c r="K853" t="s">
        <v>39</v>
      </c>
      <c r="L853" t="s">
        <v>69</v>
      </c>
      <c r="M853" t="s">
        <v>39</v>
      </c>
      <c r="N853" t="s">
        <v>46</v>
      </c>
      <c r="O853" t="b">
        <v>1</v>
      </c>
      <c r="P853" t="b">
        <v>1</v>
      </c>
      <c r="Q853">
        <v>10</v>
      </c>
      <c r="R853" t="b">
        <v>0</v>
      </c>
      <c r="T853">
        <v>0</v>
      </c>
      <c r="U853">
        <v>92.4</v>
      </c>
      <c r="V853" t="b">
        <v>1</v>
      </c>
      <c r="W853" t="s">
        <v>58</v>
      </c>
    </row>
    <row r="854" spans="1:23" x14ac:dyDescent="0.25">
      <c r="A854" t="s">
        <v>74</v>
      </c>
      <c r="B854" t="s">
        <v>59</v>
      </c>
      <c r="C854">
        <v>85.34</v>
      </c>
      <c r="D854">
        <v>619</v>
      </c>
      <c r="E854" t="b">
        <v>0</v>
      </c>
      <c r="F854" t="b">
        <v>0</v>
      </c>
      <c r="G854" t="b">
        <v>1</v>
      </c>
      <c r="H854" t="s">
        <v>43</v>
      </c>
      <c r="I854" t="s">
        <v>26</v>
      </c>
      <c r="J854" t="s">
        <v>27</v>
      </c>
      <c r="K854" t="s">
        <v>46</v>
      </c>
      <c r="L854" t="s">
        <v>37</v>
      </c>
      <c r="M854" t="s">
        <v>47</v>
      </c>
      <c r="P854" t="b">
        <v>0</v>
      </c>
      <c r="Q854">
        <v>7.9</v>
      </c>
      <c r="R854" t="b">
        <v>1</v>
      </c>
      <c r="S854" t="s">
        <v>40</v>
      </c>
      <c r="T854">
        <v>21.7</v>
      </c>
      <c r="U854">
        <v>93.85</v>
      </c>
      <c r="V854" t="b">
        <v>1</v>
      </c>
      <c r="W854" t="s">
        <v>41</v>
      </c>
    </row>
    <row r="855" spans="1:23" x14ac:dyDescent="0.25">
      <c r="A855" t="s">
        <v>56</v>
      </c>
      <c r="B855" t="s">
        <v>60</v>
      </c>
      <c r="C855">
        <v>60.79</v>
      </c>
      <c r="D855">
        <v>554</v>
      </c>
      <c r="E855" t="b">
        <v>0</v>
      </c>
      <c r="F855" t="b">
        <v>1</v>
      </c>
      <c r="G855" t="b">
        <v>0</v>
      </c>
      <c r="H855" t="s">
        <v>53</v>
      </c>
      <c r="I855" t="s">
        <v>26</v>
      </c>
      <c r="J855" t="s">
        <v>54</v>
      </c>
      <c r="K855" t="s">
        <v>28</v>
      </c>
      <c r="L855" t="s">
        <v>29</v>
      </c>
      <c r="M855" t="s">
        <v>46</v>
      </c>
      <c r="N855" t="s">
        <v>46</v>
      </c>
      <c r="P855" t="b">
        <v>1</v>
      </c>
      <c r="Q855">
        <v>6</v>
      </c>
      <c r="R855" t="b">
        <v>1</v>
      </c>
      <c r="S855" t="s">
        <v>40</v>
      </c>
      <c r="T855">
        <v>43</v>
      </c>
      <c r="U855">
        <v>69.09</v>
      </c>
      <c r="V855" t="b">
        <v>1</v>
      </c>
      <c r="W855" t="s">
        <v>41</v>
      </c>
    </row>
    <row r="856" spans="1:23" x14ac:dyDescent="0.25">
      <c r="A856" t="s">
        <v>74</v>
      </c>
      <c r="B856" t="s">
        <v>33</v>
      </c>
      <c r="C856">
        <v>76.94</v>
      </c>
      <c r="D856">
        <v>795</v>
      </c>
      <c r="E856" t="b">
        <v>1</v>
      </c>
      <c r="F856" t="b">
        <v>0</v>
      </c>
      <c r="G856" t="b">
        <v>0</v>
      </c>
      <c r="H856" t="s">
        <v>25</v>
      </c>
      <c r="I856" t="s">
        <v>26</v>
      </c>
      <c r="J856" t="s">
        <v>36</v>
      </c>
      <c r="K856" t="s">
        <v>28</v>
      </c>
      <c r="L856" t="s">
        <v>51</v>
      </c>
      <c r="M856" t="s">
        <v>28</v>
      </c>
      <c r="N856" t="s">
        <v>28</v>
      </c>
      <c r="P856" t="b">
        <v>0</v>
      </c>
      <c r="Q856">
        <v>10</v>
      </c>
      <c r="R856" t="b">
        <v>0</v>
      </c>
      <c r="T856">
        <v>0</v>
      </c>
      <c r="U856">
        <v>78.3</v>
      </c>
      <c r="V856" t="b">
        <v>0</v>
      </c>
      <c r="W856" t="s">
        <v>58</v>
      </c>
    </row>
    <row r="857" spans="1:23" x14ac:dyDescent="0.25">
      <c r="A857" t="s">
        <v>32</v>
      </c>
      <c r="B857" t="s">
        <v>76</v>
      </c>
      <c r="C857">
        <v>80.63</v>
      </c>
      <c r="D857">
        <v>418</v>
      </c>
      <c r="E857" t="b">
        <v>0</v>
      </c>
      <c r="F857" t="b">
        <v>1</v>
      </c>
      <c r="G857" t="b">
        <v>1</v>
      </c>
      <c r="H857" t="s">
        <v>43</v>
      </c>
      <c r="I857" t="s">
        <v>63</v>
      </c>
      <c r="J857" t="s">
        <v>54</v>
      </c>
      <c r="K857" t="s">
        <v>39</v>
      </c>
      <c r="L857" t="s">
        <v>51</v>
      </c>
      <c r="M857" t="s">
        <v>46</v>
      </c>
      <c r="O857" t="b">
        <v>0</v>
      </c>
      <c r="P857" t="b">
        <v>0</v>
      </c>
      <c r="Q857">
        <v>6.5</v>
      </c>
      <c r="R857" t="b">
        <v>1</v>
      </c>
      <c r="S857" t="s">
        <v>40</v>
      </c>
      <c r="T857">
        <v>10.1</v>
      </c>
      <c r="U857">
        <v>66.36</v>
      </c>
      <c r="V857" t="b">
        <v>1</v>
      </c>
      <c r="W857" t="s">
        <v>41</v>
      </c>
    </row>
    <row r="858" spans="1:23" x14ac:dyDescent="0.25">
      <c r="A858" t="s">
        <v>61</v>
      </c>
      <c r="B858" t="s">
        <v>33</v>
      </c>
      <c r="C858">
        <v>85.67</v>
      </c>
      <c r="D858">
        <v>426</v>
      </c>
      <c r="E858" t="b">
        <v>1</v>
      </c>
      <c r="F858" t="b">
        <v>1</v>
      </c>
      <c r="G858" t="b">
        <v>0</v>
      </c>
      <c r="H858" t="s">
        <v>34</v>
      </c>
      <c r="I858" t="s">
        <v>26</v>
      </c>
      <c r="J858" t="s">
        <v>50</v>
      </c>
      <c r="K858" t="s">
        <v>46</v>
      </c>
      <c r="L858" t="s">
        <v>69</v>
      </c>
      <c r="M858" t="s">
        <v>28</v>
      </c>
      <c r="O858" t="b">
        <v>0</v>
      </c>
      <c r="P858" t="b">
        <v>0</v>
      </c>
      <c r="Q858">
        <v>10</v>
      </c>
      <c r="R858" t="b">
        <v>0</v>
      </c>
      <c r="T858">
        <v>0</v>
      </c>
      <c r="U858">
        <v>76.05</v>
      </c>
      <c r="V858" t="b">
        <v>0</v>
      </c>
      <c r="W858" t="s">
        <v>58</v>
      </c>
    </row>
    <row r="859" spans="1:23" x14ac:dyDescent="0.25">
      <c r="A859" t="s">
        <v>32</v>
      </c>
      <c r="B859" t="s">
        <v>24</v>
      </c>
      <c r="C859">
        <v>88.56</v>
      </c>
      <c r="D859">
        <v>208</v>
      </c>
      <c r="E859" t="b">
        <v>0</v>
      </c>
      <c r="F859" t="b">
        <v>0</v>
      </c>
      <c r="G859" t="b">
        <v>0</v>
      </c>
      <c r="H859" t="s">
        <v>43</v>
      </c>
      <c r="I859" t="s">
        <v>35</v>
      </c>
      <c r="J859" t="s">
        <v>50</v>
      </c>
      <c r="K859" t="s">
        <v>28</v>
      </c>
      <c r="L859" t="s">
        <v>51</v>
      </c>
      <c r="M859" t="s">
        <v>47</v>
      </c>
      <c r="O859" t="b">
        <v>1</v>
      </c>
      <c r="P859" t="b">
        <v>0</v>
      </c>
      <c r="Q859">
        <v>10</v>
      </c>
      <c r="R859" t="b">
        <v>1</v>
      </c>
      <c r="S859" t="s">
        <v>52</v>
      </c>
      <c r="T859">
        <v>38.5</v>
      </c>
      <c r="U859">
        <v>85.24</v>
      </c>
      <c r="V859" t="b">
        <v>1</v>
      </c>
      <c r="W859" t="s">
        <v>31</v>
      </c>
    </row>
    <row r="860" spans="1:23" x14ac:dyDescent="0.25">
      <c r="A860" t="s">
        <v>74</v>
      </c>
      <c r="B860" t="s">
        <v>73</v>
      </c>
      <c r="C860">
        <v>65.95</v>
      </c>
      <c r="D860">
        <v>665</v>
      </c>
      <c r="E860" t="b">
        <v>0</v>
      </c>
      <c r="F860" t="b">
        <v>1</v>
      </c>
      <c r="G860" t="b">
        <v>1</v>
      </c>
      <c r="H860" t="s">
        <v>34</v>
      </c>
      <c r="I860" t="s">
        <v>57</v>
      </c>
      <c r="J860" t="s">
        <v>54</v>
      </c>
      <c r="K860" t="s">
        <v>37</v>
      </c>
      <c r="L860" t="s">
        <v>51</v>
      </c>
      <c r="M860" t="s">
        <v>47</v>
      </c>
      <c r="N860" t="s">
        <v>39</v>
      </c>
      <c r="O860" t="b">
        <v>1</v>
      </c>
      <c r="P860" t="b">
        <v>1</v>
      </c>
      <c r="Q860">
        <v>6.8</v>
      </c>
      <c r="R860" t="b">
        <v>1</v>
      </c>
      <c r="S860" t="s">
        <v>52</v>
      </c>
      <c r="T860">
        <v>33.700000000000003</v>
      </c>
      <c r="U860">
        <v>56.61</v>
      </c>
      <c r="V860" t="b">
        <v>1</v>
      </c>
      <c r="W860" t="s">
        <v>41</v>
      </c>
    </row>
    <row r="861" spans="1:23" x14ac:dyDescent="0.25">
      <c r="A861" t="s">
        <v>68</v>
      </c>
      <c r="B861" t="s">
        <v>59</v>
      </c>
      <c r="C861">
        <v>84.07</v>
      </c>
      <c r="D861">
        <v>311</v>
      </c>
      <c r="E861" t="b">
        <v>1</v>
      </c>
      <c r="F861" t="b">
        <v>1</v>
      </c>
      <c r="G861" t="b">
        <v>1</v>
      </c>
      <c r="H861" t="s">
        <v>34</v>
      </c>
      <c r="I861" t="s">
        <v>67</v>
      </c>
      <c r="J861" t="s">
        <v>50</v>
      </c>
      <c r="K861" t="s">
        <v>28</v>
      </c>
      <c r="L861" t="s">
        <v>38</v>
      </c>
      <c r="M861" t="s">
        <v>28</v>
      </c>
      <c r="N861" t="s">
        <v>39</v>
      </c>
      <c r="O861" t="b">
        <v>0</v>
      </c>
      <c r="P861" t="b">
        <v>0</v>
      </c>
      <c r="Q861">
        <v>9.6</v>
      </c>
      <c r="R861" t="b">
        <v>0</v>
      </c>
      <c r="T861">
        <v>0</v>
      </c>
      <c r="U861">
        <v>93.31</v>
      </c>
      <c r="V861" t="b">
        <v>1</v>
      </c>
      <c r="W861" t="s">
        <v>58</v>
      </c>
    </row>
    <row r="862" spans="1:23" x14ac:dyDescent="0.25">
      <c r="A862" t="s">
        <v>61</v>
      </c>
      <c r="B862" t="s">
        <v>60</v>
      </c>
      <c r="C862">
        <v>61.28</v>
      </c>
      <c r="D862">
        <v>752</v>
      </c>
      <c r="E862" t="b">
        <v>0</v>
      </c>
      <c r="F862" t="b">
        <v>1</v>
      </c>
      <c r="G862" t="b">
        <v>0</v>
      </c>
      <c r="H862" t="s">
        <v>25</v>
      </c>
      <c r="I862" t="s">
        <v>63</v>
      </c>
      <c r="J862" t="s">
        <v>36</v>
      </c>
      <c r="K862" t="s">
        <v>28</v>
      </c>
      <c r="L862" t="s">
        <v>29</v>
      </c>
      <c r="M862" t="s">
        <v>47</v>
      </c>
      <c r="N862" t="s">
        <v>28</v>
      </c>
      <c r="P862" t="b">
        <v>0</v>
      </c>
      <c r="Q862">
        <v>5.7</v>
      </c>
      <c r="R862" t="b">
        <v>1</v>
      </c>
      <c r="S862" t="s">
        <v>40</v>
      </c>
      <c r="T862">
        <v>13.6</v>
      </c>
      <c r="U862">
        <v>49.6</v>
      </c>
      <c r="V862" t="b">
        <v>1</v>
      </c>
      <c r="W862" t="s">
        <v>41</v>
      </c>
    </row>
    <row r="863" spans="1:23" x14ac:dyDescent="0.25">
      <c r="A863" t="s">
        <v>74</v>
      </c>
      <c r="B863" t="s">
        <v>70</v>
      </c>
      <c r="C863">
        <v>90.13</v>
      </c>
      <c r="D863">
        <v>417</v>
      </c>
      <c r="E863" t="b">
        <v>0</v>
      </c>
      <c r="F863" t="b">
        <v>1</v>
      </c>
      <c r="G863" t="b">
        <v>1</v>
      </c>
      <c r="H863" t="s">
        <v>25</v>
      </c>
      <c r="I863" t="s">
        <v>67</v>
      </c>
      <c r="J863" t="s">
        <v>27</v>
      </c>
      <c r="K863" t="s">
        <v>46</v>
      </c>
      <c r="L863" t="s">
        <v>51</v>
      </c>
      <c r="M863" t="s">
        <v>47</v>
      </c>
      <c r="N863" t="s">
        <v>39</v>
      </c>
      <c r="O863" t="b">
        <v>1</v>
      </c>
      <c r="P863" t="b">
        <v>1</v>
      </c>
      <c r="Q863">
        <v>10</v>
      </c>
      <c r="R863" t="b">
        <v>0</v>
      </c>
      <c r="T863">
        <v>0</v>
      </c>
      <c r="U863">
        <v>85.26</v>
      </c>
      <c r="V863" t="b">
        <v>1</v>
      </c>
      <c r="W863" t="s">
        <v>58</v>
      </c>
    </row>
    <row r="864" spans="1:23" x14ac:dyDescent="0.25">
      <c r="A864" t="s">
        <v>56</v>
      </c>
      <c r="B864" t="s">
        <v>60</v>
      </c>
      <c r="C864">
        <v>51</v>
      </c>
      <c r="D864">
        <v>292</v>
      </c>
      <c r="E864" t="b">
        <v>0</v>
      </c>
      <c r="F864" t="b">
        <v>1</v>
      </c>
      <c r="G864" t="b">
        <v>0</v>
      </c>
      <c r="H864" t="s">
        <v>43</v>
      </c>
      <c r="I864" t="s">
        <v>57</v>
      </c>
      <c r="J864" t="s">
        <v>36</v>
      </c>
      <c r="K864" t="s">
        <v>39</v>
      </c>
      <c r="L864" t="s">
        <v>51</v>
      </c>
      <c r="M864" t="s">
        <v>46</v>
      </c>
      <c r="N864" t="s">
        <v>28</v>
      </c>
      <c r="O864" t="b">
        <v>0</v>
      </c>
      <c r="P864" t="b">
        <v>1</v>
      </c>
      <c r="Q864">
        <v>3.3</v>
      </c>
      <c r="R864" t="b">
        <v>1</v>
      </c>
      <c r="S864" t="s">
        <v>40</v>
      </c>
      <c r="T864">
        <v>22.2</v>
      </c>
      <c r="U864">
        <v>62.71</v>
      </c>
      <c r="V864" t="b">
        <v>0</v>
      </c>
      <c r="W864" t="s">
        <v>72</v>
      </c>
    </row>
    <row r="865" spans="1:23" x14ac:dyDescent="0.25">
      <c r="A865" t="s">
        <v>61</v>
      </c>
      <c r="B865" t="s">
        <v>70</v>
      </c>
      <c r="C865">
        <v>76.83</v>
      </c>
      <c r="D865">
        <v>170</v>
      </c>
      <c r="E865" t="b">
        <v>1</v>
      </c>
      <c r="F865" t="b">
        <v>1</v>
      </c>
      <c r="G865" t="b">
        <v>0</v>
      </c>
      <c r="H865" t="s">
        <v>53</v>
      </c>
      <c r="I865" t="s">
        <v>63</v>
      </c>
      <c r="J865" t="s">
        <v>54</v>
      </c>
      <c r="K865" t="s">
        <v>37</v>
      </c>
      <c r="L865" t="s">
        <v>38</v>
      </c>
      <c r="M865" t="s">
        <v>47</v>
      </c>
      <c r="N865" t="s">
        <v>46</v>
      </c>
      <c r="P865" t="b">
        <v>1</v>
      </c>
      <c r="Q865">
        <v>7.8</v>
      </c>
      <c r="R865" t="b">
        <v>1</v>
      </c>
      <c r="S865" t="s">
        <v>75</v>
      </c>
      <c r="T865">
        <v>28.5</v>
      </c>
      <c r="U865">
        <v>80.37</v>
      </c>
      <c r="V865" t="b">
        <v>1</v>
      </c>
      <c r="W865" t="s">
        <v>41</v>
      </c>
    </row>
    <row r="866" spans="1:23" x14ac:dyDescent="0.25">
      <c r="A866" t="s">
        <v>23</v>
      </c>
      <c r="B866" t="s">
        <v>66</v>
      </c>
      <c r="C866">
        <v>66.87</v>
      </c>
      <c r="D866">
        <v>420</v>
      </c>
      <c r="E866" t="b">
        <v>1</v>
      </c>
      <c r="F866" t="b">
        <v>0</v>
      </c>
      <c r="G866" t="b">
        <v>1</v>
      </c>
      <c r="H866" t="s">
        <v>43</v>
      </c>
      <c r="I866" t="s">
        <v>26</v>
      </c>
      <c r="J866" t="s">
        <v>45</v>
      </c>
      <c r="K866" t="s">
        <v>46</v>
      </c>
      <c r="L866" t="s">
        <v>69</v>
      </c>
      <c r="M866" t="s">
        <v>28</v>
      </c>
      <c r="O866" t="b">
        <v>0</v>
      </c>
      <c r="P866" t="b">
        <v>0</v>
      </c>
      <c r="Q866">
        <v>8.1</v>
      </c>
      <c r="R866" t="b">
        <v>0</v>
      </c>
      <c r="T866">
        <v>0</v>
      </c>
      <c r="U866">
        <v>59.27</v>
      </c>
      <c r="V866" t="b">
        <v>0</v>
      </c>
      <c r="W866" t="s">
        <v>58</v>
      </c>
    </row>
    <row r="867" spans="1:23" x14ac:dyDescent="0.25">
      <c r="A867" t="s">
        <v>61</v>
      </c>
      <c r="B867" t="s">
        <v>59</v>
      </c>
      <c r="C867">
        <v>82.13</v>
      </c>
      <c r="D867">
        <v>542</v>
      </c>
      <c r="E867" t="b">
        <v>1</v>
      </c>
      <c r="F867" t="b">
        <v>1</v>
      </c>
      <c r="G867" t="b">
        <v>1</v>
      </c>
      <c r="H867" t="s">
        <v>43</v>
      </c>
      <c r="I867" t="s">
        <v>44</v>
      </c>
      <c r="J867" t="s">
        <v>54</v>
      </c>
      <c r="K867" t="s">
        <v>46</v>
      </c>
      <c r="L867" t="s">
        <v>38</v>
      </c>
      <c r="M867" t="s">
        <v>39</v>
      </c>
      <c r="P867" t="b">
        <v>0</v>
      </c>
      <c r="Q867">
        <v>9.8000000000000007</v>
      </c>
      <c r="R867" t="b">
        <v>0</v>
      </c>
      <c r="T867">
        <v>0</v>
      </c>
      <c r="U867">
        <v>95.48</v>
      </c>
      <c r="V867" t="b">
        <v>1</v>
      </c>
      <c r="W867" t="s">
        <v>58</v>
      </c>
    </row>
    <row r="868" spans="1:23" x14ac:dyDescent="0.25">
      <c r="A868" t="s">
        <v>56</v>
      </c>
      <c r="B868" t="s">
        <v>33</v>
      </c>
      <c r="C868">
        <v>85.54</v>
      </c>
      <c r="D868">
        <v>629</v>
      </c>
      <c r="E868" t="b">
        <v>1</v>
      </c>
      <c r="F868" t="b">
        <v>0</v>
      </c>
      <c r="G868" t="b">
        <v>1</v>
      </c>
      <c r="H868" t="s">
        <v>53</v>
      </c>
      <c r="I868" t="s">
        <v>44</v>
      </c>
      <c r="J868" t="s">
        <v>45</v>
      </c>
      <c r="K868" t="s">
        <v>39</v>
      </c>
      <c r="L868" t="s">
        <v>51</v>
      </c>
      <c r="M868" t="s">
        <v>28</v>
      </c>
      <c r="N868" t="s">
        <v>39</v>
      </c>
      <c r="O868" t="b">
        <v>0</v>
      </c>
      <c r="P868" t="b">
        <v>1</v>
      </c>
      <c r="Q868">
        <v>8.9</v>
      </c>
      <c r="R868" t="b">
        <v>0</v>
      </c>
      <c r="T868">
        <v>0</v>
      </c>
      <c r="U868">
        <v>74.56</v>
      </c>
      <c r="V868" t="b">
        <v>1</v>
      </c>
      <c r="W868" t="s">
        <v>58</v>
      </c>
    </row>
    <row r="869" spans="1:23" x14ac:dyDescent="0.25">
      <c r="A869" t="s">
        <v>32</v>
      </c>
      <c r="B869" t="s">
        <v>59</v>
      </c>
      <c r="C869">
        <v>75.069999999999993</v>
      </c>
      <c r="D869">
        <v>215</v>
      </c>
      <c r="E869" t="b">
        <v>1</v>
      </c>
      <c r="F869" t="b">
        <v>1</v>
      </c>
      <c r="G869" t="b">
        <v>0</v>
      </c>
      <c r="H869" t="s">
        <v>34</v>
      </c>
      <c r="I869" t="s">
        <v>57</v>
      </c>
      <c r="J869" t="s">
        <v>27</v>
      </c>
      <c r="K869" t="s">
        <v>39</v>
      </c>
      <c r="L869" t="s">
        <v>51</v>
      </c>
      <c r="M869" t="s">
        <v>46</v>
      </c>
      <c r="P869" t="b">
        <v>0</v>
      </c>
      <c r="Q869">
        <v>8.4</v>
      </c>
      <c r="R869" t="b">
        <v>1</v>
      </c>
      <c r="S869" t="s">
        <v>55</v>
      </c>
      <c r="T869">
        <v>37.700000000000003</v>
      </c>
      <c r="U869">
        <v>76.739999999999995</v>
      </c>
      <c r="V869" t="b">
        <v>1</v>
      </c>
      <c r="W869" t="s">
        <v>31</v>
      </c>
    </row>
    <row r="870" spans="1:23" x14ac:dyDescent="0.25">
      <c r="A870" t="s">
        <v>74</v>
      </c>
      <c r="B870" t="s">
        <v>66</v>
      </c>
      <c r="C870">
        <v>78.319999999999993</v>
      </c>
      <c r="D870">
        <v>783</v>
      </c>
      <c r="E870" t="b">
        <v>1</v>
      </c>
      <c r="F870" t="b">
        <v>0</v>
      </c>
      <c r="G870" t="b">
        <v>0</v>
      </c>
      <c r="H870" t="s">
        <v>34</v>
      </c>
      <c r="I870" t="s">
        <v>67</v>
      </c>
      <c r="J870" t="s">
        <v>54</v>
      </c>
      <c r="K870" t="s">
        <v>28</v>
      </c>
      <c r="L870" t="s">
        <v>51</v>
      </c>
      <c r="M870" t="s">
        <v>28</v>
      </c>
      <c r="N870" t="s">
        <v>39</v>
      </c>
      <c r="O870" t="b">
        <v>1</v>
      </c>
      <c r="P870" t="b">
        <v>1</v>
      </c>
      <c r="Q870">
        <v>10</v>
      </c>
      <c r="R870" t="b">
        <v>0</v>
      </c>
      <c r="T870">
        <v>0</v>
      </c>
      <c r="U870">
        <v>72.11</v>
      </c>
      <c r="V870" t="b">
        <v>0</v>
      </c>
      <c r="W870" t="s">
        <v>58</v>
      </c>
    </row>
    <row r="871" spans="1:23" x14ac:dyDescent="0.25">
      <c r="A871" t="s">
        <v>68</v>
      </c>
      <c r="B871" t="s">
        <v>33</v>
      </c>
      <c r="C871">
        <v>83.81</v>
      </c>
      <c r="D871">
        <v>352</v>
      </c>
      <c r="E871" t="b">
        <v>0</v>
      </c>
      <c r="F871" t="b">
        <v>1</v>
      </c>
      <c r="G871" t="b">
        <v>1</v>
      </c>
      <c r="H871" t="s">
        <v>43</v>
      </c>
      <c r="I871" t="s">
        <v>67</v>
      </c>
      <c r="J871" t="s">
        <v>45</v>
      </c>
      <c r="K871" t="s">
        <v>39</v>
      </c>
      <c r="L871" t="s">
        <v>69</v>
      </c>
      <c r="M871" t="s">
        <v>47</v>
      </c>
      <c r="N871" t="s">
        <v>46</v>
      </c>
      <c r="P871" t="b">
        <v>1</v>
      </c>
      <c r="Q871">
        <v>7.6</v>
      </c>
      <c r="R871" t="b">
        <v>1</v>
      </c>
      <c r="S871" t="s">
        <v>48</v>
      </c>
      <c r="T871">
        <v>19.8</v>
      </c>
      <c r="U871">
        <v>69.73</v>
      </c>
      <c r="V871" t="b">
        <v>1</v>
      </c>
      <c r="W871" t="s">
        <v>41</v>
      </c>
    </row>
    <row r="872" spans="1:23" x14ac:dyDescent="0.25">
      <c r="A872" t="s">
        <v>74</v>
      </c>
      <c r="B872" t="s">
        <v>60</v>
      </c>
      <c r="C872">
        <v>50.12</v>
      </c>
      <c r="D872">
        <v>293</v>
      </c>
      <c r="E872" t="b">
        <v>0</v>
      </c>
      <c r="F872" t="b">
        <v>1</v>
      </c>
      <c r="G872" t="b">
        <v>1</v>
      </c>
      <c r="H872" t="s">
        <v>34</v>
      </c>
      <c r="I872" t="s">
        <v>63</v>
      </c>
      <c r="J872" t="s">
        <v>36</v>
      </c>
      <c r="K872" t="s">
        <v>39</v>
      </c>
      <c r="L872" t="s">
        <v>51</v>
      </c>
      <c r="M872" t="s">
        <v>47</v>
      </c>
      <c r="O872" t="b">
        <v>1</v>
      </c>
      <c r="P872" t="b">
        <v>1</v>
      </c>
      <c r="Q872">
        <v>5.0999999999999996</v>
      </c>
      <c r="R872" t="b">
        <v>1</v>
      </c>
      <c r="S872" t="s">
        <v>75</v>
      </c>
      <c r="T872">
        <v>27.3</v>
      </c>
      <c r="U872">
        <v>53.62</v>
      </c>
      <c r="V872" t="b">
        <v>1</v>
      </c>
      <c r="W872" t="s">
        <v>41</v>
      </c>
    </row>
    <row r="873" spans="1:23" x14ac:dyDescent="0.25">
      <c r="A873" t="s">
        <v>56</v>
      </c>
      <c r="B873" t="s">
        <v>33</v>
      </c>
      <c r="C873">
        <v>82.35</v>
      </c>
      <c r="D873">
        <v>764</v>
      </c>
      <c r="E873" t="b">
        <v>1</v>
      </c>
      <c r="F873" t="b">
        <v>1</v>
      </c>
      <c r="G873" t="b">
        <v>0</v>
      </c>
      <c r="H873" t="s">
        <v>53</v>
      </c>
      <c r="I873" t="s">
        <v>67</v>
      </c>
      <c r="J873" t="s">
        <v>27</v>
      </c>
      <c r="K873" t="s">
        <v>39</v>
      </c>
      <c r="L873" t="s">
        <v>37</v>
      </c>
      <c r="M873" t="s">
        <v>46</v>
      </c>
      <c r="N873" t="s">
        <v>46</v>
      </c>
      <c r="O873" t="b">
        <v>1</v>
      </c>
      <c r="P873" t="b">
        <v>1</v>
      </c>
      <c r="Q873">
        <v>10</v>
      </c>
      <c r="R873" t="b">
        <v>0</v>
      </c>
      <c r="T873">
        <v>0</v>
      </c>
      <c r="U873">
        <v>83.62</v>
      </c>
      <c r="V873" t="b">
        <v>1</v>
      </c>
      <c r="W873" t="s">
        <v>58</v>
      </c>
    </row>
    <row r="874" spans="1:23" x14ac:dyDescent="0.25">
      <c r="A874" t="s">
        <v>68</v>
      </c>
      <c r="B874" t="s">
        <v>42</v>
      </c>
      <c r="C874">
        <v>82.34</v>
      </c>
      <c r="D874">
        <v>320</v>
      </c>
      <c r="E874" t="b">
        <v>1</v>
      </c>
      <c r="F874" t="b">
        <v>0</v>
      </c>
      <c r="G874" t="b">
        <v>0</v>
      </c>
      <c r="H874" t="s">
        <v>34</v>
      </c>
      <c r="I874" t="s">
        <v>35</v>
      </c>
      <c r="J874" t="s">
        <v>27</v>
      </c>
      <c r="K874" t="s">
        <v>46</v>
      </c>
      <c r="L874" t="s">
        <v>37</v>
      </c>
      <c r="M874" t="s">
        <v>47</v>
      </c>
      <c r="N874" t="s">
        <v>28</v>
      </c>
      <c r="P874" t="b">
        <v>0</v>
      </c>
      <c r="Q874">
        <v>8.6999999999999993</v>
      </c>
      <c r="R874" t="b">
        <v>1</v>
      </c>
      <c r="S874" t="s">
        <v>52</v>
      </c>
      <c r="T874">
        <v>32.5</v>
      </c>
      <c r="U874">
        <v>89.17</v>
      </c>
      <c r="V874" t="b">
        <v>1</v>
      </c>
      <c r="W874" t="s">
        <v>31</v>
      </c>
    </row>
    <row r="875" spans="1:23" x14ac:dyDescent="0.25">
      <c r="A875" t="s">
        <v>74</v>
      </c>
      <c r="B875" t="s">
        <v>42</v>
      </c>
      <c r="C875">
        <v>83.27</v>
      </c>
      <c r="D875">
        <v>496</v>
      </c>
      <c r="E875" t="b">
        <v>1</v>
      </c>
      <c r="F875" t="b">
        <v>0</v>
      </c>
      <c r="G875" t="b">
        <v>1</v>
      </c>
      <c r="H875" t="s">
        <v>25</v>
      </c>
      <c r="I875" t="s">
        <v>44</v>
      </c>
      <c r="J875" t="s">
        <v>36</v>
      </c>
      <c r="K875" t="s">
        <v>37</v>
      </c>
      <c r="L875" t="s">
        <v>37</v>
      </c>
      <c r="M875" t="s">
        <v>46</v>
      </c>
      <c r="N875" t="s">
        <v>39</v>
      </c>
      <c r="O875" t="b">
        <v>0</v>
      </c>
      <c r="P875" t="b">
        <v>0</v>
      </c>
      <c r="Q875">
        <v>7.8</v>
      </c>
      <c r="R875" t="b">
        <v>0</v>
      </c>
      <c r="T875">
        <v>0</v>
      </c>
      <c r="U875">
        <v>89.22</v>
      </c>
      <c r="V875" t="b">
        <v>1</v>
      </c>
      <c r="W875" t="s">
        <v>31</v>
      </c>
    </row>
    <row r="876" spans="1:23" x14ac:dyDescent="0.25">
      <c r="A876" t="s">
        <v>32</v>
      </c>
      <c r="B876" t="s">
        <v>62</v>
      </c>
      <c r="C876">
        <v>67.34</v>
      </c>
      <c r="D876">
        <v>64</v>
      </c>
      <c r="E876" t="b">
        <v>1</v>
      </c>
      <c r="F876" t="b">
        <v>0</v>
      </c>
      <c r="G876" t="b">
        <v>0</v>
      </c>
      <c r="H876" t="s">
        <v>34</v>
      </c>
      <c r="I876" t="s">
        <v>35</v>
      </c>
      <c r="J876" t="s">
        <v>27</v>
      </c>
      <c r="K876" t="s">
        <v>39</v>
      </c>
      <c r="L876" t="s">
        <v>37</v>
      </c>
      <c r="M876" t="s">
        <v>39</v>
      </c>
      <c r="N876" t="s">
        <v>46</v>
      </c>
      <c r="O876" t="b">
        <v>0</v>
      </c>
      <c r="P876" t="b">
        <v>1</v>
      </c>
      <c r="Q876">
        <v>6.5</v>
      </c>
      <c r="R876" t="b">
        <v>1</v>
      </c>
      <c r="S876" t="s">
        <v>75</v>
      </c>
      <c r="T876">
        <v>30.6</v>
      </c>
      <c r="U876">
        <v>64.33</v>
      </c>
      <c r="V876" t="b">
        <v>1</v>
      </c>
      <c r="W876" t="s">
        <v>41</v>
      </c>
    </row>
    <row r="877" spans="1:23" x14ac:dyDescent="0.25">
      <c r="A877" t="s">
        <v>32</v>
      </c>
      <c r="B877" t="s">
        <v>24</v>
      </c>
      <c r="C877">
        <v>91.82</v>
      </c>
      <c r="D877">
        <v>628</v>
      </c>
      <c r="E877" t="b">
        <v>1</v>
      </c>
      <c r="F877" t="b">
        <v>0</v>
      </c>
      <c r="G877" t="b">
        <v>0</v>
      </c>
      <c r="H877" t="s">
        <v>25</v>
      </c>
      <c r="I877" t="s">
        <v>44</v>
      </c>
      <c r="J877" t="s">
        <v>50</v>
      </c>
      <c r="K877" t="s">
        <v>28</v>
      </c>
      <c r="L877" t="s">
        <v>37</v>
      </c>
      <c r="M877" t="s">
        <v>46</v>
      </c>
      <c r="N877" t="s">
        <v>46</v>
      </c>
      <c r="O877" t="b">
        <v>1</v>
      </c>
      <c r="P877" t="b">
        <v>1</v>
      </c>
      <c r="Q877">
        <v>10</v>
      </c>
      <c r="R877" t="b">
        <v>0</v>
      </c>
      <c r="T877">
        <v>0</v>
      </c>
      <c r="U877">
        <v>98.17</v>
      </c>
      <c r="V877" t="b">
        <v>1</v>
      </c>
      <c r="W877" t="s">
        <v>58</v>
      </c>
    </row>
    <row r="878" spans="1:23" x14ac:dyDescent="0.25">
      <c r="A878" t="s">
        <v>56</v>
      </c>
      <c r="B878" t="s">
        <v>71</v>
      </c>
      <c r="C878">
        <v>47.45</v>
      </c>
      <c r="D878">
        <v>536</v>
      </c>
      <c r="E878" t="b">
        <v>1</v>
      </c>
      <c r="F878" t="b">
        <v>0</v>
      </c>
      <c r="G878" t="b">
        <v>0</v>
      </c>
      <c r="H878" t="s">
        <v>53</v>
      </c>
      <c r="I878" t="s">
        <v>67</v>
      </c>
      <c r="J878" t="s">
        <v>54</v>
      </c>
      <c r="K878" t="s">
        <v>46</v>
      </c>
      <c r="L878" t="s">
        <v>69</v>
      </c>
      <c r="M878" t="s">
        <v>47</v>
      </c>
      <c r="N878" t="s">
        <v>39</v>
      </c>
      <c r="O878" t="b">
        <v>0</v>
      </c>
      <c r="P878" t="b">
        <v>1</v>
      </c>
      <c r="Q878">
        <v>5.3</v>
      </c>
      <c r="R878" t="b">
        <v>1</v>
      </c>
      <c r="S878" t="s">
        <v>55</v>
      </c>
      <c r="T878">
        <v>10.6</v>
      </c>
      <c r="U878">
        <v>38.83</v>
      </c>
      <c r="V878" t="b">
        <v>1</v>
      </c>
      <c r="W878" t="s">
        <v>41</v>
      </c>
    </row>
    <row r="879" spans="1:23" x14ac:dyDescent="0.25">
      <c r="A879" t="s">
        <v>68</v>
      </c>
      <c r="B879" t="s">
        <v>71</v>
      </c>
      <c r="C879">
        <v>56.73</v>
      </c>
      <c r="D879">
        <v>150</v>
      </c>
      <c r="E879" t="b">
        <v>1</v>
      </c>
      <c r="F879" t="b">
        <v>0</v>
      </c>
      <c r="G879" t="b">
        <v>0</v>
      </c>
      <c r="H879" t="s">
        <v>25</v>
      </c>
      <c r="I879" t="s">
        <v>35</v>
      </c>
      <c r="J879" t="s">
        <v>27</v>
      </c>
      <c r="K879" t="s">
        <v>37</v>
      </c>
      <c r="L879" t="s">
        <v>29</v>
      </c>
      <c r="M879" t="s">
        <v>46</v>
      </c>
      <c r="O879" t="b">
        <v>1</v>
      </c>
      <c r="P879" t="b">
        <v>1</v>
      </c>
      <c r="Q879">
        <v>8.1</v>
      </c>
      <c r="R879" t="b">
        <v>0</v>
      </c>
      <c r="T879">
        <v>0</v>
      </c>
      <c r="U879">
        <v>35.85</v>
      </c>
      <c r="V879" t="b">
        <v>0</v>
      </c>
      <c r="W879" t="s">
        <v>58</v>
      </c>
    </row>
    <row r="880" spans="1:23" x14ac:dyDescent="0.25">
      <c r="A880" t="s">
        <v>32</v>
      </c>
      <c r="B880" t="s">
        <v>33</v>
      </c>
      <c r="C880">
        <v>87.83</v>
      </c>
      <c r="D880">
        <v>677</v>
      </c>
      <c r="E880" t="b">
        <v>1</v>
      </c>
      <c r="F880" t="b">
        <v>0</v>
      </c>
      <c r="G880" t="b">
        <v>0</v>
      </c>
      <c r="H880" t="s">
        <v>53</v>
      </c>
      <c r="I880" t="s">
        <v>67</v>
      </c>
      <c r="J880" t="s">
        <v>50</v>
      </c>
      <c r="K880" t="s">
        <v>28</v>
      </c>
      <c r="L880" t="s">
        <v>37</v>
      </c>
      <c r="M880" t="s">
        <v>47</v>
      </c>
      <c r="N880" t="s">
        <v>46</v>
      </c>
      <c r="P880" t="b">
        <v>1</v>
      </c>
      <c r="Q880">
        <v>9.3000000000000007</v>
      </c>
      <c r="R880" t="b">
        <v>1</v>
      </c>
      <c r="S880" t="s">
        <v>40</v>
      </c>
      <c r="T880">
        <v>24.1</v>
      </c>
      <c r="U880">
        <v>93.16</v>
      </c>
      <c r="V880" t="b">
        <v>1</v>
      </c>
      <c r="W880" t="s">
        <v>31</v>
      </c>
    </row>
    <row r="881" spans="1:23" x14ac:dyDescent="0.25">
      <c r="A881" t="s">
        <v>23</v>
      </c>
      <c r="B881" t="s">
        <v>24</v>
      </c>
      <c r="C881">
        <v>85.55</v>
      </c>
      <c r="D881">
        <v>119</v>
      </c>
      <c r="E881" t="b">
        <v>0</v>
      </c>
      <c r="F881" t="b">
        <v>1</v>
      </c>
      <c r="G881" t="b">
        <v>1</v>
      </c>
      <c r="H881" t="s">
        <v>25</v>
      </c>
      <c r="I881" t="s">
        <v>44</v>
      </c>
      <c r="J881" t="s">
        <v>36</v>
      </c>
      <c r="K881" t="s">
        <v>37</v>
      </c>
      <c r="L881" t="s">
        <v>29</v>
      </c>
      <c r="M881" t="s">
        <v>47</v>
      </c>
      <c r="N881" t="s">
        <v>46</v>
      </c>
      <c r="O881" t="b">
        <v>0</v>
      </c>
      <c r="P881" t="b">
        <v>1</v>
      </c>
      <c r="Q881">
        <v>6.4</v>
      </c>
      <c r="R881" t="b">
        <v>1</v>
      </c>
      <c r="S881" t="s">
        <v>30</v>
      </c>
      <c r="T881">
        <v>33.4</v>
      </c>
      <c r="U881">
        <v>92.1</v>
      </c>
      <c r="V881" t="b">
        <v>0</v>
      </c>
      <c r="W881" t="s">
        <v>41</v>
      </c>
    </row>
    <row r="882" spans="1:23" x14ac:dyDescent="0.25">
      <c r="A882" t="s">
        <v>74</v>
      </c>
      <c r="B882" t="s">
        <v>42</v>
      </c>
      <c r="C882">
        <v>71.23</v>
      </c>
      <c r="D882">
        <v>580</v>
      </c>
      <c r="E882" t="b">
        <v>1</v>
      </c>
      <c r="F882" t="b">
        <v>0</v>
      </c>
      <c r="G882" t="b">
        <v>0</v>
      </c>
      <c r="H882" t="s">
        <v>53</v>
      </c>
      <c r="I882" t="s">
        <v>26</v>
      </c>
      <c r="J882" t="s">
        <v>54</v>
      </c>
      <c r="K882" t="s">
        <v>28</v>
      </c>
      <c r="L882" t="s">
        <v>51</v>
      </c>
      <c r="M882" t="s">
        <v>39</v>
      </c>
      <c r="N882" t="s">
        <v>46</v>
      </c>
      <c r="O882" t="b">
        <v>0</v>
      </c>
      <c r="P882" t="b">
        <v>0</v>
      </c>
      <c r="Q882">
        <v>8</v>
      </c>
      <c r="R882" t="b">
        <v>1</v>
      </c>
      <c r="S882" t="s">
        <v>52</v>
      </c>
      <c r="T882">
        <v>5.4</v>
      </c>
      <c r="U882">
        <v>65.430000000000007</v>
      </c>
      <c r="V882" t="b">
        <v>1</v>
      </c>
      <c r="W882" t="s">
        <v>31</v>
      </c>
    </row>
    <row r="883" spans="1:23" x14ac:dyDescent="0.25">
      <c r="A883" t="s">
        <v>56</v>
      </c>
      <c r="B883" t="s">
        <v>49</v>
      </c>
      <c r="C883">
        <v>68.75</v>
      </c>
      <c r="D883">
        <v>799</v>
      </c>
      <c r="E883" t="b">
        <v>1</v>
      </c>
      <c r="F883" t="b">
        <v>1</v>
      </c>
      <c r="G883" t="b">
        <v>1</v>
      </c>
      <c r="H883" t="s">
        <v>34</v>
      </c>
      <c r="I883" t="s">
        <v>44</v>
      </c>
      <c r="J883" t="s">
        <v>54</v>
      </c>
      <c r="K883" t="s">
        <v>28</v>
      </c>
      <c r="L883" t="s">
        <v>37</v>
      </c>
      <c r="M883" t="s">
        <v>28</v>
      </c>
      <c r="N883" t="s">
        <v>39</v>
      </c>
      <c r="O883" t="b">
        <v>0</v>
      </c>
      <c r="P883" t="b">
        <v>1</v>
      </c>
      <c r="Q883">
        <v>6.9</v>
      </c>
      <c r="R883" t="b">
        <v>0</v>
      </c>
      <c r="T883">
        <v>0</v>
      </c>
      <c r="U883">
        <v>79.67</v>
      </c>
      <c r="V883" t="b">
        <v>1</v>
      </c>
      <c r="W883" t="s">
        <v>31</v>
      </c>
    </row>
    <row r="884" spans="1:23" x14ac:dyDescent="0.25">
      <c r="A884" t="s">
        <v>74</v>
      </c>
      <c r="B884" t="s">
        <v>60</v>
      </c>
      <c r="C884">
        <v>49.74</v>
      </c>
      <c r="D884">
        <v>755</v>
      </c>
      <c r="E884" t="b">
        <v>1</v>
      </c>
      <c r="F884" t="b">
        <v>1</v>
      </c>
      <c r="G884" t="b">
        <v>1</v>
      </c>
      <c r="H884" t="s">
        <v>25</v>
      </c>
      <c r="I884" t="s">
        <v>44</v>
      </c>
      <c r="J884" t="s">
        <v>50</v>
      </c>
      <c r="K884" t="s">
        <v>37</v>
      </c>
      <c r="L884" t="s">
        <v>38</v>
      </c>
      <c r="M884" t="s">
        <v>47</v>
      </c>
      <c r="P884" t="b">
        <v>1</v>
      </c>
      <c r="Q884">
        <v>5</v>
      </c>
      <c r="R884" t="b">
        <v>1</v>
      </c>
      <c r="S884" t="s">
        <v>75</v>
      </c>
      <c r="T884">
        <v>41.3</v>
      </c>
      <c r="U884">
        <v>63.68</v>
      </c>
      <c r="V884" t="b">
        <v>1</v>
      </c>
      <c r="W884" t="s">
        <v>41</v>
      </c>
    </row>
    <row r="885" spans="1:23" x14ac:dyDescent="0.25">
      <c r="A885" t="s">
        <v>68</v>
      </c>
      <c r="B885" t="s">
        <v>60</v>
      </c>
      <c r="C885">
        <v>49.2</v>
      </c>
      <c r="D885">
        <v>743</v>
      </c>
      <c r="E885" t="b">
        <v>0</v>
      </c>
      <c r="F885" t="b">
        <v>1</v>
      </c>
      <c r="G885" t="b">
        <v>1</v>
      </c>
      <c r="H885" t="s">
        <v>34</v>
      </c>
      <c r="I885" t="s">
        <v>44</v>
      </c>
      <c r="J885" t="s">
        <v>45</v>
      </c>
      <c r="K885" t="s">
        <v>28</v>
      </c>
      <c r="L885" t="s">
        <v>38</v>
      </c>
      <c r="M885" t="s">
        <v>46</v>
      </c>
      <c r="N885" t="s">
        <v>46</v>
      </c>
      <c r="P885" t="b">
        <v>0</v>
      </c>
      <c r="Q885">
        <v>6</v>
      </c>
      <c r="R885" t="b">
        <v>0</v>
      </c>
      <c r="T885">
        <v>0</v>
      </c>
      <c r="U885">
        <v>40.19</v>
      </c>
      <c r="V885" t="b">
        <v>1</v>
      </c>
      <c r="W885" t="s">
        <v>31</v>
      </c>
    </row>
    <row r="886" spans="1:23" x14ac:dyDescent="0.25">
      <c r="A886" t="s">
        <v>32</v>
      </c>
      <c r="B886" t="s">
        <v>49</v>
      </c>
      <c r="C886">
        <v>60.57</v>
      </c>
      <c r="D886">
        <v>50</v>
      </c>
      <c r="E886" t="b">
        <v>1</v>
      </c>
      <c r="F886" t="b">
        <v>1</v>
      </c>
      <c r="G886" t="b">
        <v>1</v>
      </c>
      <c r="H886" t="s">
        <v>43</v>
      </c>
      <c r="I886" t="s">
        <v>67</v>
      </c>
      <c r="J886" t="s">
        <v>27</v>
      </c>
      <c r="K886" t="s">
        <v>39</v>
      </c>
      <c r="L886" t="s">
        <v>38</v>
      </c>
      <c r="M886" t="s">
        <v>39</v>
      </c>
      <c r="O886" t="b">
        <v>1</v>
      </c>
      <c r="P886" t="b">
        <v>1</v>
      </c>
      <c r="Q886">
        <v>8.8000000000000007</v>
      </c>
      <c r="R886" t="b">
        <v>1</v>
      </c>
      <c r="S886" t="s">
        <v>65</v>
      </c>
      <c r="T886">
        <v>16.2</v>
      </c>
      <c r="U886">
        <v>47.68</v>
      </c>
      <c r="V886" t="b">
        <v>0</v>
      </c>
      <c r="W886" t="s">
        <v>31</v>
      </c>
    </row>
    <row r="887" spans="1:23" x14ac:dyDescent="0.25">
      <c r="A887" t="s">
        <v>23</v>
      </c>
      <c r="B887" t="s">
        <v>76</v>
      </c>
      <c r="C887">
        <v>81.099999999999994</v>
      </c>
      <c r="D887">
        <v>79</v>
      </c>
      <c r="E887" t="b">
        <v>0</v>
      </c>
      <c r="F887" t="b">
        <v>0</v>
      </c>
      <c r="G887" t="b">
        <v>1</v>
      </c>
      <c r="H887" t="s">
        <v>53</v>
      </c>
      <c r="I887" t="s">
        <v>26</v>
      </c>
      <c r="J887" t="s">
        <v>36</v>
      </c>
      <c r="K887" t="s">
        <v>28</v>
      </c>
      <c r="L887" t="s">
        <v>69</v>
      </c>
      <c r="M887" t="s">
        <v>46</v>
      </c>
      <c r="N887" t="s">
        <v>28</v>
      </c>
      <c r="O887" t="b">
        <v>1</v>
      </c>
      <c r="P887" t="b">
        <v>0</v>
      </c>
      <c r="Q887">
        <v>10</v>
      </c>
      <c r="R887" t="b">
        <v>1</v>
      </c>
      <c r="S887" t="s">
        <v>64</v>
      </c>
      <c r="T887">
        <v>18.899999999999999</v>
      </c>
      <c r="U887">
        <v>66.8</v>
      </c>
      <c r="V887" t="b">
        <v>0</v>
      </c>
      <c r="W887" t="s">
        <v>31</v>
      </c>
    </row>
    <row r="888" spans="1:23" x14ac:dyDescent="0.25">
      <c r="A888" t="s">
        <v>23</v>
      </c>
      <c r="B888" t="s">
        <v>24</v>
      </c>
      <c r="C888">
        <v>85.8</v>
      </c>
      <c r="D888">
        <v>258</v>
      </c>
      <c r="E888" t="b">
        <v>0</v>
      </c>
      <c r="F888" t="b">
        <v>1</v>
      </c>
      <c r="G888" t="b">
        <v>1</v>
      </c>
      <c r="H888" t="s">
        <v>34</v>
      </c>
      <c r="I888" t="s">
        <v>57</v>
      </c>
      <c r="J888" t="s">
        <v>54</v>
      </c>
      <c r="K888" t="s">
        <v>37</v>
      </c>
      <c r="L888" t="s">
        <v>38</v>
      </c>
      <c r="M888" t="s">
        <v>46</v>
      </c>
      <c r="N888" t="s">
        <v>46</v>
      </c>
      <c r="O888" t="b">
        <v>0</v>
      </c>
      <c r="P888" t="b">
        <v>0</v>
      </c>
      <c r="Q888">
        <v>7.4</v>
      </c>
      <c r="R888" t="b">
        <v>0</v>
      </c>
      <c r="T888">
        <v>0</v>
      </c>
      <c r="U888">
        <v>78.3</v>
      </c>
      <c r="V888" t="b">
        <v>1</v>
      </c>
      <c r="W888" t="s">
        <v>31</v>
      </c>
    </row>
    <row r="889" spans="1:23" x14ac:dyDescent="0.25">
      <c r="A889" t="s">
        <v>68</v>
      </c>
      <c r="B889" t="s">
        <v>70</v>
      </c>
      <c r="C889">
        <v>75.89</v>
      </c>
      <c r="D889">
        <v>758</v>
      </c>
      <c r="E889" t="b">
        <v>1</v>
      </c>
      <c r="F889" t="b">
        <v>1</v>
      </c>
      <c r="G889" t="b">
        <v>1</v>
      </c>
      <c r="H889" t="s">
        <v>34</v>
      </c>
      <c r="I889" t="s">
        <v>63</v>
      </c>
      <c r="J889" t="s">
        <v>50</v>
      </c>
      <c r="K889" t="s">
        <v>37</v>
      </c>
      <c r="L889" t="s">
        <v>37</v>
      </c>
      <c r="M889" t="s">
        <v>46</v>
      </c>
      <c r="N889" t="s">
        <v>46</v>
      </c>
      <c r="O889" t="b">
        <v>0</v>
      </c>
      <c r="P889" t="b">
        <v>0</v>
      </c>
      <c r="Q889">
        <v>7</v>
      </c>
      <c r="R889" t="b">
        <v>1</v>
      </c>
      <c r="S889" t="s">
        <v>75</v>
      </c>
      <c r="T889">
        <v>17.7</v>
      </c>
      <c r="U889">
        <v>84.34</v>
      </c>
      <c r="V889" t="b">
        <v>1</v>
      </c>
      <c r="W889" t="s">
        <v>41</v>
      </c>
    </row>
    <row r="890" spans="1:23" x14ac:dyDescent="0.25">
      <c r="A890" t="s">
        <v>68</v>
      </c>
      <c r="B890" t="s">
        <v>71</v>
      </c>
      <c r="C890">
        <v>57.46</v>
      </c>
      <c r="D890">
        <v>375</v>
      </c>
      <c r="E890" t="b">
        <v>1</v>
      </c>
      <c r="F890" t="b">
        <v>1</v>
      </c>
      <c r="G890" t="b">
        <v>1</v>
      </c>
      <c r="H890" t="s">
        <v>34</v>
      </c>
      <c r="I890" t="s">
        <v>35</v>
      </c>
      <c r="J890" t="s">
        <v>54</v>
      </c>
      <c r="K890" t="s">
        <v>46</v>
      </c>
      <c r="L890" t="s">
        <v>37</v>
      </c>
      <c r="M890" t="s">
        <v>39</v>
      </c>
      <c r="N890" t="s">
        <v>46</v>
      </c>
      <c r="P890" t="b">
        <v>1</v>
      </c>
      <c r="Q890">
        <v>6.3</v>
      </c>
      <c r="R890" t="b">
        <v>0</v>
      </c>
      <c r="T890">
        <v>0</v>
      </c>
      <c r="U890">
        <v>58.46</v>
      </c>
      <c r="V890" t="b">
        <v>1</v>
      </c>
      <c r="W890" t="s">
        <v>31</v>
      </c>
    </row>
    <row r="891" spans="1:23" x14ac:dyDescent="0.25">
      <c r="A891" t="s">
        <v>32</v>
      </c>
      <c r="B891" t="s">
        <v>66</v>
      </c>
      <c r="C891">
        <v>77.8</v>
      </c>
      <c r="D891">
        <v>514</v>
      </c>
      <c r="E891" t="b">
        <v>1</v>
      </c>
      <c r="F891" t="b">
        <v>1</v>
      </c>
      <c r="G891" t="b">
        <v>0</v>
      </c>
      <c r="H891" t="s">
        <v>25</v>
      </c>
      <c r="I891" t="s">
        <v>67</v>
      </c>
      <c r="J891" t="s">
        <v>54</v>
      </c>
      <c r="K891" t="s">
        <v>46</v>
      </c>
      <c r="L891" t="s">
        <v>37</v>
      </c>
      <c r="M891" t="s">
        <v>28</v>
      </c>
      <c r="N891" t="s">
        <v>39</v>
      </c>
      <c r="O891" t="b">
        <v>0</v>
      </c>
      <c r="P891" t="b">
        <v>1</v>
      </c>
      <c r="Q891">
        <v>9.5</v>
      </c>
      <c r="R891" t="b">
        <v>0</v>
      </c>
      <c r="T891">
        <v>0</v>
      </c>
      <c r="U891">
        <v>68.06</v>
      </c>
      <c r="V891" t="b">
        <v>0</v>
      </c>
      <c r="W891" t="s">
        <v>58</v>
      </c>
    </row>
    <row r="892" spans="1:23" x14ac:dyDescent="0.25">
      <c r="A892" t="s">
        <v>56</v>
      </c>
      <c r="B892" t="s">
        <v>24</v>
      </c>
      <c r="C892">
        <v>97.43</v>
      </c>
      <c r="D892">
        <v>409</v>
      </c>
      <c r="E892" t="b">
        <v>0</v>
      </c>
      <c r="F892" t="b">
        <v>0</v>
      </c>
      <c r="G892" t="b">
        <v>0</v>
      </c>
      <c r="H892" t="s">
        <v>25</v>
      </c>
      <c r="I892" t="s">
        <v>63</v>
      </c>
      <c r="J892" t="s">
        <v>36</v>
      </c>
      <c r="K892" t="s">
        <v>37</v>
      </c>
      <c r="L892" t="s">
        <v>37</v>
      </c>
      <c r="M892" t="s">
        <v>39</v>
      </c>
      <c r="N892" t="s">
        <v>46</v>
      </c>
      <c r="P892" t="b">
        <v>1</v>
      </c>
      <c r="Q892">
        <v>9.1999999999999993</v>
      </c>
      <c r="R892" t="b">
        <v>1</v>
      </c>
      <c r="S892" t="s">
        <v>48</v>
      </c>
      <c r="T892">
        <v>26.6</v>
      </c>
      <c r="U892">
        <v>100</v>
      </c>
      <c r="V892" t="b">
        <v>1</v>
      </c>
      <c r="W892" t="s">
        <v>31</v>
      </c>
    </row>
    <row r="893" spans="1:23" x14ac:dyDescent="0.25">
      <c r="A893" t="s">
        <v>32</v>
      </c>
      <c r="B893" t="s">
        <v>33</v>
      </c>
      <c r="C893">
        <v>81.239999999999995</v>
      </c>
      <c r="D893">
        <v>56</v>
      </c>
      <c r="E893" t="b">
        <v>0</v>
      </c>
      <c r="F893" t="b">
        <v>1</v>
      </c>
      <c r="G893" t="b">
        <v>1</v>
      </c>
      <c r="H893" t="s">
        <v>25</v>
      </c>
      <c r="I893" t="s">
        <v>63</v>
      </c>
      <c r="J893" t="s">
        <v>27</v>
      </c>
      <c r="K893" t="s">
        <v>46</v>
      </c>
      <c r="L893" t="s">
        <v>29</v>
      </c>
      <c r="M893" t="s">
        <v>47</v>
      </c>
      <c r="N893" t="s">
        <v>28</v>
      </c>
      <c r="O893" t="b">
        <v>1</v>
      </c>
      <c r="P893" t="b">
        <v>0</v>
      </c>
      <c r="Q893">
        <v>8.6</v>
      </c>
      <c r="R893" t="b">
        <v>1</v>
      </c>
      <c r="S893" t="s">
        <v>52</v>
      </c>
      <c r="T893">
        <v>14.2</v>
      </c>
      <c r="U893">
        <v>73.739999999999995</v>
      </c>
      <c r="V893" t="b">
        <v>1</v>
      </c>
      <c r="W893" t="s">
        <v>31</v>
      </c>
    </row>
    <row r="894" spans="1:23" x14ac:dyDescent="0.25">
      <c r="A894" t="s">
        <v>23</v>
      </c>
      <c r="B894" t="s">
        <v>24</v>
      </c>
      <c r="C894">
        <v>96.17</v>
      </c>
      <c r="D894">
        <v>285</v>
      </c>
      <c r="E894" t="b">
        <v>1</v>
      </c>
      <c r="F894" t="b">
        <v>0</v>
      </c>
      <c r="G894" t="b">
        <v>1</v>
      </c>
      <c r="H894" t="s">
        <v>43</v>
      </c>
      <c r="I894" t="s">
        <v>57</v>
      </c>
      <c r="J894" t="s">
        <v>36</v>
      </c>
      <c r="K894" t="s">
        <v>37</v>
      </c>
      <c r="L894" t="s">
        <v>29</v>
      </c>
      <c r="M894" t="s">
        <v>47</v>
      </c>
      <c r="O894" t="b">
        <v>1</v>
      </c>
      <c r="P894" t="b">
        <v>1</v>
      </c>
      <c r="Q894">
        <v>10</v>
      </c>
      <c r="R894" t="b">
        <v>1</v>
      </c>
      <c r="S894" t="s">
        <v>40</v>
      </c>
      <c r="T894">
        <v>37.1</v>
      </c>
      <c r="U894">
        <v>100</v>
      </c>
      <c r="V894" t="b">
        <v>1</v>
      </c>
      <c r="W894" t="s">
        <v>31</v>
      </c>
    </row>
    <row r="895" spans="1:23" x14ac:dyDescent="0.25">
      <c r="A895" t="s">
        <v>61</v>
      </c>
      <c r="B895" t="s">
        <v>62</v>
      </c>
      <c r="C895">
        <v>56.98</v>
      </c>
      <c r="D895">
        <v>168</v>
      </c>
      <c r="E895" t="b">
        <v>1</v>
      </c>
      <c r="F895" t="b">
        <v>0</v>
      </c>
      <c r="G895" t="b">
        <v>1</v>
      </c>
      <c r="H895" t="s">
        <v>53</v>
      </c>
      <c r="I895" t="s">
        <v>63</v>
      </c>
      <c r="J895" t="s">
        <v>27</v>
      </c>
      <c r="K895" t="s">
        <v>37</v>
      </c>
      <c r="L895" t="s">
        <v>37</v>
      </c>
      <c r="M895" t="s">
        <v>47</v>
      </c>
      <c r="N895" t="s">
        <v>39</v>
      </c>
      <c r="O895" t="b">
        <v>1</v>
      </c>
      <c r="P895" t="b">
        <v>0</v>
      </c>
      <c r="Q895">
        <v>7</v>
      </c>
      <c r="R895" t="b">
        <v>1</v>
      </c>
      <c r="S895" t="s">
        <v>64</v>
      </c>
      <c r="T895">
        <v>27.9</v>
      </c>
      <c r="U895">
        <v>44.44</v>
      </c>
      <c r="V895" t="b">
        <v>0</v>
      </c>
      <c r="W895" t="s">
        <v>41</v>
      </c>
    </row>
    <row r="896" spans="1:23" x14ac:dyDescent="0.25">
      <c r="A896" t="s">
        <v>32</v>
      </c>
      <c r="B896" t="s">
        <v>71</v>
      </c>
      <c r="C896">
        <v>41.36</v>
      </c>
      <c r="D896">
        <v>525</v>
      </c>
      <c r="E896" t="b">
        <v>1</v>
      </c>
      <c r="F896" t="b">
        <v>0</v>
      </c>
      <c r="G896" t="b">
        <v>0</v>
      </c>
      <c r="H896" t="s">
        <v>34</v>
      </c>
      <c r="I896" t="s">
        <v>67</v>
      </c>
      <c r="J896" t="s">
        <v>50</v>
      </c>
      <c r="K896" t="s">
        <v>28</v>
      </c>
      <c r="L896" t="s">
        <v>69</v>
      </c>
      <c r="M896" t="s">
        <v>39</v>
      </c>
      <c r="P896" t="b">
        <v>0</v>
      </c>
      <c r="Q896">
        <v>5.9</v>
      </c>
      <c r="R896" t="b">
        <v>1</v>
      </c>
      <c r="S896" t="s">
        <v>75</v>
      </c>
      <c r="T896">
        <v>22.4</v>
      </c>
      <c r="U896">
        <v>19.420000000000002</v>
      </c>
      <c r="V896" t="b">
        <v>0</v>
      </c>
      <c r="W896" t="s">
        <v>41</v>
      </c>
    </row>
    <row r="897" spans="1:23" x14ac:dyDescent="0.25">
      <c r="A897" t="s">
        <v>74</v>
      </c>
      <c r="B897" t="s">
        <v>70</v>
      </c>
      <c r="C897">
        <v>82.59</v>
      </c>
      <c r="D897">
        <v>337</v>
      </c>
      <c r="E897" t="b">
        <v>1</v>
      </c>
      <c r="F897" t="b">
        <v>0</v>
      </c>
      <c r="G897" t="b">
        <v>0</v>
      </c>
      <c r="H897" t="s">
        <v>53</v>
      </c>
      <c r="I897" t="s">
        <v>35</v>
      </c>
      <c r="J897" t="s">
        <v>50</v>
      </c>
      <c r="K897" t="s">
        <v>46</v>
      </c>
      <c r="L897" t="s">
        <v>29</v>
      </c>
      <c r="M897" t="s">
        <v>28</v>
      </c>
      <c r="N897" t="s">
        <v>46</v>
      </c>
      <c r="O897" t="b">
        <v>1</v>
      </c>
      <c r="P897" t="b">
        <v>1</v>
      </c>
      <c r="Q897">
        <v>10</v>
      </c>
      <c r="R897" t="b">
        <v>0</v>
      </c>
      <c r="T897">
        <v>0</v>
      </c>
      <c r="U897">
        <v>96.18</v>
      </c>
      <c r="V897" t="b">
        <v>1</v>
      </c>
      <c r="W897" t="s">
        <v>58</v>
      </c>
    </row>
    <row r="898" spans="1:23" x14ac:dyDescent="0.25">
      <c r="A898" t="s">
        <v>32</v>
      </c>
      <c r="B898" t="s">
        <v>60</v>
      </c>
      <c r="C898">
        <v>55.61</v>
      </c>
      <c r="D898">
        <v>313</v>
      </c>
      <c r="E898" t="b">
        <v>1</v>
      </c>
      <c r="F898" t="b">
        <v>1</v>
      </c>
      <c r="G898" t="b">
        <v>1</v>
      </c>
      <c r="H898" t="s">
        <v>25</v>
      </c>
      <c r="I898" t="s">
        <v>63</v>
      </c>
      <c r="J898" t="s">
        <v>36</v>
      </c>
      <c r="K898" t="s">
        <v>28</v>
      </c>
      <c r="L898" t="s">
        <v>29</v>
      </c>
      <c r="M898" t="s">
        <v>28</v>
      </c>
      <c r="N898" t="s">
        <v>46</v>
      </c>
      <c r="O898" t="b">
        <v>0</v>
      </c>
      <c r="P898" t="b">
        <v>1</v>
      </c>
      <c r="Q898">
        <v>6.1</v>
      </c>
      <c r="R898" t="b">
        <v>1</v>
      </c>
      <c r="S898" t="s">
        <v>75</v>
      </c>
      <c r="T898">
        <v>6.2</v>
      </c>
      <c r="U898">
        <v>41.3</v>
      </c>
      <c r="V898" t="b">
        <v>1</v>
      </c>
      <c r="W898" t="s">
        <v>41</v>
      </c>
    </row>
    <row r="899" spans="1:23" x14ac:dyDescent="0.25">
      <c r="A899" t="s">
        <v>61</v>
      </c>
      <c r="B899" t="s">
        <v>66</v>
      </c>
      <c r="C899">
        <v>58.62</v>
      </c>
      <c r="D899">
        <v>725</v>
      </c>
      <c r="E899" t="b">
        <v>0</v>
      </c>
      <c r="F899" t="b">
        <v>0</v>
      </c>
      <c r="G899" t="b">
        <v>0</v>
      </c>
      <c r="H899" t="s">
        <v>25</v>
      </c>
      <c r="I899" t="s">
        <v>44</v>
      </c>
      <c r="J899" t="s">
        <v>54</v>
      </c>
      <c r="K899" t="s">
        <v>39</v>
      </c>
      <c r="L899" t="s">
        <v>38</v>
      </c>
      <c r="M899" t="s">
        <v>28</v>
      </c>
      <c r="O899" t="b">
        <v>0</v>
      </c>
      <c r="P899" t="b">
        <v>1</v>
      </c>
      <c r="Q899">
        <v>6.2</v>
      </c>
      <c r="R899" t="b">
        <v>0</v>
      </c>
      <c r="T899">
        <v>0</v>
      </c>
      <c r="U899">
        <v>60.2</v>
      </c>
      <c r="V899" t="b">
        <v>1</v>
      </c>
      <c r="W899" t="s">
        <v>31</v>
      </c>
    </row>
    <row r="900" spans="1:23" x14ac:dyDescent="0.25">
      <c r="A900" t="s">
        <v>56</v>
      </c>
      <c r="B900" t="s">
        <v>73</v>
      </c>
      <c r="C900">
        <v>49.07</v>
      </c>
      <c r="D900">
        <v>571</v>
      </c>
      <c r="E900" t="b">
        <v>1</v>
      </c>
      <c r="F900" t="b">
        <v>0</v>
      </c>
      <c r="G900" t="b">
        <v>0</v>
      </c>
      <c r="H900" t="s">
        <v>25</v>
      </c>
      <c r="I900" t="s">
        <v>44</v>
      </c>
      <c r="J900" t="s">
        <v>54</v>
      </c>
      <c r="K900" t="s">
        <v>46</v>
      </c>
      <c r="L900" t="s">
        <v>37</v>
      </c>
      <c r="M900" t="s">
        <v>28</v>
      </c>
      <c r="N900" t="s">
        <v>28</v>
      </c>
      <c r="O900" t="b">
        <v>1</v>
      </c>
      <c r="P900" t="b">
        <v>0</v>
      </c>
      <c r="Q900">
        <v>8.3000000000000007</v>
      </c>
      <c r="R900" t="b">
        <v>1</v>
      </c>
      <c r="S900" t="s">
        <v>65</v>
      </c>
      <c r="T900">
        <v>14.4</v>
      </c>
      <c r="U900">
        <v>43.36</v>
      </c>
      <c r="V900" t="b">
        <v>0</v>
      </c>
      <c r="W900" t="s">
        <v>31</v>
      </c>
    </row>
    <row r="901" spans="1:23" x14ac:dyDescent="0.25">
      <c r="A901" t="s">
        <v>23</v>
      </c>
      <c r="B901" t="s">
        <v>66</v>
      </c>
      <c r="C901">
        <v>66.849999999999994</v>
      </c>
      <c r="D901">
        <v>238</v>
      </c>
      <c r="E901" t="b">
        <v>0</v>
      </c>
      <c r="F901" t="b">
        <v>0</v>
      </c>
      <c r="G901" t="b">
        <v>0</v>
      </c>
      <c r="H901" t="s">
        <v>53</v>
      </c>
      <c r="I901" t="s">
        <v>67</v>
      </c>
      <c r="J901" t="s">
        <v>50</v>
      </c>
      <c r="K901" t="s">
        <v>39</v>
      </c>
      <c r="L901" t="s">
        <v>69</v>
      </c>
      <c r="M901" t="s">
        <v>28</v>
      </c>
      <c r="N901" t="s">
        <v>46</v>
      </c>
      <c r="P901" t="b">
        <v>1</v>
      </c>
      <c r="Q901">
        <v>8</v>
      </c>
      <c r="R901" t="b">
        <v>1</v>
      </c>
      <c r="S901" t="s">
        <v>75</v>
      </c>
      <c r="T901">
        <v>34.1</v>
      </c>
      <c r="U901">
        <v>64.05</v>
      </c>
      <c r="V901" t="b">
        <v>1</v>
      </c>
      <c r="W901" t="s">
        <v>31</v>
      </c>
    </row>
    <row r="902" spans="1:23" x14ac:dyDescent="0.25">
      <c r="A902" t="s">
        <v>74</v>
      </c>
      <c r="B902" t="s">
        <v>71</v>
      </c>
      <c r="C902">
        <v>46.25</v>
      </c>
      <c r="D902">
        <v>353</v>
      </c>
      <c r="E902" t="b">
        <v>0</v>
      </c>
      <c r="F902" t="b">
        <v>1</v>
      </c>
      <c r="G902" t="b">
        <v>0</v>
      </c>
      <c r="H902" t="s">
        <v>43</v>
      </c>
      <c r="I902" t="s">
        <v>35</v>
      </c>
      <c r="J902" t="s">
        <v>36</v>
      </c>
      <c r="K902" t="s">
        <v>39</v>
      </c>
      <c r="L902" t="s">
        <v>38</v>
      </c>
      <c r="M902" t="s">
        <v>47</v>
      </c>
      <c r="N902" t="s">
        <v>39</v>
      </c>
      <c r="O902" t="b">
        <v>1</v>
      </c>
      <c r="P902" t="b">
        <v>0</v>
      </c>
      <c r="Q902">
        <v>5.8</v>
      </c>
      <c r="R902" t="b">
        <v>1</v>
      </c>
      <c r="S902" t="s">
        <v>52</v>
      </c>
      <c r="T902">
        <v>4.7</v>
      </c>
      <c r="U902">
        <v>23.14</v>
      </c>
      <c r="V902" t="b">
        <v>0</v>
      </c>
      <c r="W902" t="s">
        <v>41</v>
      </c>
    </row>
    <row r="903" spans="1:23" x14ac:dyDescent="0.25">
      <c r="A903" t="s">
        <v>68</v>
      </c>
      <c r="B903" t="s">
        <v>73</v>
      </c>
      <c r="C903">
        <v>65.569999999999993</v>
      </c>
      <c r="D903">
        <v>205</v>
      </c>
      <c r="E903" t="b">
        <v>0</v>
      </c>
      <c r="F903" t="b">
        <v>0</v>
      </c>
      <c r="G903" t="b">
        <v>0</v>
      </c>
      <c r="H903" t="s">
        <v>34</v>
      </c>
      <c r="I903" t="s">
        <v>44</v>
      </c>
      <c r="J903" t="s">
        <v>27</v>
      </c>
      <c r="K903" t="s">
        <v>39</v>
      </c>
      <c r="L903" t="s">
        <v>69</v>
      </c>
      <c r="M903" t="s">
        <v>46</v>
      </c>
      <c r="O903" t="b">
        <v>0</v>
      </c>
      <c r="P903" t="b">
        <v>0</v>
      </c>
      <c r="Q903">
        <v>6.1</v>
      </c>
      <c r="R903" t="b">
        <v>1</v>
      </c>
      <c r="S903" t="s">
        <v>65</v>
      </c>
      <c r="T903">
        <v>44.8</v>
      </c>
      <c r="U903">
        <v>52.66</v>
      </c>
      <c r="V903" t="b">
        <v>1</v>
      </c>
      <c r="W903" t="s">
        <v>41</v>
      </c>
    </row>
    <row r="904" spans="1:23" x14ac:dyDescent="0.25">
      <c r="A904" t="s">
        <v>68</v>
      </c>
      <c r="B904" t="s">
        <v>49</v>
      </c>
      <c r="C904">
        <v>64.239999999999995</v>
      </c>
      <c r="D904">
        <v>693</v>
      </c>
      <c r="E904" t="b">
        <v>0</v>
      </c>
      <c r="F904" t="b">
        <v>1</v>
      </c>
      <c r="G904" t="b">
        <v>1</v>
      </c>
      <c r="H904" t="s">
        <v>43</v>
      </c>
      <c r="I904" t="s">
        <v>63</v>
      </c>
      <c r="J904" t="s">
        <v>27</v>
      </c>
      <c r="K904" t="s">
        <v>46</v>
      </c>
      <c r="L904" t="s">
        <v>38</v>
      </c>
      <c r="M904" t="s">
        <v>47</v>
      </c>
      <c r="N904" t="s">
        <v>28</v>
      </c>
      <c r="O904" t="b">
        <v>0</v>
      </c>
      <c r="P904" t="b">
        <v>1</v>
      </c>
      <c r="Q904">
        <v>4.7</v>
      </c>
      <c r="R904" t="b">
        <v>1</v>
      </c>
      <c r="S904" t="s">
        <v>52</v>
      </c>
      <c r="T904">
        <v>9.8000000000000007</v>
      </c>
      <c r="U904">
        <v>64.27</v>
      </c>
      <c r="V904" t="b">
        <v>1</v>
      </c>
      <c r="W904" t="s">
        <v>72</v>
      </c>
    </row>
    <row r="905" spans="1:23" x14ac:dyDescent="0.25">
      <c r="A905" t="s">
        <v>32</v>
      </c>
      <c r="B905" t="s">
        <v>76</v>
      </c>
      <c r="C905">
        <v>85.35</v>
      </c>
      <c r="D905">
        <v>378</v>
      </c>
      <c r="E905" t="b">
        <v>1</v>
      </c>
      <c r="F905" t="b">
        <v>1</v>
      </c>
      <c r="G905" t="b">
        <v>0</v>
      </c>
      <c r="H905" t="s">
        <v>34</v>
      </c>
      <c r="I905" t="s">
        <v>57</v>
      </c>
      <c r="J905" t="s">
        <v>54</v>
      </c>
      <c r="K905" t="s">
        <v>37</v>
      </c>
      <c r="L905" t="s">
        <v>37</v>
      </c>
      <c r="M905" t="s">
        <v>28</v>
      </c>
      <c r="N905" t="s">
        <v>28</v>
      </c>
      <c r="O905" t="b">
        <v>1</v>
      </c>
      <c r="P905" t="b">
        <v>1</v>
      </c>
      <c r="Q905">
        <v>10</v>
      </c>
      <c r="R905" t="b">
        <v>0</v>
      </c>
      <c r="T905">
        <v>0</v>
      </c>
      <c r="U905">
        <v>71.03</v>
      </c>
      <c r="V905" t="b">
        <v>0</v>
      </c>
      <c r="W905" t="s">
        <v>58</v>
      </c>
    </row>
    <row r="906" spans="1:23" x14ac:dyDescent="0.25">
      <c r="A906" t="s">
        <v>23</v>
      </c>
      <c r="B906" t="s">
        <v>42</v>
      </c>
      <c r="C906">
        <v>82.63</v>
      </c>
      <c r="D906">
        <v>342</v>
      </c>
      <c r="E906" t="b">
        <v>1</v>
      </c>
      <c r="F906" t="b">
        <v>1</v>
      </c>
      <c r="G906" t="b">
        <v>0</v>
      </c>
      <c r="H906" t="s">
        <v>53</v>
      </c>
      <c r="I906" t="s">
        <v>67</v>
      </c>
      <c r="J906" t="s">
        <v>50</v>
      </c>
      <c r="K906" t="s">
        <v>37</v>
      </c>
      <c r="L906" t="s">
        <v>51</v>
      </c>
      <c r="M906" t="s">
        <v>46</v>
      </c>
      <c r="N906" t="s">
        <v>46</v>
      </c>
      <c r="P906" t="b">
        <v>0</v>
      </c>
      <c r="Q906">
        <v>9.1999999999999993</v>
      </c>
      <c r="R906" t="b">
        <v>0</v>
      </c>
      <c r="T906">
        <v>0</v>
      </c>
      <c r="U906">
        <v>86.52</v>
      </c>
      <c r="V906" t="b">
        <v>1</v>
      </c>
      <c r="W906" t="s">
        <v>58</v>
      </c>
    </row>
    <row r="907" spans="1:23" x14ac:dyDescent="0.25">
      <c r="A907" t="s">
        <v>68</v>
      </c>
      <c r="B907" t="s">
        <v>42</v>
      </c>
      <c r="C907">
        <v>84.11</v>
      </c>
      <c r="D907">
        <v>393</v>
      </c>
      <c r="E907" t="b">
        <v>0</v>
      </c>
      <c r="F907" t="b">
        <v>0</v>
      </c>
      <c r="G907" t="b">
        <v>1</v>
      </c>
      <c r="H907" t="s">
        <v>53</v>
      </c>
      <c r="I907" t="s">
        <v>67</v>
      </c>
      <c r="J907" t="s">
        <v>45</v>
      </c>
      <c r="K907" t="s">
        <v>39</v>
      </c>
      <c r="L907" t="s">
        <v>69</v>
      </c>
      <c r="M907" t="s">
        <v>39</v>
      </c>
      <c r="O907" t="b">
        <v>0</v>
      </c>
      <c r="P907" t="b">
        <v>1</v>
      </c>
      <c r="Q907">
        <v>8.3000000000000007</v>
      </c>
      <c r="R907" t="b">
        <v>1</v>
      </c>
      <c r="S907" t="s">
        <v>65</v>
      </c>
      <c r="T907">
        <v>35.5</v>
      </c>
      <c r="U907">
        <v>69.83</v>
      </c>
      <c r="V907" t="b">
        <v>1</v>
      </c>
      <c r="W907" t="s">
        <v>31</v>
      </c>
    </row>
    <row r="908" spans="1:23" x14ac:dyDescent="0.25">
      <c r="A908" t="s">
        <v>61</v>
      </c>
      <c r="B908" t="s">
        <v>33</v>
      </c>
      <c r="C908">
        <v>81.13</v>
      </c>
      <c r="D908">
        <v>784</v>
      </c>
      <c r="E908" t="b">
        <v>0</v>
      </c>
      <c r="F908" t="b">
        <v>0</v>
      </c>
      <c r="G908" t="b">
        <v>1</v>
      </c>
      <c r="H908" t="s">
        <v>25</v>
      </c>
      <c r="I908" t="s">
        <v>26</v>
      </c>
      <c r="J908" t="s">
        <v>45</v>
      </c>
      <c r="K908" t="s">
        <v>28</v>
      </c>
      <c r="L908" t="s">
        <v>69</v>
      </c>
      <c r="M908" t="s">
        <v>28</v>
      </c>
      <c r="O908" t="b">
        <v>0</v>
      </c>
      <c r="P908" t="b">
        <v>1</v>
      </c>
      <c r="Q908">
        <v>9.1999999999999993</v>
      </c>
      <c r="R908" t="b">
        <v>0</v>
      </c>
      <c r="T908">
        <v>0</v>
      </c>
      <c r="U908">
        <v>81.48</v>
      </c>
      <c r="V908" t="b">
        <v>1</v>
      </c>
      <c r="W908" t="s">
        <v>58</v>
      </c>
    </row>
    <row r="909" spans="1:23" x14ac:dyDescent="0.25">
      <c r="A909" t="s">
        <v>68</v>
      </c>
      <c r="B909" t="s">
        <v>71</v>
      </c>
      <c r="C909">
        <v>59.98</v>
      </c>
      <c r="D909">
        <v>641</v>
      </c>
      <c r="E909" t="b">
        <v>0</v>
      </c>
      <c r="F909" t="b">
        <v>0</v>
      </c>
      <c r="G909" t="b">
        <v>0</v>
      </c>
      <c r="H909" t="s">
        <v>34</v>
      </c>
      <c r="I909" t="s">
        <v>44</v>
      </c>
      <c r="J909" t="s">
        <v>36</v>
      </c>
      <c r="K909" t="s">
        <v>28</v>
      </c>
      <c r="L909" t="s">
        <v>29</v>
      </c>
      <c r="M909" t="s">
        <v>28</v>
      </c>
      <c r="P909" t="b">
        <v>0</v>
      </c>
      <c r="Q909">
        <v>6.9</v>
      </c>
      <c r="R909" t="b">
        <v>1</v>
      </c>
      <c r="S909" t="s">
        <v>40</v>
      </c>
      <c r="T909">
        <v>41.5</v>
      </c>
      <c r="U909">
        <v>49.84</v>
      </c>
      <c r="V909" t="b">
        <v>1</v>
      </c>
      <c r="W909" t="s">
        <v>41</v>
      </c>
    </row>
    <row r="910" spans="1:23" x14ac:dyDescent="0.25">
      <c r="A910" t="s">
        <v>23</v>
      </c>
      <c r="B910" t="s">
        <v>60</v>
      </c>
      <c r="C910">
        <v>43.58</v>
      </c>
      <c r="D910">
        <v>63</v>
      </c>
      <c r="E910" t="b">
        <v>0</v>
      </c>
      <c r="F910" t="b">
        <v>1</v>
      </c>
      <c r="G910" t="b">
        <v>1</v>
      </c>
      <c r="H910" t="s">
        <v>53</v>
      </c>
      <c r="I910" t="s">
        <v>63</v>
      </c>
      <c r="J910" t="s">
        <v>54</v>
      </c>
      <c r="K910" t="s">
        <v>39</v>
      </c>
      <c r="L910" t="s">
        <v>69</v>
      </c>
      <c r="M910" t="s">
        <v>46</v>
      </c>
      <c r="N910" t="s">
        <v>39</v>
      </c>
      <c r="O910" t="b">
        <v>0</v>
      </c>
      <c r="P910" t="b">
        <v>0</v>
      </c>
      <c r="Q910">
        <v>3.7</v>
      </c>
      <c r="R910" t="b">
        <v>1</v>
      </c>
      <c r="S910" t="s">
        <v>75</v>
      </c>
      <c r="T910">
        <v>40.700000000000003</v>
      </c>
      <c r="U910">
        <v>42.21</v>
      </c>
      <c r="V910" t="b">
        <v>1</v>
      </c>
      <c r="W910" t="s">
        <v>72</v>
      </c>
    </row>
    <row r="911" spans="1:23" x14ac:dyDescent="0.25">
      <c r="A911" t="s">
        <v>74</v>
      </c>
      <c r="B911" t="s">
        <v>59</v>
      </c>
      <c r="C911">
        <v>90.28</v>
      </c>
      <c r="D911">
        <v>251</v>
      </c>
      <c r="E911" t="b">
        <v>1</v>
      </c>
      <c r="F911" t="b">
        <v>0</v>
      </c>
      <c r="G911" t="b">
        <v>0</v>
      </c>
      <c r="H911" t="s">
        <v>25</v>
      </c>
      <c r="I911" t="s">
        <v>67</v>
      </c>
      <c r="J911" t="s">
        <v>36</v>
      </c>
      <c r="K911" t="s">
        <v>46</v>
      </c>
      <c r="L911" t="s">
        <v>51</v>
      </c>
      <c r="M911" t="s">
        <v>46</v>
      </c>
      <c r="N911" t="s">
        <v>46</v>
      </c>
      <c r="O911" t="b">
        <v>1</v>
      </c>
      <c r="P911" t="b">
        <v>0</v>
      </c>
      <c r="Q911">
        <v>10</v>
      </c>
      <c r="R911" t="b">
        <v>1</v>
      </c>
      <c r="S911" t="s">
        <v>30</v>
      </c>
      <c r="T911">
        <v>27.2</v>
      </c>
      <c r="U911">
        <v>92.28</v>
      </c>
      <c r="V911" t="b">
        <v>1</v>
      </c>
      <c r="W911" t="s">
        <v>31</v>
      </c>
    </row>
    <row r="912" spans="1:23" x14ac:dyDescent="0.25">
      <c r="A912" t="s">
        <v>68</v>
      </c>
      <c r="B912" t="s">
        <v>24</v>
      </c>
      <c r="C912">
        <v>90.24</v>
      </c>
      <c r="D912">
        <v>140</v>
      </c>
      <c r="E912" t="b">
        <v>1</v>
      </c>
      <c r="F912" t="b">
        <v>1</v>
      </c>
      <c r="G912" t="b">
        <v>0</v>
      </c>
      <c r="H912" t="s">
        <v>43</v>
      </c>
      <c r="I912" t="s">
        <v>35</v>
      </c>
      <c r="J912" t="s">
        <v>50</v>
      </c>
      <c r="K912" t="s">
        <v>28</v>
      </c>
      <c r="L912" t="s">
        <v>38</v>
      </c>
      <c r="M912" t="s">
        <v>39</v>
      </c>
      <c r="N912" t="s">
        <v>39</v>
      </c>
      <c r="O912" t="b">
        <v>1</v>
      </c>
      <c r="P912" t="b">
        <v>0</v>
      </c>
      <c r="Q912">
        <v>10</v>
      </c>
      <c r="R912" t="b">
        <v>1</v>
      </c>
      <c r="S912" t="s">
        <v>64</v>
      </c>
      <c r="T912">
        <v>14.6</v>
      </c>
      <c r="U912">
        <v>77.72</v>
      </c>
      <c r="V912" t="b">
        <v>0</v>
      </c>
      <c r="W912" t="s">
        <v>31</v>
      </c>
    </row>
    <row r="913" spans="1:23" x14ac:dyDescent="0.25">
      <c r="A913" t="s">
        <v>32</v>
      </c>
      <c r="B913" t="s">
        <v>76</v>
      </c>
      <c r="C913">
        <v>74.59</v>
      </c>
      <c r="D913">
        <v>406</v>
      </c>
      <c r="E913" t="b">
        <v>1</v>
      </c>
      <c r="F913" t="b">
        <v>0</v>
      </c>
      <c r="G913" t="b">
        <v>0</v>
      </c>
      <c r="H913" t="s">
        <v>53</v>
      </c>
      <c r="I913" t="s">
        <v>63</v>
      </c>
      <c r="J913" t="s">
        <v>45</v>
      </c>
      <c r="K913" t="s">
        <v>28</v>
      </c>
      <c r="L913" t="s">
        <v>38</v>
      </c>
      <c r="M913" t="s">
        <v>46</v>
      </c>
      <c r="N913" t="s">
        <v>39</v>
      </c>
      <c r="O913" t="b">
        <v>0</v>
      </c>
      <c r="P913" t="b">
        <v>0</v>
      </c>
      <c r="Q913">
        <v>9</v>
      </c>
      <c r="R913" t="b">
        <v>0</v>
      </c>
      <c r="T913">
        <v>0</v>
      </c>
      <c r="U913">
        <v>88.26</v>
      </c>
      <c r="V913" t="b">
        <v>1</v>
      </c>
      <c r="W913" t="s">
        <v>58</v>
      </c>
    </row>
    <row r="914" spans="1:23" x14ac:dyDescent="0.25">
      <c r="A914" t="s">
        <v>32</v>
      </c>
      <c r="B914" t="s">
        <v>59</v>
      </c>
      <c r="C914">
        <v>92.25</v>
      </c>
      <c r="D914">
        <v>675</v>
      </c>
      <c r="E914" t="b">
        <v>1</v>
      </c>
      <c r="F914" t="b">
        <v>0</v>
      </c>
      <c r="G914" t="b">
        <v>0</v>
      </c>
      <c r="H914" t="s">
        <v>43</v>
      </c>
      <c r="I914" t="s">
        <v>35</v>
      </c>
      <c r="J914" t="s">
        <v>50</v>
      </c>
      <c r="K914" t="s">
        <v>37</v>
      </c>
      <c r="L914" t="s">
        <v>51</v>
      </c>
      <c r="M914" t="s">
        <v>39</v>
      </c>
      <c r="O914" t="b">
        <v>1</v>
      </c>
      <c r="P914" t="b">
        <v>1</v>
      </c>
      <c r="Q914">
        <v>10</v>
      </c>
      <c r="R914" t="b">
        <v>1</v>
      </c>
      <c r="S914" t="s">
        <v>30</v>
      </c>
      <c r="T914">
        <v>2.9</v>
      </c>
      <c r="U914">
        <v>82.69</v>
      </c>
      <c r="V914" t="b">
        <v>1</v>
      </c>
      <c r="W914" t="s">
        <v>31</v>
      </c>
    </row>
    <row r="915" spans="1:23" x14ac:dyDescent="0.25">
      <c r="A915" t="s">
        <v>68</v>
      </c>
      <c r="B915" t="s">
        <v>49</v>
      </c>
      <c r="C915">
        <v>77.94</v>
      </c>
      <c r="D915">
        <v>488</v>
      </c>
      <c r="E915" t="b">
        <v>1</v>
      </c>
      <c r="F915" t="b">
        <v>1</v>
      </c>
      <c r="G915" t="b">
        <v>1</v>
      </c>
      <c r="H915" t="s">
        <v>34</v>
      </c>
      <c r="I915" t="s">
        <v>35</v>
      </c>
      <c r="J915" t="s">
        <v>54</v>
      </c>
      <c r="K915" t="s">
        <v>28</v>
      </c>
      <c r="L915" t="s">
        <v>51</v>
      </c>
      <c r="M915" t="s">
        <v>46</v>
      </c>
      <c r="N915" t="s">
        <v>39</v>
      </c>
      <c r="O915" t="b">
        <v>1</v>
      </c>
      <c r="P915" t="b">
        <v>1</v>
      </c>
      <c r="Q915">
        <v>10</v>
      </c>
      <c r="R915" t="b">
        <v>0</v>
      </c>
      <c r="T915">
        <v>0</v>
      </c>
      <c r="U915">
        <v>76.239999999999995</v>
      </c>
      <c r="V915" t="b">
        <v>0</v>
      </c>
      <c r="W915" t="s">
        <v>58</v>
      </c>
    </row>
    <row r="916" spans="1:23" x14ac:dyDescent="0.25">
      <c r="A916" t="s">
        <v>56</v>
      </c>
      <c r="B916" t="s">
        <v>76</v>
      </c>
      <c r="C916">
        <v>78.81</v>
      </c>
      <c r="D916">
        <v>748</v>
      </c>
      <c r="E916" t="b">
        <v>0</v>
      </c>
      <c r="F916" t="b">
        <v>0</v>
      </c>
      <c r="G916" t="b">
        <v>1</v>
      </c>
      <c r="H916" t="s">
        <v>25</v>
      </c>
      <c r="I916" t="s">
        <v>57</v>
      </c>
      <c r="J916" t="s">
        <v>50</v>
      </c>
      <c r="K916" t="s">
        <v>39</v>
      </c>
      <c r="L916" t="s">
        <v>37</v>
      </c>
      <c r="M916" t="s">
        <v>28</v>
      </c>
      <c r="P916" t="b">
        <v>0</v>
      </c>
      <c r="Q916">
        <v>8.4</v>
      </c>
      <c r="R916" t="b">
        <v>1</v>
      </c>
      <c r="S916" t="s">
        <v>64</v>
      </c>
      <c r="T916">
        <v>36.9</v>
      </c>
      <c r="U916">
        <v>67.16</v>
      </c>
      <c r="V916" t="b">
        <v>1</v>
      </c>
      <c r="W916" t="s">
        <v>31</v>
      </c>
    </row>
    <row r="917" spans="1:23" x14ac:dyDescent="0.25">
      <c r="A917" t="s">
        <v>74</v>
      </c>
      <c r="B917" t="s">
        <v>60</v>
      </c>
      <c r="C917">
        <v>54.01</v>
      </c>
      <c r="D917">
        <v>185</v>
      </c>
      <c r="E917" t="b">
        <v>1</v>
      </c>
      <c r="F917" t="b">
        <v>0</v>
      </c>
      <c r="G917" t="b">
        <v>1</v>
      </c>
      <c r="H917" t="s">
        <v>43</v>
      </c>
      <c r="I917" t="s">
        <v>57</v>
      </c>
      <c r="J917" t="s">
        <v>36</v>
      </c>
      <c r="K917" t="s">
        <v>37</v>
      </c>
      <c r="L917" t="s">
        <v>38</v>
      </c>
      <c r="M917" t="s">
        <v>46</v>
      </c>
      <c r="N917" t="s">
        <v>28</v>
      </c>
      <c r="O917" t="b">
        <v>0</v>
      </c>
      <c r="P917" t="b">
        <v>1</v>
      </c>
      <c r="Q917">
        <v>6.4</v>
      </c>
      <c r="R917" t="b">
        <v>1</v>
      </c>
      <c r="S917" t="s">
        <v>52</v>
      </c>
      <c r="T917">
        <v>6.5</v>
      </c>
      <c r="U917">
        <v>39.54</v>
      </c>
      <c r="V917" t="b">
        <v>0</v>
      </c>
      <c r="W917" t="s">
        <v>41</v>
      </c>
    </row>
    <row r="918" spans="1:23" x14ac:dyDescent="0.25">
      <c r="A918" t="s">
        <v>74</v>
      </c>
      <c r="B918" t="s">
        <v>71</v>
      </c>
      <c r="C918">
        <v>58.09</v>
      </c>
      <c r="D918">
        <v>787</v>
      </c>
      <c r="E918" t="b">
        <v>1</v>
      </c>
      <c r="F918" t="b">
        <v>0</v>
      </c>
      <c r="G918" t="b">
        <v>1</v>
      </c>
      <c r="H918" t="s">
        <v>43</v>
      </c>
      <c r="I918" t="s">
        <v>44</v>
      </c>
      <c r="J918" t="s">
        <v>45</v>
      </c>
      <c r="K918" t="s">
        <v>46</v>
      </c>
      <c r="L918" t="s">
        <v>38</v>
      </c>
      <c r="M918" t="s">
        <v>46</v>
      </c>
      <c r="N918" t="s">
        <v>46</v>
      </c>
      <c r="O918" t="b">
        <v>1</v>
      </c>
      <c r="P918" t="b">
        <v>1</v>
      </c>
      <c r="Q918">
        <v>10</v>
      </c>
      <c r="R918" t="b">
        <v>0</v>
      </c>
      <c r="T918">
        <v>0</v>
      </c>
      <c r="U918">
        <v>59.84</v>
      </c>
      <c r="V918" t="b">
        <v>0</v>
      </c>
      <c r="W918" t="s">
        <v>58</v>
      </c>
    </row>
    <row r="919" spans="1:23" x14ac:dyDescent="0.25">
      <c r="A919" t="s">
        <v>23</v>
      </c>
      <c r="B919" t="s">
        <v>24</v>
      </c>
      <c r="C919">
        <v>95.27</v>
      </c>
      <c r="D919">
        <v>485</v>
      </c>
      <c r="E919" t="b">
        <v>0</v>
      </c>
      <c r="F919" t="b">
        <v>1</v>
      </c>
      <c r="G919" t="b">
        <v>0</v>
      </c>
      <c r="H919" t="s">
        <v>43</v>
      </c>
      <c r="I919" t="s">
        <v>63</v>
      </c>
      <c r="J919" t="s">
        <v>36</v>
      </c>
      <c r="K919" t="s">
        <v>28</v>
      </c>
      <c r="L919" t="s">
        <v>38</v>
      </c>
      <c r="M919" t="s">
        <v>47</v>
      </c>
      <c r="O919" t="b">
        <v>0</v>
      </c>
      <c r="P919" t="b">
        <v>0</v>
      </c>
      <c r="Q919">
        <v>8.6999999999999993</v>
      </c>
      <c r="R919" t="b">
        <v>1</v>
      </c>
      <c r="S919" t="s">
        <v>52</v>
      </c>
      <c r="T919">
        <v>2.8</v>
      </c>
      <c r="U919">
        <v>80.5</v>
      </c>
      <c r="V919" t="b">
        <v>1</v>
      </c>
      <c r="W919" t="s">
        <v>31</v>
      </c>
    </row>
    <row r="920" spans="1:23" x14ac:dyDescent="0.25">
      <c r="A920" t="s">
        <v>74</v>
      </c>
      <c r="B920" t="s">
        <v>73</v>
      </c>
      <c r="C920">
        <v>53.09</v>
      </c>
      <c r="D920">
        <v>295</v>
      </c>
      <c r="E920" t="b">
        <v>1</v>
      </c>
      <c r="F920" t="b">
        <v>0</v>
      </c>
      <c r="G920" t="b">
        <v>1</v>
      </c>
      <c r="H920" t="s">
        <v>25</v>
      </c>
      <c r="I920" t="s">
        <v>67</v>
      </c>
      <c r="J920" t="s">
        <v>27</v>
      </c>
      <c r="K920" t="s">
        <v>39</v>
      </c>
      <c r="L920" t="s">
        <v>69</v>
      </c>
      <c r="M920" t="s">
        <v>39</v>
      </c>
      <c r="N920" t="s">
        <v>39</v>
      </c>
      <c r="O920" t="b">
        <v>0</v>
      </c>
      <c r="P920" t="b">
        <v>1</v>
      </c>
      <c r="Q920">
        <v>5.6</v>
      </c>
      <c r="R920" t="b">
        <v>1</v>
      </c>
      <c r="S920" t="s">
        <v>40</v>
      </c>
      <c r="T920">
        <v>38.5</v>
      </c>
      <c r="U920">
        <v>66.790000000000006</v>
      </c>
      <c r="V920" t="b">
        <v>1</v>
      </c>
      <c r="W920" t="s">
        <v>41</v>
      </c>
    </row>
    <row r="921" spans="1:23" x14ac:dyDescent="0.25">
      <c r="A921" t="s">
        <v>61</v>
      </c>
      <c r="B921" t="s">
        <v>49</v>
      </c>
      <c r="C921">
        <v>76.5</v>
      </c>
      <c r="D921">
        <v>732</v>
      </c>
      <c r="E921" t="b">
        <v>1</v>
      </c>
      <c r="F921" t="b">
        <v>1</v>
      </c>
      <c r="G921" t="b">
        <v>1</v>
      </c>
      <c r="H921" t="s">
        <v>43</v>
      </c>
      <c r="I921" t="s">
        <v>26</v>
      </c>
      <c r="J921" t="s">
        <v>54</v>
      </c>
      <c r="K921" t="s">
        <v>37</v>
      </c>
      <c r="L921" t="s">
        <v>51</v>
      </c>
      <c r="M921" t="s">
        <v>28</v>
      </c>
      <c r="N921" t="s">
        <v>28</v>
      </c>
      <c r="P921" t="b">
        <v>1</v>
      </c>
      <c r="Q921">
        <v>8.5</v>
      </c>
      <c r="R921" t="b">
        <v>1</v>
      </c>
      <c r="S921" t="s">
        <v>64</v>
      </c>
      <c r="T921">
        <v>15.4</v>
      </c>
      <c r="U921">
        <v>68.319999999999993</v>
      </c>
      <c r="V921" t="b">
        <v>1</v>
      </c>
      <c r="W921" t="s">
        <v>31</v>
      </c>
    </row>
    <row r="922" spans="1:23" x14ac:dyDescent="0.25">
      <c r="A922" t="s">
        <v>32</v>
      </c>
      <c r="B922" t="s">
        <v>62</v>
      </c>
      <c r="C922">
        <v>55.07</v>
      </c>
      <c r="D922">
        <v>84</v>
      </c>
      <c r="E922" t="b">
        <v>0</v>
      </c>
      <c r="F922" t="b">
        <v>0</v>
      </c>
      <c r="G922" t="b">
        <v>0</v>
      </c>
      <c r="H922" t="s">
        <v>53</v>
      </c>
      <c r="I922" t="s">
        <v>26</v>
      </c>
      <c r="J922" t="s">
        <v>54</v>
      </c>
      <c r="K922" t="s">
        <v>37</v>
      </c>
      <c r="L922" t="s">
        <v>29</v>
      </c>
      <c r="M922" t="s">
        <v>47</v>
      </c>
      <c r="N922" t="s">
        <v>46</v>
      </c>
      <c r="O922" t="b">
        <v>0</v>
      </c>
      <c r="P922" t="b">
        <v>1</v>
      </c>
      <c r="Q922">
        <v>3.2</v>
      </c>
      <c r="R922" t="b">
        <v>1</v>
      </c>
      <c r="S922" t="s">
        <v>75</v>
      </c>
      <c r="T922">
        <v>44.9</v>
      </c>
      <c r="U922">
        <v>43.4</v>
      </c>
      <c r="V922" t="b">
        <v>1</v>
      </c>
      <c r="W922" t="s">
        <v>72</v>
      </c>
    </row>
    <row r="923" spans="1:23" x14ac:dyDescent="0.25">
      <c r="A923" t="s">
        <v>56</v>
      </c>
      <c r="B923" t="s">
        <v>59</v>
      </c>
      <c r="C923">
        <v>83.84</v>
      </c>
      <c r="D923">
        <v>411</v>
      </c>
      <c r="E923" t="b">
        <v>0</v>
      </c>
      <c r="F923" t="b">
        <v>1</v>
      </c>
      <c r="G923" t="b">
        <v>0</v>
      </c>
      <c r="H923" t="s">
        <v>43</v>
      </c>
      <c r="I923" t="s">
        <v>35</v>
      </c>
      <c r="J923" t="s">
        <v>50</v>
      </c>
      <c r="K923" t="s">
        <v>28</v>
      </c>
      <c r="L923" t="s">
        <v>51</v>
      </c>
      <c r="M923" t="s">
        <v>28</v>
      </c>
      <c r="O923" t="b">
        <v>1</v>
      </c>
      <c r="P923" t="b">
        <v>0</v>
      </c>
      <c r="Q923">
        <v>10</v>
      </c>
      <c r="R923" t="b">
        <v>1</v>
      </c>
      <c r="S923" t="s">
        <v>55</v>
      </c>
      <c r="T923">
        <v>23.7</v>
      </c>
      <c r="U923">
        <v>78.209999999999994</v>
      </c>
      <c r="V923" t="b">
        <v>0</v>
      </c>
      <c r="W923" t="s">
        <v>31</v>
      </c>
    </row>
    <row r="924" spans="1:23" x14ac:dyDescent="0.25">
      <c r="A924" t="s">
        <v>32</v>
      </c>
      <c r="B924" t="s">
        <v>59</v>
      </c>
      <c r="C924">
        <v>75.040000000000006</v>
      </c>
      <c r="D924">
        <v>352</v>
      </c>
      <c r="E924" t="b">
        <v>0</v>
      </c>
      <c r="F924" t="b">
        <v>1</v>
      </c>
      <c r="G924" t="b">
        <v>1</v>
      </c>
      <c r="H924" t="s">
        <v>25</v>
      </c>
      <c r="I924" t="s">
        <v>63</v>
      </c>
      <c r="J924" t="s">
        <v>45</v>
      </c>
      <c r="K924" t="s">
        <v>46</v>
      </c>
      <c r="L924" t="s">
        <v>38</v>
      </c>
      <c r="M924" t="s">
        <v>28</v>
      </c>
      <c r="N924" t="s">
        <v>46</v>
      </c>
      <c r="P924" t="b">
        <v>1</v>
      </c>
      <c r="Q924">
        <v>8.9</v>
      </c>
      <c r="R924" t="b">
        <v>0</v>
      </c>
      <c r="T924">
        <v>0</v>
      </c>
      <c r="U924">
        <v>89.25</v>
      </c>
      <c r="V924" t="b">
        <v>1</v>
      </c>
      <c r="W924" t="s">
        <v>58</v>
      </c>
    </row>
    <row r="925" spans="1:23" x14ac:dyDescent="0.25">
      <c r="A925" t="s">
        <v>61</v>
      </c>
      <c r="B925" t="s">
        <v>49</v>
      </c>
      <c r="C925">
        <v>62.02</v>
      </c>
      <c r="D925">
        <v>631</v>
      </c>
      <c r="E925" t="b">
        <v>0</v>
      </c>
      <c r="F925" t="b">
        <v>0</v>
      </c>
      <c r="G925" t="b">
        <v>0</v>
      </c>
      <c r="H925" t="s">
        <v>53</v>
      </c>
      <c r="I925" t="s">
        <v>44</v>
      </c>
      <c r="J925" t="s">
        <v>27</v>
      </c>
      <c r="K925" t="s">
        <v>37</v>
      </c>
      <c r="L925" t="s">
        <v>37</v>
      </c>
      <c r="M925" t="s">
        <v>46</v>
      </c>
      <c r="N925" t="s">
        <v>46</v>
      </c>
      <c r="O925" t="b">
        <v>0</v>
      </c>
      <c r="P925" t="b">
        <v>0</v>
      </c>
      <c r="Q925">
        <v>5.5</v>
      </c>
      <c r="R925" t="b">
        <v>0</v>
      </c>
      <c r="T925">
        <v>0</v>
      </c>
      <c r="U925">
        <v>51.41</v>
      </c>
      <c r="V925" t="b">
        <v>1</v>
      </c>
      <c r="W925" t="s">
        <v>41</v>
      </c>
    </row>
    <row r="926" spans="1:23" x14ac:dyDescent="0.25">
      <c r="A926" t="s">
        <v>74</v>
      </c>
      <c r="B926" t="s">
        <v>42</v>
      </c>
      <c r="C926">
        <v>80.400000000000006</v>
      </c>
      <c r="D926">
        <v>702</v>
      </c>
      <c r="E926" t="b">
        <v>1</v>
      </c>
      <c r="F926" t="b">
        <v>0</v>
      </c>
      <c r="G926" t="b">
        <v>1</v>
      </c>
      <c r="H926" t="s">
        <v>34</v>
      </c>
      <c r="I926" t="s">
        <v>67</v>
      </c>
      <c r="J926" t="s">
        <v>27</v>
      </c>
      <c r="K926" t="s">
        <v>37</v>
      </c>
      <c r="L926" t="s">
        <v>38</v>
      </c>
      <c r="M926" t="s">
        <v>46</v>
      </c>
      <c r="N926" t="s">
        <v>46</v>
      </c>
      <c r="O926" t="b">
        <v>0</v>
      </c>
      <c r="P926" t="b">
        <v>0</v>
      </c>
      <c r="Q926">
        <v>9.4</v>
      </c>
      <c r="R926" t="b">
        <v>1</v>
      </c>
      <c r="S926" t="s">
        <v>55</v>
      </c>
      <c r="T926">
        <v>13.9</v>
      </c>
      <c r="U926">
        <v>83.12</v>
      </c>
      <c r="V926" t="b">
        <v>1</v>
      </c>
      <c r="W926" t="s">
        <v>31</v>
      </c>
    </row>
    <row r="927" spans="1:23" x14ac:dyDescent="0.25">
      <c r="A927" t="s">
        <v>32</v>
      </c>
      <c r="B927" t="s">
        <v>70</v>
      </c>
      <c r="C927">
        <v>84.06</v>
      </c>
      <c r="D927">
        <v>150</v>
      </c>
      <c r="E927" t="b">
        <v>0</v>
      </c>
      <c r="F927" t="b">
        <v>0</v>
      </c>
      <c r="G927" t="b">
        <v>0</v>
      </c>
      <c r="H927" t="s">
        <v>53</v>
      </c>
      <c r="I927" t="s">
        <v>44</v>
      </c>
      <c r="J927" t="s">
        <v>50</v>
      </c>
      <c r="K927" t="s">
        <v>28</v>
      </c>
      <c r="L927" t="s">
        <v>38</v>
      </c>
      <c r="M927" t="s">
        <v>46</v>
      </c>
      <c r="N927" t="s">
        <v>39</v>
      </c>
      <c r="P927" t="b">
        <v>0</v>
      </c>
      <c r="Q927">
        <v>10</v>
      </c>
      <c r="R927" t="b">
        <v>0</v>
      </c>
      <c r="T927">
        <v>0</v>
      </c>
      <c r="U927">
        <v>76.02</v>
      </c>
      <c r="V927" t="b">
        <v>0</v>
      </c>
      <c r="W927" t="s">
        <v>58</v>
      </c>
    </row>
    <row r="928" spans="1:23" x14ac:dyDescent="0.25">
      <c r="A928" t="s">
        <v>74</v>
      </c>
      <c r="B928" t="s">
        <v>42</v>
      </c>
      <c r="C928">
        <v>75.88</v>
      </c>
      <c r="D928">
        <v>149</v>
      </c>
      <c r="E928" t="b">
        <v>0</v>
      </c>
      <c r="F928" t="b">
        <v>0</v>
      </c>
      <c r="G928" t="b">
        <v>1</v>
      </c>
      <c r="H928" t="s">
        <v>25</v>
      </c>
      <c r="I928" t="s">
        <v>26</v>
      </c>
      <c r="J928" t="s">
        <v>27</v>
      </c>
      <c r="K928" t="s">
        <v>28</v>
      </c>
      <c r="L928" t="s">
        <v>29</v>
      </c>
      <c r="M928" t="s">
        <v>28</v>
      </c>
      <c r="N928" t="s">
        <v>28</v>
      </c>
      <c r="P928" t="b">
        <v>0</v>
      </c>
      <c r="Q928">
        <v>8.5</v>
      </c>
      <c r="R928" t="b">
        <v>1</v>
      </c>
      <c r="S928" t="s">
        <v>64</v>
      </c>
      <c r="T928">
        <v>38.5</v>
      </c>
      <c r="U928">
        <v>75.25</v>
      </c>
      <c r="V928" t="b">
        <v>1</v>
      </c>
      <c r="W928" t="s">
        <v>31</v>
      </c>
    </row>
    <row r="929" spans="1:23" x14ac:dyDescent="0.25">
      <c r="A929" t="s">
        <v>74</v>
      </c>
      <c r="B929" t="s">
        <v>59</v>
      </c>
      <c r="C929">
        <v>84</v>
      </c>
      <c r="D929">
        <v>66</v>
      </c>
      <c r="E929" t="b">
        <v>0</v>
      </c>
      <c r="F929" t="b">
        <v>0</v>
      </c>
      <c r="G929" t="b">
        <v>1</v>
      </c>
      <c r="H929" t="s">
        <v>25</v>
      </c>
      <c r="I929" t="s">
        <v>67</v>
      </c>
      <c r="J929" t="s">
        <v>54</v>
      </c>
      <c r="K929" t="s">
        <v>46</v>
      </c>
      <c r="L929" t="s">
        <v>51</v>
      </c>
      <c r="M929" t="s">
        <v>47</v>
      </c>
      <c r="N929" t="s">
        <v>46</v>
      </c>
      <c r="P929" t="b">
        <v>0</v>
      </c>
      <c r="Q929">
        <v>7.9</v>
      </c>
      <c r="R929" t="b">
        <v>1</v>
      </c>
      <c r="S929" t="s">
        <v>48</v>
      </c>
      <c r="T929">
        <v>2.1</v>
      </c>
      <c r="U929">
        <v>94.16</v>
      </c>
      <c r="V929" t="b">
        <v>1</v>
      </c>
      <c r="W929" t="s">
        <v>41</v>
      </c>
    </row>
    <row r="930" spans="1:23" x14ac:dyDescent="0.25">
      <c r="A930" t="s">
        <v>56</v>
      </c>
      <c r="B930" t="s">
        <v>24</v>
      </c>
      <c r="C930">
        <v>89.31</v>
      </c>
      <c r="D930">
        <v>725</v>
      </c>
      <c r="E930" t="b">
        <v>0</v>
      </c>
      <c r="F930" t="b">
        <v>0</v>
      </c>
      <c r="G930" t="b">
        <v>1</v>
      </c>
      <c r="H930" t="s">
        <v>25</v>
      </c>
      <c r="I930" t="s">
        <v>63</v>
      </c>
      <c r="J930" t="s">
        <v>45</v>
      </c>
      <c r="K930" t="s">
        <v>28</v>
      </c>
      <c r="L930" t="s">
        <v>38</v>
      </c>
      <c r="M930" t="s">
        <v>47</v>
      </c>
      <c r="P930" t="b">
        <v>1</v>
      </c>
      <c r="Q930">
        <v>8.8000000000000007</v>
      </c>
      <c r="R930" t="b">
        <v>0</v>
      </c>
      <c r="T930">
        <v>0</v>
      </c>
      <c r="U930">
        <v>82.97</v>
      </c>
      <c r="V930" t="b">
        <v>1</v>
      </c>
      <c r="W930" t="s">
        <v>58</v>
      </c>
    </row>
    <row r="931" spans="1:23" x14ac:dyDescent="0.25">
      <c r="A931" t="s">
        <v>61</v>
      </c>
      <c r="B931" t="s">
        <v>59</v>
      </c>
      <c r="C931">
        <v>93.21</v>
      </c>
      <c r="D931">
        <v>769</v>
      </c>
      <c r="E931" t="b">
        <v>0</v>
      </c>
      <c r="F931" t="b">
        <v>1</v>
      </c>
      <c r="G931" t="b">
        <v>0</v>
      </c>
      <c r="H931" t="s">
        <v>53</v>
      </c>
      <c r="I931" t="s">
        <v>35</v>
      </c>
      <c r="J931" t="s">
        <v>50</v>
      </c>
      <c r="K931" t="s">
        <v>28</v>
      </c>
      <c r="L931" t="s">
        <v>51</v>
      </c>
      <c r="M931" t="s">
        <v>47</v>
      </c>
      <c r="N931" t="s">
        <v>46</v>
      </c>
      <c r="O931" t="b">
        <v>0</v>
      </c>
      <c r="P931" t="b">
        <v>0</v>
      </c>
      <c r="Q931">
        <v>6.9</v>
      </c>
      <c r="R931" t="b">
        <v>1</v>
      </c>
      <c r="S931" t="s">
        <v>48</v>
      </c>
      <c r="T931">
        <v>13.2</v>
      </c>
      <c r="U931">
        <v>89.06</v>
      </c>
      <c r="V931" t="b">
        <v>0</v>
      </c>
      <c r="W931" t="s">
        <v>41</v>
      </c>
    </row>
    <row r="932" spans="1:23" x14ac:dyDescent="0.25">
      <c r="A932" t="s">
        <v>32</v>
      </c>
      <c r="B932" t="s">
        <v>62</v>
      </c>
      <c r="C932">
        <v>71.790000000000006</v>
      </c>
      <c r="D932">
        <v>541</v>
      </c>
      <c r="E932" t="b">
        <v>1</v>
      </c>
      <c r="F932" t="b">
        <v>0</v>
      </c>
      <c r="G932" t="b">
        <v>1</v>
      </c>
      <c r="H932" t="s">
        <v>43</v>
      </c>
      <c r="I932" t="s">
        <v>35</v>
      </c>
      <c r="J932" t="s">
        <v>45</v>
      </c>
      <c r="K932" t="s">
        <v>39</v>
      </c>
      <c r="L932" t="s">
        <v>69</v>
      </c>
      <c r="M932" t="s">
        <v>39</v>
      </c>
      <c r="N932" t="s">
        <v>28</v>
      </c>
      <c r="P932" t="b">
        <v>0</v>
      </c>
      <c r="Q932">
        <v>8.9</v>
      </c>
      <c r="R932" t="b">
        <v>0</v>
      </c>
      <c r="T932">
        <v>0</v>
      </c>
      <c r="U932">
        <v>62.18</v>
      </c>
      <c r="V932" t="b">
        <v>0</v>
      </c>
      <c r="W932" t="s">
        <v>58</v>
      </c>
    </row>
    <row r="933" spans="1:23" x14ac:dyDescent="0.25">
      <c r="A933" t="s">
        <v>32</v>
      </c>
      <c r="B933" t="s">
        <v>62</v>
      </c>
      <c r="C933">
        <v>53.2</v>
      </c>
      <c r="D933">
        <v>282</v>
      </c>
      <c r="E933" t="b">
        <v>1</v>
      </c>
      <c r="F933" t="b">
        <v>0</v>
      </c>
      <c r="G933" t="b">
        <v>1</v>
      </c>
      <c r="H933" t="s">
        <v>34</v>
      </c>
      <c r="I933" t="s">
        <v>57</v>
      </c>
      <c r="J933" t="s">
        <v>54</v>
      </c>
      <c r="K933" t="s">
        <v>37</v>
      </c>
      <c r="L933" t="s">
        <v>51</v>
      </c>
      <c r="M933" t="s">
        <v>47</v>
      </c>
      <c r="N933" t="s">
        <v>28</v>
      </c>
      <c r="P933" t="b">
        <v>1</v>
      </c>
      <c r="Q933">
        <v>4.9000000000000004</v>
      </c>
      <c r="R933" t="b">
        <v>1</v>
      </c>
      <c r="S933" t="s">
        <v>75</v>
      </c>
      <c r="T933">
        <v>2</v>
      </c>
      <c r="U933">
        <v>67.75</v>
      </c>
      <c r="V933" t="b">
        <v>1</v>
      </c>
      <c r="W933" t="s">
        <v>72</v>
      </c>
    </row>
    <row r="934" spans="1:23" x14ac:dyDescent="0.25">
      <c r="A934" t="s">
        <v>32</v>
      </c>
      <c r="B934" t="s">
        <v>70</v>
      </c>
      <c r="C934">
        <v>89.99</v>
      </c>
      <c r="D934">
        <v>262</v>
      </c>
      <c r="E934" t="b">
        <v>1</v>
      </c>
      <c r="F934" t="b">
        <v>0</v>
      </c>
      <c r="G934" t="b">
        <v>1</v>
      </c>
      <c r="H934" t="s">
        <v>25</v>
      </c>
      <c r="I934" t="s">
        <v>26</v>
      </c>
      <c r="J934" t="s">
        <v>45</v>
      </c>
      <c r="K934" t="s">
        <v>28</v>
      </c>
      <c r="L934" t="s">
        <v>37</v>
      </c>
      <c r="M934" t="s">
        <v>46</v>
      </c>
      <c r="N934" t="s">
        <v>39</v>
      </c>
      <c r="O934" t="b">
        <v>0</v>
      </c>
      <c r="P934" t="b">
        <v>0</v>
      </c>
      <c r="Q934">
        <v>9.1999999999999993</v>
      </c>
      <c r="R934" t="b">
        <v>0</v>
      </c>
      <c r="T934">
        <v>0</v>
      </c>
      <c r="U934">
        <v>97.89</v>
      </c>
      <c r="V934" t="b">
        <v>1</v>
      </c>
      <c r="W934" t="s">
        <v>58</v>
      </c>
    </row>
    <row r="935" spans="1:23" x14ac:dyDescent="0.25">
      <c r="A935" t="s">
        <v>61</v>
      </c>
      <c r="B935" t="s">
        <v>73</v>
      </c>
      <c r="C935">
        <v>67.06</v>
      </c>
      <c r="D935">
        <v>238</v>
      </c>
      <c r="E935" t="b">
        <v>1</v>
      </c>
      <c r="F935" t="b">
        <v>1</v>
      </c>
      <c r="G935" t="b">
        <v>0</v>
      </c>
      <c r="H935" t="s">
        <v>43</v>
      </c>
      <c r="I935" t="s">
        <v>35</v>
      </c>
      <c r="J935" t="s">
        <v>36</v>
      </c>
      <c r="K935" t="s">
        <v>39</v>
      </c>
      <c r="L935" t="s">
        <v>69</v>
      </c>
      <c r="M935" t="s">
        <v>39</v>
      </c>
      <c r="N935" t="s">
        <v>46</v>
      </c>
      <c r="O935" t="b">
        <v>1</v>
      </c>
      <c r="P935" t="b">
        <v>0</v>
      </c>
      <c r="Q935">
        <v>8.5</v>
      </c>
      <c r="R935" t="b">
        <v>1</v>
      </c>
      <c r="S935" t="s">
        <v>30</v>
      </c>
      <c r="T935">
        <v>8</v>
      </c>
      <c r="U935">
        <v>64.319999999999993</v>
      </c>
      <c r="V935" t="b">
        <v>0</v>
      </c>
      <c r="W935" t="s">
        <v>31</v>
      </c>
    </row>
    <row r="936" spans="1:23" x14ac:dyDescent="0.25">
      <c r="A936" t="s">
        <v>56</v>
      </c>
      <c r="B936" t="s">
        <v>59</v>
      </c>
      <c r="C936">
        <v>86.05</v>
      </c>
      <c r="D936">
        <v>588</v>
      </c>
      <c r="E936" t="b">
        <v>0</v>
      </c>
      <c r="F936" t="b">
        <v>1</v>
      </c>
      <c r="G936" t="b">
        <v>0</v>
      </c>
      <c r="H936" t="s">
        <v>25</v>
      </c>
      <c r="I936" t="s">
        <v>26</v>
      </c>
      <c r="J936" t="s">
        <v>36</v>
      </c>
      <c r="K936" t="s">
        <v>37</v>
      </c>
      <c r="L936" t="s">
        <v>38</v>
      </c>
      <c r="M936" t="s">
        <v>46</v>
      </c>
      <c r="N936" t="s">
        <v>39</v>
      </c>
      <c r="O936" t="b">
        <v>1</v>
      </c>
      <c r="P936" t="b">
        <v>1</v>
      </c>
      <c r="Q936">
        <v>10</v>
      </c>
      <c r="R936" t="b">
        <v>1</v>
      </c>
      <c r="S936" t="s">
        <v>52</v>
      </c>
      <c r="T936">
        <v>44.8</v>
      </c>
      <c r="U936">
        <v>75.680000000000007</v>
      </c>
      <c r="V936" t="b">
        <v>0</v>
      </c>
      <c r="W936" t="s">
        <v>31</v>
      </c>
    </row>
    <row r="937" spans="1:23" x14ac:dyDescent="0.25">
      <c r="A937" t="s">
        <v>61</v>
      </c>
      <c r="B937" t="s">
        <v>59</v>
      </c>
      <c r="C937">
        <v>93.53</v>
      </c>
      <c r="D937">
        <v>146</v>
      </c>
      <c r="E937" t="b">
        <v>1</v>
      </c>
      <c r="F937" t="b">
        <v>0</v>
      </c>
      <c r="G937" t="b">
        <v>0</v>
      </c>
      <c r="H937" t="s">
        <v>43</v>
      </c>
      <c r="I937" t="s">
        <v>67</v>
      </c>
      <c r="J937" t="s">
        <v>54</v>
      </c>
      <c r="K937" t="s">
        <v>28</v>
      </c>
      <c r="L937" t="s">
        <v>38</v>
      </c>
      <c r="M937" t="s">
        <v>39</v>
      </c>
      <c r="N937" t="s">
        <v>28</v>
      </c>
      <c r="O937" t="b">
        <v>0</v>
      </c>
      <c r="P937" t="b">
        <v>0</v>
      </c>
      <c r="Q937">
        <v>10</v>
      </c>
      <c r="R937" t="b">
        <v>1</v>
      </c>
      <c r="S937" t="s">
        <v>52</v>
      </c>
      <c r="T937">
        <v>17.399999999999999</v>
      </c>
      <c r="U937">
        <v>100</v>
      </c>
      <c r="V937" t="b">
        <v>1</v>
      </c>
      <c r="W937" t="s">
        <v>31</v>
      </c>
    </row>
    <row r="938" spans="1:23" x14ac:dyDescent="0.25">
      <c r="A938" t="s">
        <v>74</v>
      </c>
      <c r="B938" t="s">
        <v>60</v>
      </c>
      <c r="C938">
        <v>60.57</v>
      </c>
      <c r="D938">
        <v>472</v>
      </c>
      <c r="E938" t="b">
        <v>1</v>
      </c>
      <c r="F938" t="b">
        <v>0</v>
      </c>
      <c r="G938" t="b">
        <v>0</v>
      </c>
      <c r="H938" t="s">
        <v>34</v>
      </c>
      <c r="I938" t="s">
        <v>63</v>
      </c>
      <c r="J938" t="s">
        <v>54</v>
      </c>
      <c r="K938" t="s">
        <v>39</v>
      </c>
      <c r="L938" t="s">
        <v>37</v>
      </c>
      <c r="M938" t="s">
        <v>39</v>
      </c>
      <c r="N938" t="s">
        <v>46</v>
      </c>
      <c r="O938" t="b">
        <v>1</v>
      </c>
      <c r="P938" t="b">
        <v>1</v>
      </c>
      <c r="Q938">
        <v>8.1999999999999993</v>
      </c>
      <c r="R938" t="b">
        <v>0</v>
      </c>
      <c r="T938">
        <v>0</v>
      </c>
      <c r="U938">
        <v>45.89</v>
      </c>
      <c r="V938" t="b">
        <v>0</v>
      </c>
      <c r="W938" t="s">
        <v>58</v>
      </c>
    </row>
    <row r="939" spans="1:23" x14ac:dyDescent="0.25">
      <c r="A939" t="s">
        <v>74</v>
      </c>
      <c r="B939" t="s">
        <v>49</v>
      </c>
      <c r="C939">
        <v>73.23</v>
      </c>
      <c r="D939">
        <v>747</v>
      </c>
      <c r="E939" t="b">
        <v>0</v>
      </c>
      <c r="F939" t="b">
        <v>1</v>
      </c>
      <c r="G939" t="b">
        <v>0</v>
      </c>
      <c r="H939" t="s">
        <v>43</v>
      </c>
      <c r="I939" t="s">
        <v>35</v>
      </c>
      <c r="J939" t="s">
        <v>36</v>
      </c>
      <c r="K939" t="s">
        <v>28</v>
      </c>
      <c r="L939" t="s">
        <v>69</v>
      </c>
      <c r="M939" t="s">
        <v>28</v>
      </c>
      <c r="N939" t="s">
        <v>46</v>
      </c>
      <c r="P939" t="b">
        <v>1</v>
      </c>
      <c r="Q939">
        <v>8.8000000000000007</v>
      </c>
      <c r="R939" t="b">
        <v>0</v>
      </c>
      <c r="T939">
        <v>0</v>
      </c>
      <c r="U939">
        <v>80.489999999999995</v>
      </c>
      <c r="V939" t="b">
        <v>1</v>
      </c>
      <c r="W939" t="s">
        <v>58</v>
      </c>
    </row>
    <row r="940" spans="1:23" x14ac:dyDescent="0.25">
      <c r="A940" t="s">
        <v>74</v>
      </c>
      <c r="B940" t="s">
        <v>76</v>
      </c>
      <c r="C940">
        <v>73.53</v>
      </c>
      <c r="D940">
        <v>727</v>
      </c>
      <c r="E940" t="b">
        <v>0</v>
      </c>
      <c r="F940" t="b">
        <v>1</v>
      </c>
      <c r="G940" t="b">
        <v>0</v>
      </c>
      <c r="H940" t="s">
        <v>43</v>
      </c>
      <c r="I940" t="s">
        <v>35</v>
      </c>
      <c r="J940" t="s">
        <v>45</v>
      </c>
      <c r="K940" t="s">
        <v>46</v>
      </c>
      <c r="L940" t="s">
        <v>29</v>
      </c>
      <c r="M940" t="s">
        <v>39</v>
      </c>
      <c r="N940" t="s">
        <v>46</v>
      </c>
      <c r="O940" t="b">
        <v>1</v>
      </c>
      <c r="P940" t="b">
        <v>0</v>
      </c>
      <c r="Q940">
        <v>8.3000000000000007</v>
      </c>
      <c r="R940" t="b">
        <v>1</v>
      </c>
      <c r="S940" t="s">
        <v>65</v>
      </c>
      <c r="T940">
        <v>39.1</v>
      </c>
      <c r="U940">
        <v>70.569999999999993</v>
      </c>
      <c r="V940" t="b">
        <v>1</v>
      </c>
      <c r="W940" t="s">
        <v>31</v>
      </c>
    </row>
    <row r="941" spans="1:23" x14ac:dyDescent="0.25">
      <c r="A941" t="s">
        <v>68</v>
      </c>
      <c r="B941" t="s">
        <v>42</v>
      </c>
      <c r="C941">
        <v>75.31</v>
      </c>
      <c r="D941">
        <v>60</v>
      </c>
      <c r="E941" t="b">
        <v>1</v>
      </c>
      <c r="F941" t="b">
        <v>0</v>
      </c>
      <c r="G941" t="b">
        <v>0</v>
      </c>
      <c r="H941" t="s">
        <v>43</v>
      </c>
      <c r="I941" t="s">
        <v>35</v>
      </c>
      <c r="J941" t="s">
        <v>27</v>
      </c>
      <c r="K941" t="s">
        <v>28</v>
      </c>
      <c r="L941" t="s">
        <v>51</v>
      </c>
      <c r="M941" t="s">
        <v>28</v>
      </c>
      <c r="N941" t="s">
        <v>46</v>
      </c>
      <c r="O941" t="b">
        <v>0</v>
      </c>
      <c r="P941" t="b">
        <v>0</v>
      </c>
      <c r="Q941">
        <v>8.9</v>
      </c>
      <c r="R941" t="b">
        <v>1</v>
      </c>
      <c r="S941" t="s">
        <v>55</v>
      </c>
      <c r="T941">
        <v>24.7</v>
      </c>
      <c r="U941">
        <v>60.54</v>
      </c>
      <c r="V941" t="b">
        <v>0</v>
      </c>
      <c r="W941" t="s">
        <v>31</v>
      </c>
    </row>
    <row r="942" spans="1:23" x14ac:dyDescent="0.25">
      <c r="A942" t="s">
        <v>61</v>
      </c>
      <c r="B942" t="s">
        <v>66</v>
      </c>
      <c r="C942">
        <v>70.13</v>
      </c>
      <c r="D942">
        <v>105</v>
      </c>
      <c r="E942" t="b">
        <v>0</v>
      </c>
      <c r="F942" t="b">
        <v>0</v>
      </c>
      <c r="G942" t="b">
        <v>1</v>
      </c>
      <c r="H942" t="s">
        <v>25</v>
      </c>
      <c r="I942" t="s">
        <v>35</v>
      </c>
      <c r="J942" t="s">
        <v>27</v>
      </c>
      <c r="K942" t="s">
        <v>39</v>
      </c>
      <c r="L942" t="s">
        <v>51</v>
      </c>
      <c r="M942" t="s">
        <v>47</v>
      </c>
      <c r="O942" t="b">
        <v>0</v>
      </c>
      <c r="P942" t="b">
        <v>1</v>
      </c>
      <c r="Q942">
        <v>4.8</v>
      </c>
      <c r="R942" t="b">
        <v>1</v>
      </c>
      <c r="S942" t="s">
        <v>30</v>
      </c>
      <c r="T942">
        <v>39.6</v>
      </c>
      <c r="U942">
        <v>64.3</v>
      </c>
      <c r="V942" t="b">
        <v>1</v>
      </c>
      <c r="W942" t="s">
        <v>72</v>
      </c>
    </row>
    <row r="943" spans="1:23" x14ac:dyDescent="0.25">
      <c r="A943" t="s">
        <v>56</v>
      </c>
      <c r="B943" t="s">
        <v>76</v>
      </c>
      <c r="C943">
        <v>79.87</v>
      </c>
      <c r="D943">
        <v>687</v>
      </c>
      <c r="E943" t="b">
        <v>0</v>
      </c>
      <c r="F943" t="b">
        <v>1</v>
      </c>
      <c r="G943" t="b">
        <v>1</v>
      </c>
      <c r="H943" t="s">
        <v>25</v>
      </c>
      <c r="I943" t="s">
        <v>35</v>
      </c>
      <c r="J943" t="s">
        <v>50</v>
      </c>
      <c r="K943" t="s">
        <v>28</v>
      </c>
      <c r="L943" t="s">
        <v>51</v>
      </c>
      <c r="M943" t="s">
        <v>46</v>
      </c>
      <c r="N943" t="s">
        <v>46</v>
      </c>
      <c r="O943" t="b">
        <v>1</v>
      </c>
      <c r="P943" t="b">
        <v>1</v>
      </c>
      <c r="Q943">
        <v>10</v>
      </c>
      <c r="R943" t="b">
        <v>0</v>
      </c>
      <c r="T943">
        <v>0</v>
      </c>
      <c r="U943">
        <v>89.52</v>
      </c>
      <c r="V943" t="b">
        <v>1</v>
      </c>
      <c r="W943" t="s">
        <v>58</v>
      </c>
    </row>
    <row r="944" spans="1:23" x14ac:dyDescent="0.25">
      <c r="A944" t="s">
        <v>23</v>
      </c>
      <c r="B944" t="s">
        <v>70</v>
      </c>
      <c r="C944">
        <v>73.47</v>
      </c>
      <c r="D944">
        <v>799</v>
      </c>
      <c r="E944" t="b">
        <v>1</v>
      </c>
      <c r="F944" t="b">
        <v>1</v>
      </c>
      <c r="G944" t="b">
        <v>1</v>
      </c>
      <c r="H944" t="s">
        <v>25</v>
      </c>
      <c r="I944" t="s">
        <v>67</v>
      </c>
      <c r="J944" t="s">
        <v>50</v>
      </c>
      <c r="K944" t="s">
        <v>46</v>
      </c>
      <c r="L944" t="s">
        <v>51</v>
      </c>
      <c r="M944" t="s">
        <v>47</v>
      </c>
      <c r="N944" t="s">
        <v>39</v>
      </c>
      <c r="O944" t="b">
        <v>0</v>
      </c>
      <c r="P944" t="b">
        <v>1</v>
      </c>
      <c r="Q944">
        <v>6.8</v>
      </c>
      <c r="R944" t="b">
        <v>1</v>
      </c>
      <c r="S944" t="s">
        <v>40</v>
      </c>
      <c r="T944">
        <v>42.8</v>
      </c>
      <c r="U944">
        <v>59.53</v>
      </c>
      <c r="V944" t="b">
        <v>1</v>
      </c>
      <c r="W944" t="s">
        <v>41</v>
      </c>
    </row>
    <row r="945" spans="1:23" x14ac:dyDescent="0.25">
      <c r="A945" t="s">
        <v>68</v>
      </c>
      <c r="B945" t="s">
        <v>76</v>
      </c>
      <c r="C945">
        <v>76.77</v>
      </c>
      <c r="D945">
        <v>471</v>
      </c>
      <c r="E945" t="b">
        <v>1</v>
      </c>
      <c r="F945" t="b">
        <v>0</v>
      </c>
      <c r="G945" t="b">
        <v>0</v>
      </c>
      <c r="H945" t="s">
        <v>53</v>
      </c>
      <c r="I945" t="s">
        <v>57</v>
      </c>
      <c r="J945" t="s">
        <v>27</v>
      </c>
      <c r="K945" t="s">
        <v>37</v>
      </c>
      <c r="L945" t="s">
        <v>69</v>
      </c>
      <c r="M945" t="s">
        <v>47</v>
      </c>
      <c r="N945" t="s">
        <v>28</v>
      </c>
      <c r="O945" t="b">
        <v>1</v>
      </c>
      <c r="P945" t="b">
        <v>1</v>
      </c>
      <c r="Q945">
        <v>9.6</v>
      </c>
      <c r="R945" t="b">
        <v>1</v>
      </c>
      <c r="S945" t="s">
        <v>52</v>
      </c>
      <c r="T945">
        <v>37.799999999999997</v>
      </c>
      <c r="U945">
        <v>88.05</v>
      </c>
      <c r="V945" t="b">
        <v>1</v>
      </c>
      <c r="W945" t="s">
        <v>31</v>
      </c>
    </row>
    <row r="946" spans="1:23" x14ac:dyDescent="0.25">
      <c r="A946" t="s">
        <v>68</v>
      </c>
      <c r="B946" t="s">
        <v>33</v>
      </c>
      <c r="C946">
        <v>81.22</v>
      </c>
      <c r="D946">
        <v>570</v>
      </c>
      <c r="E946" t="b">
        <v>1</v>
      </c>
      <c r="F946" t="b">
        <v>1</v>
      </c>
      <c r="G946" t="b">
        <v>0</v>
      </c>
      <c r="H946" t="s">
        <v>53</v>
      </c>
      <c r="I946" t="s">
        <v>44</v>
      </c>
      <c r="J946" t="s">
        <v>54</v>
      </c>
      <c r="K946" t="s">
        <v>46</v>
      </c>
      <c r="L946" t="s">
        <v>29</v>
      </c>
      <c r="M946" t="s">
        <v>28</v>
      </c>
      <c r="N946" t="s">
        <v>46</v>
      </c>
      <c r="O946" t="b">
        <v>1</v>
      </c>
      <c r="P946" t="b">
        <v>0</v>
      </c>
      <c r="Q946">
        <v>10</v>
      </c>
      <c r="R946" t="b">
        <v>0</v>
      </c>
      <c r="T946">
        <v>0</v>
      </c>
      <c r="U946">
        <v>80.25</v>
      </c>
      <c r="V946" t="b">
        <v>1</v>
      </c>
      <c r="W946" t="s">
        <v>58</v>
      </c>
    </row>
    <row r="947" spans="1:23" x14ac:dyDescent="0.25">
      <c r="A947" t="s">
        <v>23</v>
      </c>
      <c r="B947" t="s">
        <v>49</v>
      </c>
      <c r="C947">
        <v>65.36</v>
      </c>
      <c r="D947">
        <v>640</v>
      </c>
      <c r="E947" t="b">
        <v>1</v>
      </c>
      <c r="F947" t="b">
        <v>0</v>
      </c>
      <c r="G947" t="b">
        <v>0</v>
      </c>
      <c r="H947" t="s">
        <v>43</v>
      </c>
      <c r="I947" t="s">
        <v>44</v>
      </c>
      <c r="J947" t="s">
        <v>54</v>
      </c>
      <c r="K947" t="s">
        <v>46</v>
      </c>
      <c r="L947" t="s">
        <v>37</v>
      </c>
      <c r="M947" t="s">
        <v>39</v>
      </c>
      <c r="N947" t="s">
        <v>39</v>
      </c>
      <c r="P947" t="b">
        <v>0</v>
      </c>
      <c r="Q947">
        <v>7.4</v>
      </c>
      <c r="R947" t="b">
        <v>1</v>
      </c>
      <c r="S947" t="s">
        <v>65</v>
      </c>
      <c r="T947">
        <v>32.299999999999997</v>
      </c>
      <c r="U947">
        <v>61.3</v>
      </c>
      <c r="V947" t="b">
        <v>1</v>
      </c>
      <c r="W947" t="s">
        <v>41</v>
      </c>
    </row>
    <row r="948" spans="1:23" x14ac:dyDescent="0.25">
      <c r="A948" t="s">
        <v>56</v>
      </c>
      <c r="B948" t="s">
        <v>76</v>
      </c>
      <c r="C948">
        <v>78.17</v>
      </c>
      <c r="D948">
        <v>350</v>
      </c>
      <c r="E948" t="b">
        <v>0</v>
      </c>
      <c r="F948" t="b">
        <v>0</v>
      </c>
      <c r="G948" t="b">
        <v>0</v>
      </c>
      <c r="H948" t="s">
        <v>53</v>
      </c>
      <c r="I948" t="s">
        <v>57</v>
      </c>
      <c r="J948" t="s">
        <v>36</v>
      </c>
      <c r="K948" t="s">
        <v>37</v>
      </c>
      <c r="L948" t="s">
        <v>37</v>
      </c>
      <c r="M948" t="s">
        <v>39</v>
      </c>
      <c r="N948" t="s">
        <v>28</v>
      </c>
      <c r="P948" t="b">
        <v>1</v>
      </c>
      <c r="Q948">
        <v>7.3</v>
      </c>
      <c r="R948" t="b">
        <v>1</v>
      </c>
      <c r="S948" t="s">
        <v>48</v>
      </c>
      <c r="T948">
        <v>23.3</v>
      </c>
      <c r="U948">
        <v>76.52</v>
      </c>
      <c r="V948" t="b">
        <v>1</v>
      </c>
      <c r="W948" t="s">
        <v>41</v>
      </c>
    </row>
    <row r="949" spans="1:23" x14ac:dyDescent="0.25">
      <c r="A949" t="s">
        <v>68</v>
      </c>
      <c r="B949" t="s">
        <v>49</v>
      </c>
      <c r="C949">
        <v>67.150000000000006</v>
      </c>
      <c r="D949">
        <v>223</v>
      </c>
      <c r="E949" t="b">
        <v>0</v>
      </c>
      <c r="F949" t="b">
        <v>0</v>
      </c>
      <c r="G949" t="b">
        <v>0</v>
      </c>
      <c r="H949" t="s">
        <v>34</v>
      </c>
      <c r="I949" t="s">
        <v>26</v>
      </c>
      <c r="J949" t="s">
        <v>45</v>
      </c>
      <c r="K949" t="s">
        <v>28</v>
      </c>
      <c r="L949" t="s">
        <v>38</v>
      </c>
      <c r="M949" t="s">
        <v>47</v>
      </c>
      <c r="N949" t="s">
        <v>46</v>
      </c>
      <c r="P949" t="b">
        <v>1</v>
      </c>
      <c r="Q949">
        <v>7.3</v>
      </c>
      <c r="R949" t="b">
        <v>0</v>
      </c>
      <c r="T949">
        <v>0</v>
      </c>
      <c r="U949">
        <v>77.36</v>
      </c>
      <c r="V949" t="b">
        <v>1</v>
      </c>
      <c r="W949" t="s">
        <v>31</v>
      </c>
    </row>
    <row r="950" spans="1:23" x14ac:dyDescent="0.25">
      <c r="A950" t="s">
        <v>32</v>
      </c>
      <c r="B950" t="s">
        <v>33</v>
      </c>
      <c r="C950">
        <v>89.39</v>
      </c>
      <c r="D950">
        <v>183</v>
      </c>
      <c r="E950" t="b">
        <v>0</v>
      </c>
      <c r="F950" t="b">
        <v>0</v>
      </c>
      <c r="G950" t="b">
        <v>1</v>
      </c>
      <c r="H950" t="s">
        <v>53</v>
      </c>
      <c r="I950" t="s">
        <v>44</v>
      </c>
      <c r="J950" t="s">
        <v>54</v>
      </c>
      <c r="K950" t="s">
        <v>37</v>
      </c>
      <c r="L950" t="s">
        <v>51</v>
      </c>
      <c r="M950" t="s">
        <v>47</v>
      </c>
      <c r="N950" t="s">
        <v>39</v>
      </c>
      <c r="O950" t="b">
        <v>0</v>
      </c>
      <c r="P950" t="b">
        <v>0</v>
      </c>
      <c r="Q950">
        <v>6.7</v>
      </c>
      <c r="R950" t="b">
        <v>1</v>
      </c>
      <c r="S950" t="s">
        <v>55</v>
      </c>
      <c r="T950">
        <v>7.2</v>
      </c>
      <c r="U950">
        <v>80.17</v>
      </c>
      <c r="V950" t="b">
        <v>1</v>
      </c>
      <c r="W950" t="s">
        <v>41</v>
      </c>
    </row>
    <row r="951" spans="1:23" x14ac:dyDescent="0.25">
      <c r="A951" t="s">
        <v>56</v>
      </c>
      <c r="B951" t="s">
        <v>62</v>
      </c>
      <c r="C951">
        <v>50.41</v>
      </c>
      <c r="D951">
        <v>355</v>
      </c>
      <c r="E951" t="b">
        <v>0</v>
      </c>
      <c r="F951" t="b">
        <v>0</v>
      </c>
      <c r="G951" t="b">
        <v>0</v>
      </c>
      <c r="H951" t="s">
        <v>43</v>
      </c>
      <c r="I951" t="s">
        <v>44</v>
      </c>
      <c r="J951" t="s">
        <v>27</v>
      </c>
      <c r="K951" t="s">
        <v>39</v>
      </c>
      <c r="L951" t="s">
        <v>29</v>
      </c>
      <c r="M951" t="s">
        <v>47</v>
      </c>
      <c r="N951" t="s">
        <v>39</v>
      </c>
      <c r="O951" t="b">
        <v>1</v>
      </c>
      <c r="P951" t="b">
        <v>1</v>
      </c>
      <c r="Q951">
        <v>5.2</v>
      </c>
      <c r="R951" t="b">
        <v>1</v>
      </c>
      <c r="S951" t="s">
        <v>64</v>
      </c>
      <c r="T951">
        <v>17.8</v>
      </c>
      <c r="U951">
        <v>60</v>
      </c>
      <c r="V951" t="b">
        <v>1</v>
      </c>
      <c r="W951" t="s">
        <v>41</v>
      </c>
    </row>
    <row r="952" spans="1:23" x14ac:dyDescent="0.25">
      <c r="A952" t="s">
        <v>32</v>
      </c>
      <c r="B952" t="s">
        <v>76</v>
      </c>
      <c r="C952">
        <v>88.29</v>
      </c>
      <c r="D952">
        <v>435</v>
      </c>
      <c r="E952" t="b">
        <v>1</v>
      </c>
      <c r="F952" t="b">
        <v>1</v>
      </c>
      <c r="G952" t="b">
        <v>1</v>
      </c>
      <c r="H952" t="s">
        <v>53</v>
      </c>
      <c r="I952" t="s">
        <v>44</v>
      </c>
      <c r="J952" t="s">
        <v>50</v>
      </c>
      <c r="K952" t="s">
        <v>46</v>
      </c>
      <c r="L952" t="s">
        <v>51</v>
      </c>
      <c r="M952" t="s">
        <v>47</v>
      </c>
      <c r="O952" t="b">
        <v>0</v>
      </c>
      <c r="P952" t="b">
        <v>1</v>
      </c>
      <c r="Q952">
        <v>8.1999999999999993</v>
      </c>
      <c r="R952" t="b">
        <v>1</v>
      </c>
      <c r="S952" t="s">
        <v>40</v>
      </c>
      <c r="T952">
        <v>38.4</v>
      </c>
      <c r="U952">
        <v>84.74</v>
      </c>
      <c r="V952" t="b">
        <v>1</v>
      </c>
      <c r="W952" t="s">
        <v>31</v>
      </c>
    </row>
    <row r="953" spans="1:23" x14ac:dyDescent="0.25">
      <c r="A953" t="s">
        <v>68</v>
      </c>
      <c r="B953" t="s">
        <v>76</v>
      </c>
      <c r="C953">
        <v>86.43</v>
      </c>
      <c r="D953">
        <v>208</v>
      </c>
      <c r="E953" t="b">
        <v>1</v>
      </c>
      <c r="F953" t="b">
        <v>1</v>
      </c>
      <c r="G953" t="b">
        <v>1</v>
      </c>
      <c r="H953" t="s">
        <v>34</v>
      </c>
      <c r="I953" t="s">
        <v>44</v>
      </c>
      <c r="J953" t="s">
        <v>50</v>
      </c>
      <c r="K953" t="s">
        <v>39</v>
      </c>
      <c r="L953" t="s">
        <v>37</v>
      </c>
      <c r="M953" t="s">
        <v>39</v>
      </c>
      <c r="N953" t="s">
        <v>39</v>
      </c>
      <c r="O953" t="b">
        <v>0</v>
      </c>
      <c r="P953" t="b">
        <v>0</v>
      </c>
      <c r="Q953">
        <v>7.4</v>
      </c>
      <c r="R953" t="b">
        <v>1</v>
      </c>
      <c r="S953" t="s">
        <v>65</v>
      </c>
      <c r="T953">
        <v>7.4</v>
      </c>
      <c r="U953">
        <v>72.069999999999993</v>
      </c>
      <c r="V953" t="b">
        <v>1</v>
      </c>
      <c r="W953" t="s">
        <v>41</v>
      </c>
    </row>
    <row r="954" spans="1:23" x14ac:dyDescent="0.25">
      <c r="A954" t="s">
        <v>56</v>
      </c>
      <c r="B954" t="s">
        <v>73</v>
      </c>
      <c r="C954">
        <v>63.97</v>
      </c>
      <c r="D954">
        <v>514</v>
      </c>
      <c r="E954" t="b">
        <v>0</v>
      </c>
      <c r="F954" t="b">
        <v>0</v>
      </c>
      <c r="G954" t="b">
        <v>1</v>
      </c>
      <c r="H954" t="s">
        <v>34</v>
      </c>
      <c r="I954" t="s">
        <v>35</v>
      </c>
      <c r="J954" t="s">
        <v>54</v>
      </c>
      <c r="K954" t="s">
        <v>46</v>
      </c>
      <c r="L954" t="s">
        <v>51</v>
      </c>
      <c r="M954" t="s">
        <v>47</v>
      </c>
      <c r="O954" t="b">
        <v>0</v>
      </c>
      <c r="P954" t="b">
        <v>0</v>
      </c>
      <c r="Q954">
        <v>4.5999999999999996</v>
      </c>
      <c r="R954" t="b">
        <v>1</v>
      </c>
      <c r="S954" t="s">
        <v>30</v>
      </c>
      <c r="T954">
        <v>6.7</v>
      </c>
      <c r="U954">
        <v>56.63</v>
      </c>
      <c r="V954" t="b">
        <v>1</v>
      </c>
      <c r="W954" t="s">
        <v>72</v>
      </c>
    </row>
    <row r="955" spans="1:23" x14ac:dyDescent="0.25">
      <c r="A955" t="s">
        <v>61</v>
      </c>
      <c r="B955" t="s">
        <v>33</v>
      </c>
      <c r="C955">
        <v>87.38</v>
      </c>
      <c r="D955">
        <v>430</v>
      </c>
      <c r="E955" t="b">
        <v>1</v>
      </c>
      <c r="F955" t="b">
        <v>1</v>
      </c>
      <c r="G955" t="b">
        <v>1</v>
      </c>
      <c r="H955" t="s">
        <v>25</v>
      </c>
      <c r="I955" t="s">
        <v>67</v>
      </c>
      <c r="J955" t="s">
        <v>27</v>
      </c>
      <c r="K955" t="s">
        <v>46</v>
      </c>
      <c r="L955" t="s">
        <v>37</v>
      </c>
      <c r="M955" t="s">
        <v>39</v>
      </c>
      <c r="N955" t="s">
        <v>46</v>
      </c>
      <c r="P955" t="b">
        <v>1</v>
      </c>
      <c r="Q955">
        <v>9.8000000000000007</v>
      </c>
      <c r="R955" t="b">
        <v>0</v>
      </c>
      <c r="T955">
        <v>0</v>
      </c>
      <c r="U955">
        <v>97.04</v>
      </c>
      <c r="V955" t="b">
        <v>1</v>
      </c>
      <c r="W955" t="s">
        <v>58</v>
      </c>
    </row>
    <row r="956" spans="1:23" x14ac:dyDescent="0.25">
      <c r="A956" t="s">
        <v>74</v>
      </c>
      <c r="B956" t="s">
        <v>33</v>
      </c>
      <c r="C956">
        <v>84.29</v>
      </c>
      <c r="D956">
        <v>528</v>
      </c>
      <c r="E956" t="b">
        <v>0</v>
      </c>
      <c r="F956" t="b">
        <v>1</v>
      </c>
      <c r="G956" t="b">
        <v>1</v>
      </c>
      <c r="H956" t="s">
        <v>53</v>
      </c>
      <c r="I956" t="s">
        <v>35</v>
      </c>
      <c r="J956" t="s">
        <v>45</v>
      </c>
      <c r="K956" t="s">
        <v>28</v>
      </c>
      <c r="L956" t="s">
        <v>37</v>
      </c>
      <c r="M956" t="s">
        <v>39</v>
      </c>
      <c r="P956" t="b">
        <v>0</v>
      </c>
      <c r="Q956">
        <v>7.9</v>
      </c>
      <c r="R956" t="b">
        <v>0</v>
      </c>
      <c r="T956">
        <v>0</v>
      </c>
      <c r="U956">
        <v>94.79</v>
      </c>
      <c r="V956" t="b">
        <v>1</v>
      </c>
      <c r="W956" t="s">
        <v>31</v>
      </c>
    </row>
    <row r="957" spans="1:23" x14ac:dyDescent="0.25">
      <c r="A957" t="s">
        <v>74</v>
      </c>
      <c r="B957" t="s">
        <v>71</v>
      </c>
      <c r="C957">
        <v>45.48</v>
      </c>
      <c r="D957">
        <v>276</v>
      </c>
      <c r="E957" t="b">
        <v>0</v>
      </c>
      <c r="F957" t="b">
        <v>0</v>
      </c>
      <c r="G957" t="b">
        <v>1</v>
      </c>
      <c r="H957" t="s">
        <v>25</v>
      </c>
      <c r="I957" t="s">
        <v>26</v>
      </c>
      <c r="J957" t="s">
        <v>54</v>
      </c>
      <c r="K957" t="s">
        <v>46</v>
      </c>
      <c r="L957" t="s">
        <v>29</v>
      </c>
      <c r="M957" t="s">
        <v>28</v>
      </c>
      <c r="N957" t="s">
        <v>39</v>
      </c>
      <c r="O957" t="b">
        <v>1</v>
      </c>
      <c r="P957" t="b">
        <v>1</v>
      </c>
      <c r="Q957">
        <v>7.9</v>
      </c>
      <c r="R957" t="b">
        <v>0</v>
      </c>
      <c r="T957">
        <v>0</v>
      </c>
      <c r="U957">
        <v>38.53</v>
      </c>
      <c r="V957" t="b">
        <v>0</v>
      </c>
      <c r="W957" t="s">
        <v>31</v>
      </c>
    </row>
    <row r="958" spans="1:23" x14ac:dyDescent="0.25">
      <c r="A958" t="s">
        <v>23</v>
      </c>
      <c r="B958" t="s">
        <v>49</v>
      </c>
      <c r="C958">
        <v>68.7</v>
      </c>
      <c r="D958">
        <v>629</v>
      </c>
      <c r="E958" t="b">
        <v>1</v>
      </c>
      <c r="F958" t="b">
        <v>0</v>
      </c>
      <c r="G958" t="b">
        <v>1</v>
      </c>
      <c r="H958" t="s">
        <v>25</v>
      </c>
      <c r="I958" t="s">
        <v>35</v>
      </c>
      <c r="J958" t="s">
        <v>54</v>
      </c>
      <c r="K958" t="s">
        <v>37</v>
      </c>
      <c r="L958" t="s">
        <v>51</v>
      </c>
      <c r="M958" t="s">
        <v>28</v>
      </c>
      <c r="N958" t="s">
        <v>46</v>
      </c>
      <c r="O958" t="b">
        <v>1</v>
      </c>
      <c r="P958" t="b">
        <v>0</v>
      </c>
      <c r="Q958">
        <v>9.8000000000000007</v>
      </c>
      <c r="R958" t="b">
        <v>0</v>
      </c>
      <c r="T958">
        <v>0</v>
      </c>
      <c r="U958">
        <v>79.77</v>
      </c>
      <c r="V958" t="b">
        <v>1</v>
      </c>
      <c r="W958" t="s">
        <v>58</v>
      </c>
    </row>
    <row r="959" spans="1:23" x14ac:dyDescent="0.25">
      <c r="A959" t="s">
        <v>68</v>
      </c>
      <c r="B959" t="s">
        <v>59</v>
      </c>
      <c r="C959">
        <v>92.66</v>
      </c>
      <c r="D959">
        <v>387</v>
      </c>
      <c r="E959" t="b">
        <v>1</v>
      </c>
      <c r="F959" t="b">
        <v>0</v>
      </c>
      <c r="G959" t="b">
        <v>1</v>
      </c>
      <c r="H959" t="s">
        <v>43</v>
      </c>
      <c r="I959" t="s">
        <v>57</v>
      </c>
      <c r="J959" t="s">
        <v>36</v>
      </c>
      <c r="K959" t="s">
        <v>39</v>
      </c>
      <c r="L959" t="s">
        <v>51</v>
      </c>
      <c r="M959" t="s">
        <v>47</v>
      </c>
      <c r="O959" t="b">
        <v>0</v>
      </c>
      <c r="P959" t="b">
        <v>1</v>
      </c>
      <c r="Q959">
        <v>8.1</v>
      </c>
      <c r="R959" t="b">
        <v>1</v>
      </c>
      <c r="S959" t="s">
        <v>64</v>
      </c>
      <c r="T959">
        <v>43.8</v>
      </c>
      <c r="U959">
        <v>81.75</v>
      </c>
      <c r="V959" t="b">
        <v>1</v>
      </c>
      <c r="W959" t="s">
        <v>31</v>
      </c>
    </row>
    <row r="960" spans="1:23" x14ac:dyDescent="0.25">
      <c r="A960" t="s">
        <v>74</v>
      </c>
      <c r="B960" t="s">
        <v>62</v>
      </c>
      <c r="C960">
        <v>59.89</v>
      </c>
      <c r="D960">
        <v>701</v>
      </c>
      <c r="E960" t="b">
        <v>0</v>
      </c>
      <c r="F960" t="b">
        <v>0</v>
      </c>
      <c r="G960" t="b">
        <v>1</v>
      </c>
      <c r="H960" t="s">
        <v>34</v>
      </c>
      <c r="I960" t="s">
        <v>26</v>
      </c>
      <c r="J960" t="s">
        <v>45</v>
      </c>
      <c r="K960" t="s">
        <v>39</v>
      </c>
      <c r="L960" t="s">
        <v>69</v>
      </c>
      <c r="M960" t="s">
        <v>39</v>
      </c>
      <c r="O960" t="b">
        <v>1</v>
      </c>
      <c r="P960" t="b">
        <v>1</v>
      </c>
      <c r="Q960">
        <v>8.3000000000000007</v>
      </c>
      <c r="R960" t="b">
        <v>1</v>
      </c>
      <c r="S960" t="s">
        <v>75</v>
      </c>
      <c r="T960">
        <v>30.5</v>
      </c>
      <c r="U960">
        <v>62.75</v>
      </c>
      <c r="V960" t="b">
        <v>0</v>
      </c>
      <c r="W960" t="s">
        <v>31</v>
      </c>
    </row>
    <row r="961" spans="1:23" x14ac:dyDescent="0.25">
      <c r="A961" t="s">
        <v>61</v>
      </c>
      <c r="B961" t="s">
        <v>62</v>
      </c>
      <c r="C961">
        <v>69</v>
      </c>
      <c r="D961">
        <v>724</v>
      </c>
      <c r="E961" t="b">
        <v>0</v>
      </c>
      <c r="F961" t="b">
        <v>1</v>
      </c>
      <c r="G961" t="b">
        <v>1</v>
      </c>
      <c r="H961" t="s">
        <v>43</v>
      </c>
      <c r="I961" t="s">
        <v>44</v>
      </c>
      <c r="J961" t="s">
        <v>54</v>
      </c>
      <c r="K961" t="s">
        <v>39</v>
      </c>
      <c r="L961" t="s">
        <v>38</v>
      </c>
      <c r="M961" t="s">
        <v>47</v>
      </c>
      <c r="O961" t="b">
        <v>1</v>
      </c>
      <c r="P961" t="b">
        <v>0</v>
      </c>
      <c r="Q961">
        <v>8.3000000000000007</v>
      </c>
      <c r="R961" t="b">
        <v>1</v>
      </c>
      <c r="S961" t="s">
        <v>30</v>
      </c>
      <c r="T961">
        <v>8</v>
      </c>
      <c r="U961">
        <v>72.650000000000006</v>
      </c>
      <c r="V961" t="b">
        <v>1</v>
      </c>
      <c r="W961" t="s">
        <v>31</v>
      </c>
    </row>
    <row r="962" spans="1:23" x14ac:dyDescent="0.25">
      <c r="A962" t="s">
        <v>68</v>
      </c>
      <c r="B962" t="s">
        <v>66</v>
      </c>
      <c r="C962">
        <v>70.42</v>
      </c>
      <c r="D962">
        <v>268</v>
      </c>
      <c r="E962" t="b">
        <v>0</v>
      </c>
      <c r="F962" t="b">
        <v>1</v>
      </c>
      <c r="G962" t="b">
        <v>0</v>
      </c>
      <c r="H962" t="s">
        <v>34</v>
      </c>
      <c r="I962" t="s">
        <v>26</v>
      </c>
      <c r="J962" t="s">
        <v>54</v>
      </c>
      <c r="K962" t="s">
        <v>28</v>
      </c>
      <c r="L962" t="s">
        <v>29</v>
      </c>
      <c r="M962" t="s">
        <v>39</v>
      </c>
      <c r="N962" t="s">
        <v>39</v>
      </c>
      <c r="O962" t="b">
        <v>1</v>
      </c>
      <c r="P962" t="b">
        <v>1</v>
      </c>
      <c r="Q962">
        <v>8.1999999999999993</v>
      </c>
      <c r="R962" t="b">
        <v>1</v>
      </c>
      <c r="S962" t="s">
        <v>40</v>
      </c>
      <c r="T962">
        <v>3.1</v>
      </c>
      <c r="U962">
        <v>70.39</v>
      </c>
      <c r="V962" t="b">
        <v>1</v>
      </c>
      <c r="W962" t="s">
        <v>31</v>
      </c>
    </row>
    <row r="963" spans="1:23" x14ac:dyDescent="0.25">
      <c r="A963" t="s">
        <v>74</v>
      </c>
      <c r="B963" t="s">
        <v>59</v>
      </c>
      <c r="C963">
        <v>77.34</v>
      </c>
      <c r="D963">
        <v>631</v>
      </c>
      <c r="E963" t="b">
        <v>1</v>
      </c>
      <c r="F963" t="b">
        <v>0</v>
      </c>
      <c r="G963" t="b">
        <v>1</v>
      </c>
      <c r="H963" t="s">
        <v>43</v>
      </c>
      <c r="I963" t="s">
        <v>67</v>
      </c>
      <c r="J963" t="s">
        <v>27</v>
      </c>
      <c r="K963" t="s">
        <v>37</v>
      </c>
      <c r="L963" t="s">
        <v>69</v>
      </c>
      <c r="M963" t="s">
        <v>46</v>
      </c>
      <c r="N963" t="s">
        <v>39</v>
      </c>
      <c r="O963" t="b">
        <v>1</v>
      </c>
      <c r="P963" t="b">
        <v>0</v>
      </c>
      <c r="Q963">
        <v>10</v>
      </c>
      <c r="R963" t="b">
        <v>0</v>
      </c>
      <c r="T963">
        <v>0</v>
      </c>
      <c r="U963">
        <v>67.02</v>
      </c>
      <c r="V963" t="b">
        <v>0</v>
      </c>
      <c r="W963" t="s">
        <v>58</v>
      </c>
    </row>
    <row r="964" spans="1:23" x14ac:dyDescent="0.25">
      <c r="A964" t="s">
        <v>68</v>
      </c>
      <c r="B964" t="s">
        <v>42</v>
      </c>
      <c r="C964">
        <v>70.63</v>
      </c>
      <c r="D964">
        <v>631</v>
      </c>
      <c r="E964" t="b">
        <v>0</v>
      </c>
      <c r="F964" t="b">
        <v>0</v>
      </c>
      <c r="G964" t="b">
        <v>0</v>
      </c>
      <c r="H964" t="s">
        <v>53</v>
      </c>
      <c r="I964" t="s">
        <v>67</v>
      </c>
      <c r="J964" t="s">
        <v>45</v>
      </c>
      <c r="K964" t="s">
        <v>28</v>
      </c>
      <c r="L964" t="s">
        <v>37</v>
      </c>
      <c r="M964" t="s">
        <v>28</v>
      </c>
      <c r="N964" t="s">
        <v>46</v>
      </c>
      <c r="P964" t="b">
        <v>0</v>
      </c>
      <c r="Q964">
        <v>8.4</v>
      </c>
      <c r="R964" t="b">
        <v>0</v>
      </c>
      <c r="T964">
        <v>0</v>
      </c>
      <c r="U964">
        <v>85.13</v>
      </c>
      <c r="V964" t="b">
        <v>1</v>
      </c>
      <c r="W964" t="s">
        <v>58</v>
      </c>
    </row>
    <row r="965" spans="1:23" x14ac:dyDescent="0.25">
      <c r="A965" t="s">
        <v>61</v>
      </c>
      <c r="B965" t="s">
        <v>59</v>
      </c>
      <c r="C965">
        <v>80.349999999999994</v>
      </c>
      <c r="D965">
        <v>171</v>
      </c>
      <c r="E965" t="b">
        <v>0</v>
      </c>
      <c r="F965" t="b">
        <v>1</v>
      </c>
      <c r="G965" t="b">
        <v>0</v>
      </c>
      <c r="H965" t="s">
        <v>43</v>
      </c>
      <c r="I965" t="s">
        <v>44</v>
      </c>
      <c r="J965" t="s">
        <v>27</v>
      </c>
      <c r="K965" t="s">
        <v>39</v>
      </c>
      <c r="L965" t="s">
        <v>37</v>
      </c>
      <c r="M965" t="s">
        <v>28</v>
      </c>
      <c r="P965" t="b">
        <v>1</v>
      </c>
      <c r="Q965">
        <v>7.9</v>
      </c>
      <c r="R965" t="b">
        <v>1</v>
      </c>
      <c r="S965" t="s">
        <v>64</v>
      </c>
      <c r="T965">
        <v>32</v>
      </c>
      <c r="U965">
        <v>75.27</v>
      </c>
      <c r="V965" t="b">
        <v>1</v>
      </c>
      <c r="W965" t="s">
        <v>41</v>
      </c>
    </row>
    <row r="966" spans="1:23" x14ac:dyDescent="0.25">
      <c r="A966" t="s">
        <v>68</v>
      </c>
      <c r="B966" t="s">
        <v>71</v>
      </c>
      <c r="C966">
        <v>41.66</v>
      </c>
      <c r="D966">
        <v>551</v>
      </c>
      <c r="E966" t="b">
        <v>1</v>
      </c>
      <c r="F966" t="b">
        <v>0</v>
      </c>
      <c r="G966" t="b">
        <v>0</v>
      </c>
      <c r="H966" t="s">
        <v>34</v>
      </c>
      <c r="I966" t="s">
        <v>63</v>
      </c>
      <c r="J966" t="s">
        <v>45</v>
      </c>
      <c r="K966" t="s">
        <v>28</v>
      </c>
      <c r="L966" t="s">
        <v>37</v>
      </c>
      <c r="M966" t="s">
        <v>46</v>
      </c>
      <c r="O966" t="b">
        <v>1</v>
      </c>
      <c r="P966" t="b">
        <v>1</v>
      </c>
      <c r="Q966">
        <v>7.1</v>
      </c>
      <c r="R966" t="b">
        <v>1</v>
      </c>
      <c r="S966" t="s">
        <v>30</v>
      </c>
      <c r="T966">
        <v>8.6999999999999993</v>
      </c>
      <c r="U966">
        <v>24.24</v>
      </c>
      <c r="V966" t="b">
        <v>0</v>
      </c>
      <c r="W966" t="s">
        <v>41</v>
      </c>
    </row>
    <row r="967" spans="1:23" x14ac:dyDescent="0.25">
      <c r="A967" t="s">
        <v>32</v>
      </c>
      <c r="B967" t="s">
        <v>71</v>
      </c>
      <c r="C967">
        <v>54.89</v>
      </c>
      <c r="D967">
        <v>108</v>
      </c>
      <c r="E967" t="b">
        <v>1</v>
      </c>
      <c r="F967" t="b">
        <v>1</v>
      </c>
      <c r="G967" t="b">
        <v>1</v>
      </c>
      <c r="H967" t="s">
        <v>34</v>
      </c>
      <c r="I967" t="s">
        <v>57</v>
      </c>
      <c r="J967" t="s">
        <v>54</v>
      </c>
      <c r="K967" t="s">
        <v>46</v>
      </c>
      <c r="L967" t="s">
        <v>69</v>
      </c>
      <c r="M967" t="s">
        <v>28</v>
      </c>
      <c r="P967" t="b">
        <v>0</v>
      </c>
      <c r="Q967">
        <v>7.3</v>
      </c>
      <c r="R967" t="b">
        <v>0</v>
      </c>
      <c r="T967">
        <v>0</v>
      </c>
      <c r="U967">
        <v>42.88</v>
      </c>
      <c r="V967" t="b">
        <v>0</v>
      </c>
      <c r="W967" t="s">
        <v>31</v>
      </c>
    </row>
    <row r="968" spans="1:23" x14ac:dyDescent="0.25">
      <c r="A968" t="s">
        <v>68</v>
      </c>
      <c r="B968" t="s">
        <v>49</v>
      </c>
      <c r="C968">
        <v>67.02</v>
      </c>
      <c r="D968">
        <v>105</v>
      </c>
      <c r="E968" t="b">
        <v>1</v>
      </c>
      <c r="F968" t="b">
        <v>1</v>
      </c>
      <c r="G968" t="b">
        <v>1</v>
      </c>
      <c r="H968" t="s">
        <v>25</v>
      </c>
      <c r="I968" t="s">
        <v>26</v>
      </c>
      <c r="J968" t="s">
        <v>27</v>
      </c>
      <c r="K968" t="s">
        <v>37</v>
      </c>
      <c r="L968" t="s">
        <v>37</v>
      </c>
      <c r="M968" t="s">
        <v>28</v>
      </c>
      <c r="N968" t="s">
        <v>46</v>
      </c>
      <c r="O968" t="b">
        <v>1</v>
      </c>
      <c r="P968" t="b">
        <v>1</v>
      </c>
      <c r="Q968">
        <v>9.5</v>
      </c>
      <c r="R968" t="b">
        <v>0</v>
      </c>
      <c r="T968">
        <v>0</v>
      </c>
      <c r="U968">
        <v>59.94</v>
      </c>
      <c r="V968" t="b">
        <v>0</v>
      </c>
      <c r="W968" t="s">
        <v>58</v>
      </c>
    </row>
    <row r="969" spans="1:23" x14ac:dyDescent="0.25">
      <c r="A969" t="s">
        <v>61</v>
      </c>
      <c r="B969" t="s">
        <v>71</v>
      </c>
      <c r="C969">
        <v>48.62</v>
      </c>
      <c r="D969">
        <v>442</v>
      </c>
      <c r="E969" t="b">
        <v>1</v>
      </c>
      <c r="F969" t="b">
        <v>1</v>
      </c>
      <c r="G969" t="b">
        <v>0</v>
      </c>
      <c r="H969" t="s">
        <v>53</v>
      </c>
      <c r="I969" t="s">
        <v>63</v>
      </c>
      <c r="J969" t="s">
        <v>50</v>
      </c>
      <c r="K969" t="s">
        <v>28</v>
      </c>
      <c r="L969" t="s">
        <v>29</v>
      </c>
      <c r="M969" t="s">
        <v>28</v>
      </c>
      <c r="N969" t="s">
        <v>39</v>
      </c>
      <c r="P969" t="b">
        <v>0</v>
      </c>
      <c r="Q969">
        <v>6.6</v>
      </c>
      <c r="R969" t="b">
        <v>0</v>
      </c>
      <c r="T969">
        <v>0</v>
      </c>
      <c r="U969">
        <v>42.55</v>
      </c>
      <c r="V969" t="b">
        <v>0</v>
      </c>
      <c r="W969" t="s">
        <v>31</v>
      </c>
    </row>
    <row r="970" spans="1:23" x14ac:dyDescent="0.25">
      <c r="A970" t="s">
        <v>56</v>
      </c>
      <c r="B970" t="s">
        <v>76</v>
      </c>
      <c r="C970">
        <v>83.86</v>
      </c>
      <c r="D970">
        <v>353</v>
      </c>
      <c r="E970" t="b">
        <v>1</v>
      </c>
      <c r="F970" t="b">
        <v>1</v>
      </c>
      <c r="G970" t="b">
        <v>1</v>
      </c>
      <c r="H970" t="s">
        <v>43</v>
      </c>
      <c r="I970" t="s">
        <v>35</v>
      </c>
      <c r="J970" t="s">
        <v>27</v>
      </c>
      <c r="K970" t="s">
        <v>46</v>
      </c>
      <c r="L970" t="s">
        <v>29</v>
      </c>
      <c r="M970" t="s">
        <v>39</v>
      </c>
      <c r="N970" t="s">
        <v>28</v>
      </c>
      <c r="O970" t="b">
        <v>1</v>
      </c>
      <c r="P970" t="b">
        <v>0</v>
      </c>
      <c r="Q970">
        <v>10</v>
      </c>
      <c r="R970" t="b">
        <v>0</v>
      </c>
      <c r="T970">
        <v>0</v>
      </c>
      <c r="U970">
        <v>75.37</v>
      </c>
      <c r="V970" t="b">
        <v>0</v>
      </c>
      <c r="W970" t="s">
        <v>58</v>
      </c>
    </row>
    <row r="971" spans="1:23" x14ac:dyDescent="0.25">
      <c r="A971" t="s">
        <v>68</v>
      </c>
      <c r="B971" t="s">
        <v>60</v>
      </c>
      <c r="C971">
        <v>42.42</v>
      </c>
      <c r="D971">
        <v>666</v>
      </c>
      <c r="E971" t="b">
        <v>0</v>
      </c>
      <c r="F971" t="b">
        <v>0</v>
      </c>
      <c r="G971" t="b">
        <v>1</v>
      </c>
      <c r="H971" t="s">
        <v>25</v>
      </c>
      <c r="I971" t="s">
        <v>35</v>
      </c>
      <c r="J971" t="s">
        <v>27</v>
      </c>
      <c r="K971" t="s">
        <v>46</v>
      </c>
      <c r="L971" t="s">
        <v>38</v>
      </c>
      <c r="M971" t="s">
        <v>47</v>
      </c>
      <c r="N971" t="s">
        <v>46</v>
      </c>
      <c r="P971" t="b">
        <v>1</v>
      </c>
      <c r="Q971">
        <v>4.9000000000000004</v>
      </c>
      <c r="R971" t="b">
        <v>1</v>
      </c>
      <c r="S971" t="s">
        <v>65</v>
      </c>
      <c r="T971">
        <v>7.3</v>
      </c>
      <c r="U971">
        <v>52.95</v>
      </c>
      <c r="V971" t="b">
        <v>1</v>
      </c>
      <c r="W971" t="s">
        <v>72</v>
      </c>
    </row>
    <row r="972" spans="1:23" x14ac:dyDescent="0.25">
      <c r="A972" t="s">
        <v>61</v>
      </c>
      <c r="B972" t="s">
        <v>73</v>
      </c>
      <c r="C972">
        <v>56.66</v>
      </c>
      <c r="D972">
        <v>377</v>
      </c>
      <c r="E972" t="b">
        <v>0</v>
      </c>
      <c r="F972" t="b">
        <v>0</v>
      </c>
      <c r="G972" t="b">
        <v>1</v>
      </c>
      <c r="H972" t="s">
        <v>43</v>
      </c>
      <c r="I972" t="s">
        <v>57</v>
      </c>
      <c r="J972" t="s">
        <v>36</v>
      </c>
      <c r="K972" t="s">
        <v>37</v>
      </c>
      <c r="L972" t="s">
        <v>29</v>
      </c>
      <c r="M972" t="s">
        <v>28</v>
      </c>
      <c r="N972" t="s">
        <v>28</v>
      </c>
      <c r="O972" t="b">
        <v>1</v>
      </c>
      <c r="P972" t="b">
        <v>1</v>
      </c>
      <c r="Q972">
        <v>7.9</v>
      </c>
      <c r="R972" t="b">
        <v>1</v>
      </c>
      <c r="S972" t="s">
        <v>40</v>
      </c>
      <c r="T972">
        <v>38.200000000000003</v>
      </c>
      <c r="U972">
        <v>41.83</v>
      </c>
      <c r="V972" t="b">
        <v>0</v>
      </c>
      <c r="W972" t="s">
        <v>41</v>
      </c>
    </row>
    <row r="973" spans="1:23" x14ac:dyDescent="0.25">
      <c r="A973" t="s">
        <v>32</v>
      </c>
      <c r="B973" t="s">
        <v>66</v>
      </c>
      <c r="C973">
        <v>69.31</v>
      </c>
      <c r="D973">
        <v>100</v>
      </c>
      <c r="E973" t="b">
        <v>0</v>
      </c>
      <c r="F973" t="b">
        <v>0</v>
      </c>
      <c r="G973" t="b">
        <v>1</v>
      </c>
      <c r="H973" t="s">
        <v>53</v>
      </c>
      <c r="I973" t="s">
        <v>35</v>
      </c>
      <c r="J973" t="s">
        <v>45</v>
      </c>
      <c r="K973" t="s">
        <v>39</v>
      </c>
      <c r="L973" t="s">
        <v>38</v>
      </c>
      <c r="M973" t="s">
        <v>39</v>
      </c>
      <c r="N973" t="s">
        <v>28</v>
      </c>
      <c r="P973" t="b">
        <v>1</v>
      </c>
      <c r="Q973">
        <v>7</v>
      </c>
      <c r="R973" t="b">
        <v>0</v>
      </c>
      <c r="T973">
        <v>0</v>
      </c>
      <c r="U973">
        <v>65.760000000000005</v>
      </c>
      <c r="V973" t="b">
        <v>1</v>
      </c>
      <c r="W973" t="s">
        <v>31</v>
      </c>
    </row>
    <row r="974" spans="1:23" x14ac:dyDescent="0.25">
      <c r="A974" t="s">
        <v>61</v>
      </c>
      <c r="B974" t="s">
        <v>60</v>
      </c>
      <c r="C974">
        <v>57.41</v>
      </c>
      <c r="D974">
        <v>299</v>
      </c>
      <c r="E974" t="b">
        <v>0</v>
      </c>
      <c r="F974" t="b">
        <v>0</v>
      </c>
      <c r="G974" t="b">
        <v>0</v>
      </c>
      <c r="H974" t="s">
        <v>34</v>
      </c>
      <c r="I974" t="s">
        <v>44</v>
      </c>
      <c r="J974" t="s">
        <v>27</v>
      </c>
      <c r="K974" t="s">
        <v>46</v>
      </c>
      <c r="L974" t="s">
        <v>69</v>
      </c>
      <c r="M974" t="s">
        <v>47</v>
      </c>
      <c r="N974" t="s">
        <v>46</v>
      </c>
      <c r="O974" t="b">
        <v>0</v>
      </c>
      <c r="P974" t="b">
        <v>1</v>
      </c>
      <c r="Q974">
        <v>4.7</v>
      </c>
      <c r="R974" t="b">
        <v>1</v>
      </c>
      <c r="S974" t="s">
        <v>40</v>
      </c>
      <c r="T974">
        <v>26.2</v>
      </c>
      <c r="U974">
        <v>71.09</v>
      </c>
      <c r="V974" t="b">
        <v>0</v>
      </c>
      <c r="W974" t="s">
        <v>72</v>
      </c>
    </row>
    <row r="975" spans="1:23" x14ac:dyDescent="0.25">
      <c r="A975" t="s">
        <v>23</v>
      </c>
      <c r="B975" t="s">
        <v>62</v>
      </c>
      <c r="C975">
        <v>53.51</v>
      </c>
      <c r="D975">
        <v>364</v>
      </c>
      <c r="E975" t="b">
        <v>1</v>
      </c>
      <c r="F975" t="b">
        <v>0</v>
      </c>
      <c r="G975" t="b">
        <v>0</v>
      </c>
      <c r="H975" t="s">
        <v>25</v>
      </c>
      <c r="I975" t="s">
        <v>57</v>
      </c>
      <c r="J975" t="s">
        <v>50</v>
      </c>
      <c r="K975" t="s">
        <v>46</v>
      </c>
      <c r="L975" t="s">
        <v>69</v>
      </c>
      <c r="M975" t="s">
        <v>39</v>
      </c>
      <c r="P975" t="b">
        <v>0</v>
      </c>
      <c r="Q975">
        <v>7.6</v>
      </c>
      <c r="R975" t="b">
        <v>1</v>
      </c>
      <c r="S975" t="s">
        <v>65</v>
      </c>
      <c r="T975">
        <v>6.6</v>
      </c>
      <c r="U975">
        <v>65.19</v>
      </c>
      <c r="V975" t="b">
        <v>1</v>
      </c>
      <c r="W975" t="s">
        <v>41</v>
      </c>
    </row>
    <row r="976" spans="1:23" x14ac:dyDescent="0.25">
      <c r="A976" t="s">
        <v>23</v>
      </c>
      <c r="B976" t="s">
        <v>73</v>
      </c>
      <c r="C976">
        <v>64.489999999999995</v>
      </c>
      <c r="D976">
        <v>604</v>
      </c>
      <c r="E976" t="b">
        <v>1</v>
      </c>
      <c r="F976" t="b">
        <v>1</v>
      </c>
      <c r="G976" t="b">
        <v>1</v>
      </c>
      <c r="H976" t="s">
        <v>43</v>
      </c>
      <c r="I976" t="s">
        <v>44</v>
      </c>
      <c r="J976" t="s">
        <v>54</v>
      </c>
      <c r="K976" t="s">
        <v>46</v>
      </c>
      <c r="L976" t="s">
        <v>51</v>
      </c>
      <c r="M976" t="s">
        <v>28</v>
      </c>
      <c r="N976" t="s">
        <v>39</v>
      </c>
      <c r="P976" t="b">
        <v>1</v>
      </c>
      <c r="Q976">
        <v>8.6</v>
      </c>
      <c r="R976" t="b">
        <v>1</v>
      </c>
      <c r="S976" t="s">
        <v>40</v>
      </c>
      <c r="T976">
        <v>29.1</v>
      </c>
      <c r="U976">
        <v>64.06</v>
      </c>
      <c r="V976" t="b">
        <v>0</v>
      </c>
      <c r="W976" t="s">
        <v>31</v>
      </c>
    </row>
    <row r="977" spans="1:23" x14ac:dyDescent="0.25">
      <c r="A977" t="s">
        <v>23</v>
      </c>
      <c r="B977" t="s">
        <v>24</v>
      </c>
      <c r="C977">
        <v>92.33</v>
      </c>
      <c r="D977">
        <v>53</v>
      </c>
      <c r="E977" t="b">
        <v>0</v>
      </c>
      <c r="F977" t="b">
        <v>0</v>
      </c>
      <c r="G977" t="b">
        <v>0</v>
      </c>
      <c r="H977" t="s">
        <v>43</v>
      </c>
      <c r="I977" t="s">
        <v>57</v>
      </c>
      <c r="J977" t="s">
        <v>50</v>
      </c>
      <c r="K977" t="s">
        <v>39</v>
      </c>
      <c r="L977" t="s">
        <v>38</v>
      </c>
      <c r="M977" t="s">
        <v>28</v>
      </c>
      <c r="N977" t="s">
        <v>28</v>
      </c>
      <c r="O977" t="b">
        <v>1</v>
      </c>
      <c r="P977" t="b">
        <v>1</v>
      </c>
      <c r="Q977">
        <v>10</v>
      </c>
      <c r="R977" t="b">
        <v>1</v>
      </c>
      <c r="S977" t="s">
        <v>55</v>
      </c>
      <c r="T977">
        <v>23.3</v>
      </c>
      <c r="U977">
        <v>100</v>
      </c>
      <c r="V977" t="b">
        <v>1</v>
      </c>
      <c r="W977" t="s">
        <v>31</v>
      </c>
    </row>
    <row r="978" spans="1:23" x14ac:dyDescent="0.25">
      <c r="A978" t="s">
        <v>68</v>
      </c>
      <c r="B978" t="s">
        <v>42</v>
      </c>
      <c r="C978">
        <v>66.760000000000005</v>
      </c>
      <c r="D978">
        <v>642</v>
      </c>
      <c r="E978" t="b">
        <v>0</v>
      </c>
      <c r="F978" t="b">
        <v>0</v>
      </c>
      <c r="G978" t="b">
        <v>1</v>
      </c>
      <c r="H978" t="s">
        <v>34</v>
      </c>
      <c r="I978" t="s">
        <v>67</v>
      </c>
      <c r="J978" t="s">
        <v>50</v>
      </c>
      <c r="K978" t="s">
        <v>28</v>
      </c>
      <c r="L978" t="s">
        <v>51</v>
      </c>
      <c r="M978" t="s">
        <v>28</v>
      </c>
      <c r="O978" t="b">
        <v>1</v>
      </c>
      <c r="P978" t="b">
        <v>0</v>
      </c>
      <c r="Q978">
        <v>9.1999999999999993</v>
      </c>
      <c r="R978" t="b">
        <v>0</v>
      </c>
      <c r="T978">
        <v>0</v>
      </c>
      <c r="U978">
        <v>78.95</v>
      </c>
      <c r="V978" t="b">
        <v>1</v>
      </c>
      <c r="W978" t="s">
        <v>58</v>
      </c>
    </row>
    <row r="979" spans="1:23" x14ac:dyDescent="0.25">
      <c r="A979" t="s">
        <v>61</v>
      </c>
      <c r="B979" t="s">
        <v>71</v>
      </c>
      <c r="C979">
        <v>43.08</v>
      </c>
      <c r="D979">
        <v>552</v>
      </c>
      <c r="E979" t="b">
        <v>1</v>
      </c>
      <c r="F979" t="b">
        <v>0</v>
      </c>
      <c r="G979" t="b">
        <v>0</v>
      </c>
      <c r="H979" t="s">
        <v>53</v>
      </c>
      <c r="I979" t="s">
        <v>67</v>
      </c>
      <c r="J979" t="s">
        <v>54</v>
      </c>
      <c r="K979" t="s">
        <v>39</v>
      </c>
      <c r="L979" t="s">
        <v>29</v>
      </c>
      <c r="M979" t="s">
        <v>46</v>
      </c>
      <c r="N979" t="s">
        <v>46</v>
      </c>
      <c r="O979" t="b">
        <v>0</v>
      </c>
      <c r="P979" t="b">
        <v>1</v>
      </c>
      <c r="Q979">
        <v>3.8</v>
      </c>
      <c r="R979" t="b">
        <v>1</v>
      </c>
      <c r="S979" t="s">
        <v>40</v>
      </c>
      <c r="T979">
        <v>22.7</v>
      </c>
      <c r="U979">
        <v>25.05</v>
      </c>
      <c r="V979" t="b">
        <v>1</v>
      </c>
      <c r="W979" t="s">
        <v>72</v>
      </c>
    </row>
    <row r="980" spans="1:23" x14ac:dyDescent="0.25">
      <c r="A980" t="s">
        <v>74</v>
      </c>
      <c r="B980" t="s">
        <v>73</v>
      </c>
      <c r="C980">
        <v>69.37</v>
      </c>
      <c r="D980">
        <v>276</v>
      </c>
      <c r="E980" t="b">
        <v>0</v>
      </c>
      <c r="F980" t="b">
        <v>1</v>
      </c>
      <c r="G980" t="b">
        <v>0</v>
      </c>
      <c r="H980" t="s">
        <v>53</v>
      </c>
      <c r="I980" t="s">
        <v>67</v>
      </c>
      <c r="J980" t="s">
        <v>54</v>
      </c>
      <c r="K980" t="s">
        <v>28</v>
      </c>
      <c r="L980" t="s">
        <v>29</v>
      </c>
      <c r="M980" t="s">
        <v>46</v>
      </c>
      <c r="N980" t="s">
        <v>46</v>
      </c>
      <c r="O980" t="b">
        <v>0</v>
      </c>
      <c r="P980" t="b">
        <v>1</v>
      </c>
      <c r="Q980">
        <v>6.2</v>
      </c>
      <c r="R980" t="b">
        <v>0</v>
      </c>
      <c r="T980">
        <v>0</v>
      </c>
      <c r="U980">
        <v>70.84</v>
      </c>
      <c r="V980" t="b">
        <v>1</v>
      </c>
      <c r="W980" t="s">
        <v>31</v>
      </c>
    </row>
    <row r="981" spans="1:23" x14ac:dyDescent="0.25">
      <c r="A981" t="s">
        <v>56</v>
      </c>
      <c r="B981" t="s">
        <v>66</v>
      </c>
      <c r="C981">
        <v>60.59</v>
      </c>
      <c r="D981">
        <v>123</v>
      </c>
      <c r="E981" t="b">
        <v>1</v>
      </c>
      <c r="F981" t="b">
        <v>0</v>
      </c>
      <c r="G981" t="b">
        <v>1</v>
      </c>
      <c r="H981" t="s">
        <v>34</v>
      </c>
      <c r="I981" t="s">
        <v>67</v>
      </c>
      <c r="J981" t="s">
        <v>54</v>
      </c>
      <c r="K981" t="s">
        <v>37</v>
      </c>
      <c r="L981" t="s">
        <v>69</v>
      </c>
      <c r="M981" t="s">
        <v>47</v>
      </c>
      <c r="N981" t="s">
        <v>46</v>
      </c>
      <c r="P981" t="b">
        <v>1</v>
      </c>
      <c r="Q981">
        <v>6.5</v>
      </c>
      <c r="R981" t="b">
        <v>1</v>
      </c>
      <c r="S981" t="s">
        <v>48</v>
      </c>
      <c r="T981">
        <v>29.5</v>
      </c>
      <c r="U981">
        <v>47.43</v>
      </c>
      <c r="V981" t="b">
        <v>1</v>
      </c>
      <c r="W981" t="s">
        <v>41</v>
      </c>
    </row>
    <row r="982" spans="1:23" x14ac:dyDescent="0.25">
      <c r="A982" t="s">
        <v>74</v>
      </c>
      <c r="B982" t="s">
        <v>66</v>
      </c>
      <c r="C982">
        <v>59.4</v>
      </c>
      <c r="D982">
        <v>324</v>
      </c>
      <c r="E982" t="b">
        <v>0</v>
      </c>
      <c r="F982" t="b">
        <v>0</v>
      </c>
      <c r="G982" t="b">
        <v>1</v>
      </c>
      <c r="H982" t="s">
        <v>34</v>
      </c>
      <c r="I982" t="s">
        <v>57</v>
      </c>
      <c r="J982" t="s">
        <v>27</v>
      </c>
      <c r="K982" t="s">
        <v>39</v>
      </c>
      <c r="L982" t="s">
        <v>37</v>
      </c>
      <c r="M982" t="s">
        <v>28</v>
      </c>
      <c r="P982" t="b">
        <v>1</v>
      </c>
      <c r="Q982">
        <v>6.4</v>
      </c>
      <c r="R982" t="b">
        <v>0</v>
      </c>
      <c r="T982">
        <v>0</v>
      </c>
      <c r="U982">
        <v>49.86</v>
      </c>
      <c r="V982" t="b">
        <v>1</v>
      </c>
      <c r="W982" t="s">
        <v>31</v>
      </c>
    </row>
    <row r="983" spans="1:23" x14ac:dyDescent="0.25">
      <c r="A983" t="s">
        <v>23</v>
      </c>
      <c r="B983" t="s">
        <v>33</v>
      </c>
      <c r="C983">
        <v>75.05</v>
      </c>
      <c r="D983">
        <v>375</v>
      </c>
      <c r="E983" t="b">
        <v>0</v>
      </c>
      <c r="F983" t="b">
        <v>0</v>
      </c>
      <c r="G983" t="b">
        <v>0</v>
      </c>
      <c r="H983" t="s">
        <v>25</v>
      </c>
      <c r="I983" t="s">
        <v>35</v>
      </c>
      <c r="J983" t="s">
        <v>36</v>
      </c>
      <c r="K983" t="s">
        <v>46</v>
      </c>
      <c r="L983" t="s">
        <v>69</v>
      </c>
      <c r="M983" t="s">
        <v>39</v>
      </c>
      <c r="N983" t="s">
        <v>28</v>
      </c>
      <c r="O983" t="b">
        <v>1</v>
      </c>
      <c r="P983" t="b">
        <v>1</v>
      </c>
      <c r="Q983">
        <v>9.6</v>
      </c>
      <c r="R983" t="b">
        <v>1</v>
      </c>
      <c r="S983" t="s">
        <v>65</v>
      </c>
      <c r="T983">
        <v>3.8</v>
      </c>
      <c r="U983">
        <v>67.680000000000007</v>
      </c>
      <c r="V983" t="b">
        <v>0</v>
      </c>
      <c r="W983" t="s">
        <v>31</v>
      </c>
    </row>
    <row r="984" spans="1:23" x14ac:dyDescent="0.25">
      <c r="A984" t="s">
        <v>32</v>
      </c>
      <c r="B984" t="s">
        <v>62</v>
      </c>
      <c r="C984">
        <v>64.95</v>
      </c>
      <c r="D984">
        <v>585</v>
      </c>
      <c r="E984" t="b">
        <v>0</v>
      </c>
      <c r="F984" t="b">
        <v>0</v>
      </c>
      <c r="G984" t="b">
        <v>0</v>
      </c>
      <c r="H984" t="s">
        <v>53</v>
      </c>
      <c r="I984" t="s">
        <v>67</v>
      </c>
      <c r="J984" t="s">
        <v>45</v>
      </c>
      <c r="K984" t="s">
        <v>46</v>
      </c>
      <c r="L984" t="s">
        <v>69</v>
      </c>
      <c r="M984" t="s">
        <v>39</v>
      </c>
      <c r="N984" t="s">
        <v>39</v>
      </c>
      <c r="O984" t="b">
        <v>0</v>
      </c>
      <c r="P984" t="b">
        <v>1</v>
      </c>
      <c r="Q984">
        <v>7.2</v>
      </c>
      <c r="R984" t="b">
        <v>1</v>
      </c>
      <c r="S984" t="s">
        <v>64</v>
      </c>
      <c r="T984">
        <v>18.600000000000001</v>
      </c>
      <c r="U984">
        <v>57.99</v>
      </c>
      <c r="V984" t="b">
        <v>1</v>
      </c>
      <c r="W984" t="s">
        <v>41</v>
      </c>
    </row>
    <row r="985" spans="1:23" x14ac:dyDescent="0.25">
      <c r="A985" t="s">
        <v>61</v>
      </c>
      <c r="B985" t="s">
        <v>24</v>
      </c>
      <c r="C985">
        <v>98</v>
      </c>
      <c r="D985">
        <v>122</v>
      </c>
      <c r="E985" t="b">
        <v>0</v>
      </c>
      <c r="F985" t="b">
        <v>1</v>
      </c>
      <c r="G985" t="b">
        <v>0</v>
      </c>
      <c r="H985" t="s">
        <v>53</v>
      </c>
      <c r="I985" t="s">
        <v>26</v>
      </c>
      <c r="J985" t="s">
        <v>50</v>
      </c>
      <c r="K985" t="s">
        <v>28</v>
      </c>
      <c r="L985" t="s">
        <v>51</v>
      </c>
      <c r="M985" t="s">
        <v>46</v>
      </c>
      <c r="P985" t="b">
        <v>0</v>
      </c>
      <c r="Q985">
        <v>10</v>
      </c>
      <c r="R985" t="b">
        <v>1</v>
      </c>
      <c r="S985" t="s">
        <v>64</v>
      </c>
      <c r="T985">
        <v>20.3</v>
      </c>
      <c r="U985">
        <v>86.65</v>
      </c>
      <c r="V985" t="b">
        <v>1</v>
      </c>
      <c r="W985" t="s">
        <v>31</v>
      </c>
    </row>
    <row r="986" spans="1:23" x14ac:dyDescent="0.25">
      <c r="A986" t="s">
        <v>74</v>
      </c>
      <c r="B986" t="s">
        <v>76</v>
      </c>
      <c r="C986">
        <v>73.42</v>
      </c>
      <c r="D986">
        <v>217</v>
      </c>
      <c r="E986" t="b">
        <v>1</v>
      </c>
      <c r="F986" t="b">
        <v>0</v>
      </c>
      <c r="G986" t="b">
        <v>0</v>
      </c>
      <c r="H986" t="s">
        <v>53</v>
      </c>
      <c r="I986" t="s">
        <v>35</v>
      </c>
      <c r="J986" t="s">
        <v>27</v>
      </c>
      <c r="K986" t="s">
        <v>46</v>
      </c>
      <c r="L986" t="s">
        <v>38</v>
      </c>
      <c r="M986" t="s">
        <v>46</v>
      </c>
      <c r="N986" t="s">
        <v>46</v>
      </c>
      <c r="O986" t="b">
        <v>1</v>
      </c>
      <c r="P986" t="b">
        <v>0</v>
      </c>
      <c r="Q986">
        <v>10</v>
      </c>
      <c r="R986" t="b">
        <v>1</v>
      </c>
      <c r="S986" t="s">
        <v>55</v>
      </c>
      <c r="T986">
        <v>24.8</v>
      </c>
      <c r="U986">
        <v>60.13</v>
      </c>
      <c r="V986" t="b">
        <v>0</v>
      </c>
      <c r="W986" t="s">
        <v>31</v>
      </c>
    </row>
    <row r="987" spans="1:23" x14ac:dyDescent="0.25">
      <c r="A987" t="s">
        <v>68</v>
      </c>
      <c r="B987" t="s">
        <v>73</v>
      </c>
      <c r="C987">
        <v>49.05</v>
      </c>
      <c r="D987">
        <v>241</v>
      </c>
      <c r="E987" t="b">
        <v>0</v>
      </c>
      <c r="F987" t="b">
        <v>1</v>
      </c>
      <c r="G987" t="b">
        <v>0</v>
      </c>
      <c r="H987" t="s">
        <v>43</v>
      </c>
      <c r="I987" t="s">
        <v>44</v>
      </c>
      <c r="J987" t="s">
        <v>27</v>
      </c>
      <c r="K987" t="s">
        <v>39</v>
      </c>
      <c r="L987" t="s">
        <v>37</v>
      </c>
      <c r="M987" t="s">
        <v>28</v>
      </c>
      <c r="P987" t="b">
        <v>0</v>
      </c>
      <c r="Q987">
        <v>4.5999999999999996</v>
      </c>
      <c r="R987" t="b">
        <v>1</v>
      </c>
      <c r="S987" t="s">
        <v>30</v>
      </c>
      <c r="T987">
        <v>40.6</v>
      </c>
      <c r="U987">
        <v>39.11</v>
      </c>
      <c r="V987" t="b">
        <v>1</v>
      </c>
      <c r="W987" t="s">
        <v>72</v>
      </c>
    </row>
    <row r="988" spans="1:23" x14ac:dyDescent="0.25">
      <c r="A988" t="s">
        <v>61</v>
      </c>
      <c r="B988" t="s">
        <v>76</v>
      </c>
      <c r="C988">
        <v>81.39</v>
      </c>
      <c r="D988">
        <v>410</v>
      </c>
      <c r="E988" t="b">
        <v>1</v>
      </c>
      <c r="F988" t="b">
        <v>1</v>
      </c>
      <c r="G988" t="b">
        <v>0</v>
      </c>
      <c r="H988" t="s">
        <v>34</v>
      </c>
      <c r="I988" t="s">
        <v>57</v>
      </c>
      <c r="J988" t="s">
        <v>54</v>
      </c>
      <c r="K988" t="s">
        <v>28</v>
      </c>
      <c r="L988" t="s">
        <v>29</v>
      </c>
      <c r="M988" t="s">
        <v>46</v>
      </c>
      <c r="N988" t="s">
        <v>28</v>
      </c>
      <c r="P988" t="b">
        <v>0</v>
      </c>
      <c r="Q988">
        <v>9.1</v>
      </c>
      <c r="R988" t="b">
        <v>0</v>
      </c>
      <c r="T988">
        <v>0</v>
      </c>
      <c r="U988">
        <v>79.819999999999993</v>
      </c>
      <c r="V988" t="b">
        <v>1</v>
      </c>
      <c r="W988" t="s">
        <v>58</v>
      </c>
    </row>
    <row r="989" spans="1:23" x14ac:dyDescent="0.25">
      <c r="A989" t="s">
        <v>23</v>
      </c>
      <c r="B989" t="s">
        <v>60</v>
      </c>
      <c r="C989">
        <v>51.91</v>
      </c>
      <c r="D989">
        <v>403</v>
      </c>
      <c r="E989" t="b">
        <v>1</v>
      </c>
      <c r="F989" t="b">
        <v>1</v>
      </c>
      <c r="G989" t="b">
        <v>1</v>
      </c>
      <c r="H989" t="s">
        <v>53</v>
      </c>
      <c r="I989" t="s">
        <v>63</v>
      </c>
      <c r="J989" t="s">
        <v>45</v>
      </c>
      <c r="K989" t="s">
        <v>46</v>
      </c>
      <c r="L989" t="s">
        <v>51</v>
      </c>
      <c r="M989" t="s">
        <v>47</v>
      </c>
      <c r="N989" t="s">
        <v>39</v>
      </c>
      <c r="O989" t="b">
        <v>0</v>
      </c>
      <c r="P989" t="b">
        <v>0</v>
      </c>
      <c r="Q989">
        <v>3.5</v>
      </c>
      <c r="R989" t="b">
        <v>0</v>
      </c>
      <c r="T989">
        <v>0</v>
      </c>
      <c r="U989">
        <v>43.51</v>
      </c>
      <c r="V989" t="b">
        <v>1</v>
      </c>
      <c r="W989" t="s">
        <v>41</v>
      </c>
    </row>
    <row r="990" spans="1:23" x14ac:dyDescent="0.25">
      <c r="A990" t="s">
        <v>32</v>
      </c>
      <c r="B990" t="s">
        <v>33</v>
      </c>
      <c r="C990">
        <v>78.8</v>
      </c>
      <c r="D990">
        <v>449</v>
      </c>
      <c r="E990" t="b">
        <v>1</v>
      </c>
      <c r="F990" t="b">
        <v>0</v>
      </c>
      <c r="G990" t="b">
        <v>0</v>
      </c>
      <c r="H990" t="s">
        <v>53</v>
      </c>
      <c r="I990" t="s">
        <v>63</v>
      </c>
      <c r="J990" t="s">
        <v>45</v>
      </c>
      <c r="K990" t="s">
        <v>37</v>
      </c>
      <c r="L990" t="s">
        <v>69</v>
      </c>
      <c r="M990" t="s">
        <v>28</v>
      </c>
      <c r="N990" t="s">
        <v>28</v>
      </c>
      <c r="O990" t="b">
        <v>1</v>
      </c>
      <c r="P990" t="b">
        <v>0</v>
      </c>
      <c r="Q990">
        <v>10</v>
      </c>
      <c r="R990" t="b">
        <v>0</v>
      </c>
      <c r="T990">
        <v>0</v>
      </c>
      <c r="U990">
        <v>84.44</v>
      </c>
      <c r="V990" t="b">
        <v>1</v>
      </c>
      <c r="W990" t="s">
        <v>58</v>
      </c>
    </row>
    <row r="991" spans="1:23" x14ac:dyDescent="0.25">
      <c r="A991" t="s">
        <v>56</v>
      </c>
      <c r="B991" t="s">
        <v>70</v>
      </c>
      <c r="C991">
        <v>74.349999999999994</v>
      </c>
      <c r="D991">
        <v>699</v>
      </c>
      <c r="E991" t="b">
        <v>0</v>
      </c>
      <c r="F991" t="b">
        <v>1</v>
      </c>
      <c r="G991" t="b">
        <v>1</v>
      </c>
      <c r="H991" t="s">
        <v>25</v>
      </c>
      <c r="I991" t="s">
        <v>57</v>
      </c>
      <c r="J991" t="s">
        <v>45</v>
      </c>
      <c r="K991" t="s">
        <v>46</v>
      </c>
      <c r="L991" t="s">
        <v>37</v>
      </c>
      <c r="M991" t="s">
        <v>46</v>
      </c>
      <c r="N991" t="s">
        <v>28</v>
      </c>
      <c r="O991" t="b">
        <v>0</v>
      </c>
      <c r="P991" t="b">
        <v>0</v>
      </c>
      <c r="Q991">
        <v>6.3</v>
      </c>
      <c r="R991" t="b">
        <v>1</v>
      </c>
      <c r="S991" t="s">
        <v>75</v>
      </c>
      <c r="T991">
        <v>13.5</v>
      </c>
      <c r="U991">
        <v>83.35</v>
      </c>
      <c r="V991" t="b">
        <v>0</v>
      </c>
      <c r="W991" t="s">
        <v>41</v>
      </c>
    </row>
    <row r="992" spans="1:23" x14ac:dyDescent="0.25">
      <c r="A992" t="s">
        <v>68</v>
      </c>
      <c r="B992" t="s">
        <v>59</v>
      </c>
      <c r="C992">
        <v>78.94</v>
      </c>
      <c r="D992">
        <v>705</v>
      </c>
      <c r="E992" t="b">
        <v>0</v>
      </c>
      <c r="F992" t="b">
        <v>1</v>
      </c>
      <c r="G992" t="b">
        <v>1</v>
      </c>
      <c r="H992" t="s">
        <v>53</v>
      </c>
      <c r="I992" t="s">
        <v>57</v>
      </c>
      <c r="J992" t="s">
        <v>45</v>
      </c>
      <c r="K992" t="s">
        <v>39</v>
      </c>
      <c r="L992" t="s">
        <v>51</v>
      </c>
      <c r="M992" t="s">
        <v>28</v>
      </c>
      <c r="O992" t="b">
        <v>0</v>
      </c>
      <c r="P992" t="b">
        <v>0</v>
      </c>
      <c r="Q992">
        <v>6.2</v>
      </c>
      <c r="R992" t="b">
        <v>1</v>
      </c>
      <c r="S992" t="s">
        <v>64</v>
      </c>
      <c r="T992">
        <v>41.6</v>
      </c>
      <c r="U992">
        <v>77.88</v>
      </c>
      <c r="V992" t="b">
        <v>1</v>
      </c>
      <c r="W992" t="s">
        <v>41</v>
      </c>
    </row>
    <row r="993" spans="1:23" x14ac:dyDescent="0.25">
      <c r="A993" t="s">
        <v>56</v>
      </c>
      <c r="B993" t="s">
        <v>42</v>
      </c>
      <c r="C993">
        <v>79.53</v>
      </c>
      <c r="D993">
        <v>683</v>
      </c>
      <c r="E993" t="b">
        <v>0</v>
      </c>
      <c r="F993" t="b">
        <v>1</v>
      </c>
      <c r="G993" t="b">
        <v>0</v>
      </c>
      <c r="H993" t="s">
        <v>34</v>
      </c>
      <c r="I993" t="s">
        <v>63</v>
      </c>
      <c r="J993" t="s">
        <v>36</v>
      </c>
      <c r="K993" t="s">
        <v>39</v>
      </c>
      <c r="L993" t="s">
        <v>37</v>
      </c>
      <c r="M993" t="s">
        <v>39</v>
      </c>
      <c r="N993" t="s">
        <v>39</v>
      </c>
      <c r="O993" t="b">
        <v>0</v>
      </c>
      <c r="P993" t="b">
        <v>0</v>
      </c>
      <c r="Q993">
        <v>5.9</v>
      </c>
      <c r="R993" t="b">
        <v>1</v>
      </c>
      <c r="S993" t="s">
        <v>64</v>
      </c>
      <c r="T993">
        <v>44.6</v>
      </c>
      <c r="U993">
        <v>66.349999999999994</v>
      </c>
      <c r="V993" t="b">
        <v>1</v>
      </c>
      <c r="W993" t="s">
        <v>41</v>
      </c>
    </row>
    <row r="994" spans="1:23" x14ac:dyDescent="0.25">
      <c r="A994" t="s">
        <v>61</v>
      </c>
      <c r="B994" t="s">
        <v>42</v>
      </c>
      <c r="C994">
        <v>67.78</v>
      </c>
      <c r="D994">
        <v>319</v>
      </c>
      <c r="E994" t="b">
        <v>1</v>
      </c>
      <c r="F994" t="b">
        <v>1</v>
      </c>
      <c r="G994" t="b">
        <v>0</v>
      </c>
      <c r="H994" t="s">
        <v>53</v>
      </c>
      <c r="I994" t="s">
        <v>57</v>
      </c>
      <c r="J994" t="s">
        <v>27</v>
      </c>
      <c r="K994" t="s">
        <v>39</v>
      </c>
      <c r="L994" t="s">
        <v>51</v>
      </c>
      <c r="M994" t="s">
        <v>47</v>
      </c>
      <c r="N994" t="s">
        <v>28</v>
      </c>
      <c r="O994" t="b">
        <v>0</v>
      </c>
      <c r="P994" t="b">
        <v>1</v>
      </c>
      <c r="Q994">
        <v>5.6</v>
      </c>
      <c r="R994" t="b">
        <v>1</v>
      </c>
      <c r="S994" t="s">
        <v>75</v>
      </c>
      <c r="T994">
        <v>8.1</v>
      </c>
      <c r="U994">
        <v>77.709999999999994</v>
      </c>
      <c r="V994" t="b">
        <v>0</v>
      </c>
      <c r="W994" t="s">
        <v>41</v>
      </c>
    </row>
    <row r="995" spans="1:23" x14ac:dyDescent="0.25">
      <c r="A995" t="s">
        <v>61</v>
      </c>
      <c r="B995" t="s">
        <v>73</v>
      </c>
      <c r="C995">
        <v>63.87</v>
      </c>
      <c r="D995">
        <v>260</v>
      </c>
      <c r="E995" t="b">
        <v>0</v>
      </c>
      <c r="F995" t="b">
        <v>1</v>
      </c>
      <c r="G995" t="b">
        <v>1</v>
      </c>
      <c r="H995" t="s">
        <v>53</v>
      </c>
      <c r="I995" t="s">
        <v>26</v>
      </c>
      <c r="J995" t="s">
        <v>36</v>
      </c>
      <c r="K995" t="s">
        <v>39</v>
      </c>
      <c r="L995" t="s">
        <v>69</v>
      </c>
      <c r="M995" t="s">
        <v>46</v>
      </c>
      <c r="N995" t="s">
        <v>46</v>
      </c>
      <c r="P995" t="b">
        <v>0</v>
      </c>
      <c r="Q995">
        <v>6.8</v>
      </c>
      <c r="R995" t="b">
        <v>1</v>
      </c>
      <c r="S995" t="s">
        <v>40</v>
      </c>
      <c r="T995">
        <v>13.7</v>
      </c>
      <c r="U995">
        <v>69.94</v>
      </c>
      <c r="V995" t="b">
        <v>1</v>
      </c>
      <c r="W995" t="s">
        <v>41</v>
      </c>
    </row>
    <row r="996" spans="1:23" x14ac:dyDescent="0.25">
      <c r="A996" t="s">
        <v>23</v>
      </c>
      <c r="B996" t="s">
        <v>71</v>
      </c>
      <c r="C996">
        <v>44.94</v>
      </c>
      <c r="D996">
        <v>728</v>
      </c>
      <c r="E996" t="b">
        <v>0</v>
      </c>
      <c r="F996" t="b">
        <v>1</v>
      </c>
      <c r="G996" t="b">
        <v>1</v>
      </c>
      <c r="H996" t="s">
        <v>53</v>
      </c>
      <c r="I996" t="s">
        <v>26</v>
      </c>
      <c r="J996" t="s">
        <v>50</v>
      </c>
      <c r="K996" t="s">
        <v>37</v>
      </c>
      <c r="L996" t="s">
        <v>69</v>
      </c>
      <c r="M996" t="s">
        <v>39</v>
      </c>
      <c r="N996" t="s">
        <v>28</v>
      </c>
      <c r="O996" t="b">
        <v>1</v>
      </c>
      <c r="P996" t="b">
        <v>0</v>
      </c>
      <c r="Q996">
        <v>6</v>
      </c>
      <c r="R996" t="b">
        <v>1</v>
      </c>
      <c r="S996" t="s">
        <v>75</v>
      </c>
      <c r="T996">
        <v>25</v>
      </c>
      <c r="U996">
        <v>33.200000000000003</v>
      </c>
      <c r="V996" t="b">
        <v>0</v>
      </c>
      <c r="W996" t="s">
        <v>41</v>
      </c>
    </row>
    <row r="997" spans="1:23" x14ac:dyDescent="0.25">
      <c r="A997" t="s">
        <v>68</v>
      </c>
      <c r="B997" t="s">
        <v>24</v>
      </c>
      <c r="C997">
        <v>94.09</v>
      </c>
      <c r="D997">
        <v>661</v>
      </c>
      <c r="E997" t="b">
        <v>1</v>
      </c>
      <c r="F997" t="b">
        <v>1</v>
      </c>
      <c r="G997" t="b">
        <v>0</v>
      </c>
      <c r="H997" t="s">
        <v>34</v>
      </c>
      <c r="I997" t="s">
        <v>44</v>
      </c>
      <c r="J997" t="s">
        <v>54</v>
      </c>
      <c r="K997" t="s">
        <v>46</v>
      </c>
      <c r="L997" t="s">
        <v>69</v>
      </c>
      <c r="M997" t="s">
        <v>28</v>
      </c>
      <c r="N997" t="s">
        <v>39</v>
      </c>
      <c r="O997" t="b">
        <v>1</v>
      </c>
      <c r="P997" t="b">
        <v>1</v>
      </c>
      <c r="Q997">
        <v>10</v>
      </c>
      <c r="R997" t="b">
        <v>0</v>
      </c>
      <c r="T997">
        <v>0</v>
      </c>
      <c r="U997">
        <v>95.33</v>
      </c>
      <c r="V997" t="b">
        <v>1</v>
      </c>
      <c r="W997" t="s">
        <v>58</v>
      </c>
    </row>
    <row r="998" spans="1:23" x14ac:dyDescent="0.25">
      <c r="A998" t="s">
        <v>32</v>
      </c>
      <c r="B998" t="s">
        <v>60</v>
      </c>
      <c r="C998">
        <v>62.6</v>
      </c>
      <c r="D998">
        <v>384</v>
      </c>
      <c r="E998" t="b">
        <v>1</v>
      </c>
      <c r="F998" t="b">
        <v>0</v>
      </c>
      <c r="G998" t="b">
        <v>0</v>
      </c>
      <c r="H998" t="s">
        <v>53</v>
      </c>
      <c r="I998" t="s">
        <v>63</v>
      </c>
      <c r="J998" t="s">
        <v>54</v>
      </c>
      <c r="K998" t="s">
        <v>37</v>
      </c>
      <c r="L998" t="s">
        <v>51</v>
      </c>
      <c r="M998" t="s">
        <v>39</v>
      </c>
      <c r="N998" t="s">
        <v>39</v>
      </c>
      <c r="O998" t="b">
        <v>1</v>
      </c>
      <c r="P998" t="b">
        <v>0</v>
      </c>
      <c r="Q998">
        <v>8.4</v>
      </c>
      <c r="R998" t="b">
        <v>0</v>
      </c>
      <c r="T998">
        <v>0</v>
      </c>
      <c r="U998">
        <v>68.180000000000007</v>
      </c>
      <c r="V998" t="b">
        <v>1</v>
      </c>
      <c r="W998" t="s">
        <v>58</v>
      </c>
    </row>
    <row r="999" spans="1:23" x14ac:dyDescent="0.25">
      <c r="A999" t="s">
        <v>23</v>
      </c>
      <c r="B999" t="s">
        <v>59</v>
      </c>
      <c r="C999">
        <v>77.38</v>
      </c>
      <c r="D999">
        <v>166</v>
      </c>
      <c r="E999" t="b">
        <v>1</v>
      </c>
      <c r="F999" t="b">
        <v>1</v>
      </c>
      <c r="G999" t="b">
        <v>0</v>
      </c>
      <c r="H999" t="s">
        <v>34</v>
      </c>
      <c r="I999" t="s">
        <v>44</v>
      </c>
      <c r="J999" t="s">
        <v>45</v>
      </c>
      <c r="K999" t="s">
        <v>46</v>
      </c>
      <c r="L999" t="s">
        <v>51</v>
      </c>
      <c r="M999" t="s">
        <v>39</v>
      </c>
      <c r="O999" t="b">
        <v>1</v>
      </c>
      <c r="P999" t="b">
        <v>1</v>
      </c>
      <c r="Q999">
        <v>10</v>
      </c>
      <c r="R999" t="b">
        <v>1</v>
      </c>
      <c r="S999" t="s">
        <v>65</v>
      </c>
      <c r="T999">
        <v>23.3</v>
      </c>
      <c r="U999">
        <v>92.14</v>
      </c>
      <c r="V999" t="b">
        <v>1</v>
      </c>
      <c r="W999" t="s">
        <v>31</v>
      </c>
    </row>
    <row r="1000" spans="1:23" x14ac:dyDescent="0.25">
      <c r="A1000" t="s">
        <v>61</v>
      </c>
      <c r="B1000" t="s">
        <v>24</v>
      </c>
      <c r="C1000">
        <v>98.61</v>
      </c>
      <c r="D1000">
        <v>71</v>
      </c>
      <c r="E1000" t="b">
        <v>0</v>
      </c>
      <c r="F1000" t="b">
        <v>1</v>
      </c>
      <c r="G1000" t="b">
        <v>0</v>
      </c>
      <c r="H1000" t="s">
        <v>43</v>
      </c>
      <c r="I1000" t="s">
        <v>67</v>
      </c>
      <c r="J1000" t="s">
        <v>45</v>
      </c>
      <c r="K1000" t="s">
        <v>28</v>
      </c>
      <c r="L1000" t="s">
        <v>37</v>
      </c>
      <c r="M1000" t="s">
        <v>39</v>
      </c>
      <c r="O1000" t="b">
        <v>0</v>
      </c>
      <c r="P1000" t="b">
        <v>0</v>
      </c>
      <c r="Q1000">
        <v>8.6</v>
      </c>
      <c r="R1000" t="b">
        <v>1</v>
      </c>
      <c r="S1000" t="s">
        <v>40</v>
      </c>
      <c r="T1000">
        <v>43.3</v>
      </c>
      <c r="U1000">
        <v>100</v>
      </c>
      <c r="V1000" t="b">
        <v>1</v>
      </c>
      <c r="W1000" t="s">
        <v>31</v>
      </c>
    </row>
    <row r="1001" spans="1:23" x14ac:dyDescent="0.25">
      <c r="A1001" t="s">
        <v>32</v>
      </c>
      <c r="B1001" t="s">
        <v>71</v>
      </c>
      <c r="C1001">
        <v>55.61</v>
      </c>
      <c r="D1001">
        <v>123</v>
      </c>
      <c r="E1001" t="b">
        <v>1</v>
      </c>
      <c r="F1001" t="b">
        <v>1</v>
      </c>
      <c r="G1001" t="b">
        <v>0</v>
      </c>
      <c r="H1001" t="s">
        <v>53</v>
      </c>
      <c r="I1001" t="s">
        <v>67</v>
      </c>
      <c r="J1001" t="s">
        <v>36</v>
      </c>
      <c r="K1001" t="s">
        <v>37</v>
      </c>
      <c r="L1001" t="s">
        <v>29</v>
      </c>
      <c r="M1001" t="s">
        <v>39</v>
      </c>
      <c r="N1001" t="s">
        <v>46</v>
      </c>
      <c r="O1001" t="b">
        <v>0</v>
      </c>
      <c r="P1001" t="b">
        <v>1</v>
      </c>
      <c r="Q1001">
        <v>5</v>
      </c>
      <c r="R1001" t="b">
        <v>1</v>
      </c>
      <c r="S1001" t="s">
        <v>64</v>
      </c>
      <c r="T1001">
        <v>44</v>
      </c>
      <c r="U1001">
        <v>57.1</v>
      </c>
      <c r="V1001" t="b">
        <v>1</v>
      </c>
      <c r="W1001" t="s">
        <v>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001"/>
  <sheetViews>
    <sheetView topLeftCell="AD1" zoomScale="79" workbookViewId="0">
      <selection activeCell="AP25" sqref="AP25"/>
    </sheetView>
  </sheetViews>
  <sheetFormatPr defaultRowHeight="15" x14ac:dyDescent="0.25"/>
  <cols>
    <col min="1" max="1" width="17.7109375" customWidth="1"/>
    <col min="2" max="2" width="20" customWidth="1"/>
    <col min="3" max="4" width="26.5703125" customWidth="1"/>
    <col min="5" max="5" width="19.5703125" customWidth="1"/>
    <col min="6" max="6" width="25.28515625" customWidth="1"/>
    <col min="7" max="7" width="21" customWidth="1"/>
    <col min="8" max="8" width="21.28515625" customWidth="1"/>
    <col min="9" max="9" width="25.28515625" customWidth="1"/>
    <col min="10" max="10" width="17.42578125" customWidth="1"/>
    <col min="11" max="11" width="24" customWidth="1"/>
    <col min="12" max="12" width="22" customWidth="1"/>
    <col min="13" max="13" width="21.7109375" customWidth="1"/>
    <col min="14" max="14" width="15.7109375" customWidth="1"/>
    <col min="15" max="15" width="25" customWidth="1"/>
    <col min="16" max="16" width="26.28515625" customWidth="1"/>
    <col min="17" max="18" width="23.28515625" customWidth="1"/>
    <col min="19" max="19" width="31" customWidth="1"/>
    <col min="20" max="20" width="28" customWidth="1"/>
    <col min="21" max="21" width="29.7109375" customWidth="1"/>
    <col min="22" max="22" width="25" customWidth="1"/>
    <col min="23" max="23" width="26.5703125" customWidth="1"/>
    <col min="41" max="42" width="11" customWidth="1"/>
  </cols>
  <sheetData>
    <row r="1" spans="1:4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AA1" s="2" t="s">
        <v>90</v>
      </c>
      <c r="AB1" s="3"/>
      <c r="AC1" t="s">
        <v>91</v>
      </c>
      <c r="AE1" s="3" t="s">
        <v>5</v>
      </c>
      <c r="AF1" s="3" t="s">
        <v>13</v>
      </c>
      <c r="AG1" s="3" t="s">
        <v>14</v>
      </c>
      <c r="AH1" s="3" t="s">
        <v>18</v>
      </c>
      <c r="AJ1" s="3" t="s">
        <v>92</v>
      </c>
      <c r="AL1" s="3" t="s">
        <v>94</v>
      </c>
      <c r="AM1" s="3" t="s">
        <v>101</v>
      </c>
      <c r="AO1" s="2"/>
    </row>
    <row r="2" spans="1:41" x14ac:dyDescent="0.25">
      <c r="A2" t="s">
        <v>23</v>
      </c>
      <c r="B2" t="s">
        <v>24</v>
      </c>
      <c r="C2">
        <v>93.23</v>
      </c>
      <c r="D2">
        <v>527</v>
      </c>
      <c r="E2" t="b">
        <v>1</v>
      </c>
      <c r="F2" t="b">
        <v>0</v>
      </c>
      <c r="G2" t="b">
        <v>0</v>
      </c>
      <c r="H2" t="s">
        <v>25</v>
      </c>
      <c r="I2" t="s">
        <v>26</v>
      </c>
      <c r="J2" t="s">
        <v>27</v>
      </c>
      <c r="K2" t="s">
        <v>28</v>
      </c>
      <c r="L2" t="s">
        <v>29</v>
      </c>
      <c r="M2" t="s">
        <v>28</v>
      </c>
      <c r="N2" t="s">
        <v>28</v>
      </c>
      <c r="O2" t="b">
        <v>0</v>
      </c>
      <c r="P2" t="b">
        <v>0</v>
      </c>
      <c r="Q2">
        <v>10</v>
      </c>
      <c r="R2" t="b">
        <v>1</v>
      </c>
      <c r="S2" t="s">
        <v>30</v>
      </c>
      <c r="T2">
        <v>10.7</v>
      </c>
      <c r="U2">
        <v>80.150000000000006</v>
      </c>
      <c r="V2" t="b">
        <v>1</v>
      </c>
      <c r="W2" t="s">
        <v>31</v>
      </c>
      <c r="AC2" t="s">
        <v>93</v>
      </c>
      <c r="AE2" t="str">
        <f>IF(F2=TRUE,"Yes","No")</f>
        <v>No</v>
      </c>
      <c r="AF2" t="str">
        <f>IF(ISBLANK(N2),"Unknown",N2)</f>
        <v>Low</v>
      </c>
      <c r="AG2" t="str">
        <f>IF(O2=TRUE,"Yes","No")</f>
        <v>No</v>
      </c>
      <c r="AH2" t="str">
        <f>IF(ISBLANK(S2),"Unknown",S2)</f>
        <v>Google Search</v>
      </c>
      <c r="AJ2" t="str">
        <f>IF(Q2&gt;=8,"High Trust",
IF(Q3&gt;=5,"Moderate Trust","Low Trust"))</f>
        <v>High Trust</v>
      </c>
      <c r="AL2">
        <f>ROUND(U2,1)</f>
        <v>80.2</v>
      </c>
      <c r="AM2" t="str">
        <f>TRIM(J2)</f>
        <v>Bachelors</v>
      </c>
    </row>
    <row r="3" spans="1:41" x14ac:dyDescent="0.25">
      <c r="A3" t="s">
        <v>32</v>
      </c>
      <c r="B3" t="s">
        <v>33</v>
      </c>
      <c r="C3">
        <v>84.47</v>
      </c>
      <c r="D3">
        <v>581</v>
      </c>
      <c r="E3" t="b">
        <v>0</v>
      </c>
      <c r="F3" t="b">
        <v>0</v>
      </c>
      <c r="G3" t="b">
        <v>0</v>
      </c>
      <c r="H3" t="s">
        <v>34</v>
      </c>
      <c r="I3" t="s">
        <v>35</v>
      </c>
      <c r="J3" t="s">
        <v>36</v>
      </c>
      <c r="K3" t="s">
        <v>37</v>
      </c>
      <c r="L3" t="s">
        <v>38</v>
      </c>
      <c r="M3" t="s">
        <v>39</v>
      </c>
      <c r="O3" t="b">
        <v>0</v>
      </c>
      <c r="P3" t="b">
        <v>1</v>
      </c>
      <c r="Q3">
        <v>7.9</v>
      </c>
      <c r="R3" t="b">
        <v>1</v>
      </c>
      <c r="S3" t="s">
        <v>40</v>
      </c>
      <c r="T3">
        <v>44.3</v>
      </c>
      <c r="U3">
        <v>92.33</v>
      </c>
      <c r="V3" t="b">
        <v>1</v>
      </c>
      <c r="W3" t="s">
        <v>41</v>
      </c>
      <c r="AE3" t="str">
        <f t="shared" ref="AE3:AE66" si="0">IF(F3=TRUE,"Yes","No")</f>
        <v>No</v>
      </c>
      <c r="AF3" t="str">
        <f t="shared" ref="AF3:AF66" si="1">IF(ISBLANK(N3),"Unknown",N3)</f>
        <v>Unknown</v>
      </c>
      <c r="AG3" t="str">
        <f t="shared" ref="AG3:AG66" si="2">IF(O3=TRUE,"Yes","No")</f>
        <v>No</v>
      </c>
      <c r="AH3" t="str">
        <f t="shared" ref="AH3:AH66" si="3">IF(ISBLANK(S3),"Unknown",S3)</f>
        <v>Asked Expert</v>
      </c>
      <c r="AJ3" t="str">
        <f t="shared" ref="AJ3:AJ66" si="4">IF(Q3&gt;=8,"High Trust",
IF(Q4&gt;=5,"Moderate Trust","Low Trust"))</f>
        <v>Moderate Trust</v>
      </c>
      <c r="AL3">
        <f t="shared" ref="AL3:AL66" si="5">ROUND(U3,1)</f>
        <v>92.3</v>
      </c>
      <c r="AM3" t="str">
        <f t="shared" ref="AM3:AM66" si="6">TRIM(J3)</f>
        <v>PhD</v>
      </c>
    </row>
    <row r="4" spans="1:41" x14ac:dyDescent="0.25">
      <c r="A4" t="s">
        <v>23</v>
      </c>
      <c r="B4" t="s">
        <v>42</v>
      </c>
      <c r="C4">
        <v>69.819999999999993</v>
      </c>
      <c r="D4">
        <v>484</v>
      </c>
      <c r="E4" t="b">
        <v>1</v>
      </c>
      <c r="F4" t="b">
        <v>1</v>
      </c>
      <c r="G4" t="b">
        <v>0</v>
      </c>
      <c r="H4" t="s">
        <v>43</v>
      </c>
      <c r="I4" t="s">
        <v>44</v>
      </c>
      <c r="J4" t="s">
        <v>45</v>
      </c>
      <c r="K4" t="s">
        <v>46</v>
      </c>
      <c r="L4" t="s">
        <v>29</v>
      </c>
      <c r="M4" t="s">
        <v>47</v>
      </c>
      <c r="O4" t="b">
        <v>1</v>
      </c>
      <c r="P4" t="b">
        <v>0</v>
      </c>
      <c r="Q4">
        <v>8.6</v>
      </c>
      <c r="R4" t="b">
        <v>1</v>
      </c>
      <c r="S4" t="s">
        <v>48</v>
      </c>
      <c r="T4">
        <v>37.5</v>
      </c>
      <c r="U4">
        <v>67.319999999999993</v>
      </c>
      <c r="V4" t="b">
        <v>1</v>
      </c>
      <c r="W4" t="s">
        <v>31</v>
      </c>
      <c r="AE4" t="str">
        <f t="shared" si="0"/>
        <v>Yes</v>
      </c>
      <c r="AF4" t="str">
        <f t="shared" si="1"/>
        <v>Unknown</v>
      </c>
      <c r="AG4" t="str">
        <f t="shared" si="2"/>
        <v>Yes</v>
      </c>
      <c r="AH4" t="str">
        <f t="shared" si="3"/>
        <v>Consulted Documentation</v>
      </c>
      <c r="AJ4" t="str">
        <f t="shared" si="4"/>
        <v>High Trust</v>
      </c>
      <c r="AL4">
        <f t="shared" si="5"/>
        <v>67.3</v>
      </c>
      <c r="AM4" t="str">
        <f t="shared" si="6"/>
        <v>High School</v>
      </c>
    </row>
    <row r="5" spans="1:41" x14ac:dyDescent="0.25">
      <c r="A5" t="s">
        <v>23</v>
      </c>
      <c r="B5" t="s">
        <v>49</v>
      </c>
      <c r="C5">
        <v>79.61</v>
      </c>
      <c r="D5">
        <v>73</v>
      </c>
      <c r="E5" t="b">
        <v>1</v>
      </c>
      <c r="F5" t="b">
        <v>1</v>
      </c>
      <c r="G5" t="b">
        <v>0</v>
      </c>
      <c r="H5" t="s">
        <v>34</v>
      </c>
      <c r="I5" t="s">
        <v>26</v>
      </c>
      <c r="J5" t="s">
        <v>50</v>
      </c>
      <c r="K5" t="s">
        <v>28</v>
      </c>
      <c r="L5" t="s">
        <v>51</v>
      </c>
      <c r="M5" t="s">
        <v>39</v>
      </c>
      <c r="P5" t="b">
        <v>0</v>
      </c>
      <c r="Q5">
        <v>8.9</v>
      </c>
      <c r="R5" t="b">
        <v>1</v>
      </c>
      <c r="S5" t="s">
        <v>52</v>
      </c>
      <c r="T5">
        <v>22.7</v>
      </c>
      <c r="U5">
        <v>73.12</v>
      </c>
      <c r="V5" t="b">
        <v>1</v>
      </c>
      <c r="W5" t="s">
        <v>31</v>
      </c>
      <c r="AE5" t="str">
        <f t="shared" si="0"/>
        <v>Yes</v>
      </c>
      <c r="AF5" t="str">
        <f t="shared" si="1"/>
        <v>Unknown</v>
      </c>
      <c r="AG5" t="str">
        <f t="shared" si="2"/>
        <v>No</v>
      </c>
      <c r="AH5" t="str">
        <f t="shared" si="3"/>
        <v>Checked Official Source</v>
      </c>
      <c r="AJ5" t="str">
        <f t="shared" si="4"/>
        <v>High Trust</v>
      </c>
      <c r="AL5">
        <f t="shared" si="5"/>
        <v>73.099999999999994</v>
      </c>
      <c r="AM5" t="str">
        <f t="shared" si="6"/>
        <v>Professional</v>
      </c>
    </row>
    <row r="6" spans="1:41" x14ac:dyDescent="0.25">
      <c r="A6" t="s">
        <v>23</v>
      </c>
      <c r="B6" t="s">
        <v>49</v>
      </c>
      <c r="C6">
        <v>67.709999999999994</v>
      </c>
      <c r="D6">
        <v>146</v>
      </c>
      <c r="E6" t="b">
        <v>0</v>
      </c>
      <c r="F6" t="b">
        <v>1</v>
      </c>
      <c r="G6" t="b">
        <v>0</v>
      </c>
      <c r="H6" t="s">
        <v>53</v>
      </c>
      <c r="I6" t="s">
        <v>35</v>
      </c>
      <c r="J6" t="s">
        <v>54</v>
      </c>
      <c r="K6" t="s">
        <v>28</v>
      </c>
      <c r="L6" t="s">
        <v>37</v>
      </c>
      <c r="M6" t="s">
        <v>28</v>
      </c>
      <c r="O6" t="b">
        <v>1</v>
      </c>
      <c r="P6" t="b">
        <v>1</v>
      </c>
      <c r="Q6">
        <v>9</v>
      </c>
      <c r="R6" t="b">
        <v>1</v>
      </c>
      <c r="S6" t="s">
        <v>55</v>
      </c>
      <c r="T6">
        <v>43.7</v>
      </c>
      <c r="U6">
        <v>81.05</v>
      </c>
      <c r="V6" t="b">
        <v>1</v>
      </c>
      <c r="W6" t="s">
        <v>31</v>
      </c>
      <c r="AE6" t="str">
        <f t="shared" si="0"/>
        <v>Yes</v>
      </c>
      <c r="AF6" t="str">
        <f t="shared" si="1"/>
        <v>Unknown</v>
      </c>
      <c r="AG6" t="str">
        <f t="shared" si="2"/>
        <v>Yes</v>
      </c>
      <c r="AH6" t="str">
        <f t="shared" si="3"/>
        <v>Academic Paper</v>
      </c>
      <c r="AJ6" t="str">
        <f t="shared" si="4"/>
        <v>High Trust</v>
      </c>
      <c r="AL6">
        <f t="shared" si="5"/>
        <v>81.099999999999994</v>
      </c>
      <c r="AM6" t="str">
        <f t="shared" si="6"/>
        <v>Masters</v>
      </c>
    </row>
    <row r="7" spans="1:41" x14ac:dyDescent="0.25">
      <c r="A7" t="s">
        <v>56</v>
      </c>
      <c r="B7" t="s">
        <v>24</v>
      </c>
      <c r="C7">
        <v>93.41</v>
      </c>
      <c r="D7">
        <v>198</v>
      </c>
      <c r="E7" t="b">
        <v>0</v>
      </c>
      <c r="F7" t="b">
        <v>1</v>
      </c>
      <c r="G7" t="b">
        <v>0</v>
      </c>
      <c r="H7" t="s">
        <v>25</v>
      </c>
      <c r="I7" t="s">
        <v>57</v>
      </c>
      <c r="J7" t="s">
        <v>50</v>
      </c>
      <c r="K7" t="s">
        <v>37</v>
      </c>
      <c r="L7" t="s">
        <v>51</v>
      </c>
      <c r="M7" t="s">
        <v>46</v>
      </c>
      <c r="O7" t="b">
        <v>0</v>
      </c>
      <c r="P7" t="b">
        <v>0</v>
      </c>
      <c r="Q7">
        <v>8.1999999999999993</v>
      </c>
      <c r="R7" t="b">
        <v>0</v>
      </c>
      <c r="T7">
        <v>0</v>
      </c>
      <c r="U7">
        <v>100</v>
      </c>
      <c r="V7" t="b">
        <v>1</v>
      </c>
      <c r="W7" t="s">
        <v>58</v>
      </c>
      <c r="AE7" t="str">
        <f t="shared" si="0"/>
        <v>Yes</v>
      </c>
      <c r="AF7" t="str">
        <f t="shared" si="1"/>
        <v>Unknown</v>
      </c>
      <c r="AG7" t="str">
        <f t="shared" si="2"/>
        <v>No</v>
      </c>
      <c r="AH7" t="str">
        <f t="shared" si="3"/>
        <v>Unknown</v>
      </c>
      <c r="AJ7" t="str">
        <f t="shared" si="4"/>
        <v>High Trust</v>
      </c>
      <c r="AL7">
        <f t="shared" si="5"/>
        <v>100</v>
      </c>
      <c r="AM7" t="str">
        <f t="shared" si="6"/>
        <v>Professional</v>
      </c>
    </row>
    <row r="8" spans="1:41" x14ac:dyDescent="0.25">
      <c r="A8" t="s">
        <v>23</v>
      </c>
      <c r="B8" t="s">
        <v>59</v>
      </c>
      <c r="C8">
        <v>75.87</v>
      </c>
      <c r="D8">
        <v>285</v>
      </c>
      <c r="E8" t="b">
        <v>0</v>
      </c>
      <c r="F8" t="b">
        <v>0</v>
      </c>
      <c r="G8" t="b">
        <v>1</v>
      </c>
      <c r="H8" t="s">
        <v>43</v>
      </c>
      <c r="I8" t="s">
        <v>57</v>
      </c>
      <c r="J8" t="s">
        <v>45</v>
      </c>
      <c r="K8" t="s">
        <v>37</v>
      </c>
      <c r="L8" t="s">
        <v>37</v>
      </c>
      <c r="M8" t="s">
        <v>28</v>
      </c>
      <c r="N8" t="s">
        <v>39</v>
      </c>
      <c r="O8" t="b">
        <v>0</v>
      </c>
      <c r="P8" t="b">
        <v>1</v>
      </c>
      <c r="Q8">
        <v>7.6</v>
      </c>
      <c r="R8" t="b">
        <v>0</v>
      </c>
      <c r="T8">
        <v>0</v>
      </c>
      <c r="U8">
        <v>79.040000000000006</v>
      </c>
      <c r="V8" t="b">
        <v>1</v>
      </c>
      <c r="W8" t="s">
        <v>31</v>
      </c>
      <c r="AE8" t="str">
        <f t="shared" si="0"/>
        <v>No</v>
      </c>
      <c r="AF8" t="str">
        <f t="shared" si="1"/>
        <v>High</v>
      </c>
      <c r="AG8" t="str">
        <f t="shared" si="2"/>
        <v>No</v>
      </c>
      <c r="AH8" t="str">
        <f t="shared" si="3"/>
        <v>Unknown</v>
      </c>
      <c r="AJ8" t="str">
        <f t="shared" si="4"/>
        <v>Moderate Trust</v>
      </c>
      <c r="AL8">
        <f t="shared" si="5"/>
        <v>79</v>
      </c>
      <c r="AM8" t="str">
        <f t="shared" si="6"/>
        <v>High School</v>
      </c>
    </row>
    <row r="9" spans="1:41" x14ac:dyDescent="0.25">
      <c r="A9" t="s">
        <v>23</v>
      </c>
      <c r="B9" t="s">
        <v>60</v>
      </c>
      <c r="C9">
        <v>57.32</v>
      </c>
      <c r="D9">
        <v>371</v>
      </c>
      <c r="E9" t="b">
        <v>1</v>
      </c>
      <c r="F9" t="b">
        <v>0</v>
      </c>
      <c r="G9" t="b">
        <v>0</v>
      </c>
      <c r="H9" t="s">
        <v>53</v>
      </c>
      <c r="I9" t="s">
        <v>35</v>
      </c>
      <c r="J9" t="s">
        <v>50</v>
      </c>
      <c r="K9" t="s">
        <v>46</v>
      </c>
      <c r="L9" t="s">
        <v>38</v>
      </c>
      <c r="M9" t="s">
        <v>47</v>
      </c>
      <c r="N9" t="s">
        <v>39</v>
      </c>
      <c r="P9" t="b">
        <v>0</v>
      </c>
      <c r="Q9">
        <v>6.4</v>
      </c>
      <c r="R9" t="b">
        <v>0</v>
      </c>
      <c r="T9">
        <v>0</v>
      </c>
      <c r="U9">
        <v>55.65</v>
      </c>
      <c r="V9" t="b">
        <v>1</v>
      </c>
      <c r="W9" t="s">
        <v>31</v>
      </c>
      <c r="AE9" t="str">
        <f t="shared" si="0"/>
        <v>No</v>
      </c>
      <c r="AF9" t="str">
        <f t="shared" si="1"/>
        <v>High</v>
      </c>
      <c r="AG9" t="str">
        <f t="shared" si="2"/>
        <v>No</v>
      </c>
      <c r="AH9" t="str">
        <f t="shared" si="3"/>
        <v>Unknown</v>
      </c>
      <c r="AJ9" t="str">
        <f t="shared" si="4"/>
        <v>Moderate Trust</v>
      </c>
      <c r="AL9">
        <f t="shared" si="5"/>
        <v>55.7</v>
      </c>
      <c r="AM9" t="str">
        <f t="shared" si="6"/>
        <v>Professional</v>
      </c>
    </row>
    <row r="10" spans="1:41" x14ac:dyDescent="0.25">
      <c r="A10" t="s">
        <v>61</v>
      </c>
      <c r="B10" t="s">
        <v>62</v>
      </c>
      <c r="C10">
        <v>50.17</v>
      </c>
      <c r="D10">
        <v>344</v>
      </c>
      <c r="E10" t="b">
        <v>0</v>
      </c>
      <c r="F10" t="b">
        <v>0</v>
      </c>
      <c r="G10" t="b">
        <v>1</v>
      </c>
      <c r="H10" t="s">
        <v>53</v>
      </c>
      <c r="I10" t="s">
        <v>63</v>
      </c>
      <c r="J10" t="s">
        <v>36</v>
      </c>
      <c r="K10" t="s">
        <v>46</v>
      </c>
      <c r="L10" t="s">
        <v>51</v>
      </c>
      <c r="M10" t="s">
        <v>46</v>
      </c>
      <c r="N10" t="s">
        <v>39</v>
      </c>
      <c r="P10" t="b">
        <v>0</v>
      </c>
      <c r="Q10">
        <v>5.3</v>
      </c>
      <c r="R10" t="b">
        <v>1</v>
      </c>
      <c r="S10" t="s">
        <v>64</v>
      </c>
      <c r="T10">
        <v>20</v>
      </c>
      <c r="U10">
        <v>41.69</v>
      </c>
      <c r="V10" t="b">
        <v>1</v>
      </c>
      <c r="W10" t="s">
        <v>41</v>
      </c>
      <c r="AE10" t="str">
        <f t="shared" si="0"/>
        <v>No</v>
      </c>
      <c r="AF10" t="str">
        <f t="shared" si="1"/>
        <v>High</v>
      </c>
      <c r="AG10" t="str">
        <f t="shared" si="2"/>
        <v>No</v>
      </c>
      <c r="AH10" t="str">
        <f t="shared" si="3"/>
        <v>Personal Testing</v>
      </c>
      <c r="AJ10" t="str">
        <f t="shared" si="4"/>
        <v>Moderate Trust</v>
      </c>
      <c r="AL10">
        <f t="shared" si="5"/>
        <v>41.7</v>
      </c>
      <c r="AM10" t="str">
        <f t="shared" si="6"/>
        <v>PhD</v>
      </c>
    </row>
    <row r="11" spans="1:41" x14ac:dyDescent="0.25">
      <c r="A11" t="s">
        <v>32</v>
      </c>
      <c r="B11" t="s">
        <v>62</v>
      </c>
      <c r="C11">
        <v>58.77</v>
      </c>
      <c r="D11">
        <v>63</v>
      </c>
      <c r="E11" t="b">
        <v>0</v>
      </c>
      <c r="F11" t="b">
        <v>0</v>
      </c>
      <c r="G11" t="b">
        <v>1</v>
      </c>
      <c r="H11" t="s">
        <v>53</v>
      </c>
      <c r="I11" t="s">
        <v>63</v>
      </c>
      <c r="J11" t="s">
        <v>50</v>
      </c>
      <c r="K11" t="s">
        <v>28</v>
      </c>
      <c r="L11" t="s">
        <v>37</v>
      </c>
      <c r="M11" t="s">
        <v>46</v>
      </c>
      <c r="N11" t="s">
        <v>28</v>
      </c>
      <c r="O11" t="b">
        <v>0</v>
      </c>
      <c r="P11" t="b">
        <v>0</v>
      </c>
      <c r="Q11">
        <v>5.6</v>
      </c>
      <c r="R11" t="b">
        <v>1</v>
      </c>
      <c r="S11" t="s">
        <v>65</v>
      </c>
      <c r="T11">
        <v>23.5</v>
      </c>
      <c r="U11">
        <v>50.81</v>
      </c>
      <c r="V11" t="b">
        <v>1</v>
      </c>
      <c r="W11" t="s">
        <v>41</v>
      </c>
      <c r="AE11" t="str">
        <f t="shared" si="0"/>
        <v>No</v>
      </c>
      <c r="AF11" t="str">
        <f t="shared" si="1"/>
        <v>Low</v>
      </c>
      <c r="AG11" t="str">
        <f t="shared" si="2"/>
        <v>No</v>
      </c>
      <c r="AH11" t="str">
        <f t="shared" si="3"/>
        <v>Cross-referenced Multiple AIs</v>
      </c>
      <c r="AJ11" t="str">
        <f t="shared" si="4"/>
        <v>Moderate Trust</v>
      </c>
      <c r="AL11">
        <f t="shared" si="5"/>
        <v>50.8</v>
      </c>
      <c r="AM11" t="str">
        <f t="shared" si="6"/>
        <v>Professional</v>
      </c>
    </row>
    <row r="12" spans="1:41" x14ac:dyDescent="0.25">
      <c r="A12" t="s">
        <v>23</v>
      </c>
      <c r="B12" t="s">
        <v>42</v>
      </c>
      <c r="C12">
        <v>82.85</v>
      </c>
      <c r="D12">
        <v>331</v>
      </c>
      <c r="E12" t="b">
        <v>1</v>
      </c>
      <c r="F12" t="b">
        <v>1</v>
      </c>
      <c r="G12" t="b">
        <v>1</v>
      </c>
      <c r="H12" t="s">
        <v>34</v>
      </c>
      <c r="I12" t="s">
        <v>26</v>
      </c>
      <c r="J12" t="s">
        <v>54</v>
      </c>
      <c r="K12" t="s">
        <v>37</v>
      </c>
      <c r="L12" t="s">
        <v>38</v>
      </c>
      <c r="M12" t="s">
        <v>46</v>
      </c>
      <c r="N12" t="s">
        <v>46</v>
      </c>
      <c r="P12" t="b">
        <v>1</v>
      </c>
      <c r="Q12">
        <v>10</v>
      </c>
      <c r="R12" t="b">
        <v>1</v>
      </c>
      <c r="S12" t="s">
        <v>55</v>
      </c>
      <c r="T12">
        <v>22.9</v>
      </c>
      <c r="U12">
        <v>68.05</v>
      </c>
      <c r="V12" t="b">
        <v>0</v>
      </c>
      <c r="W12" t="s">
        <v>31</v>
      </c>
      <c r="AE12" t="str">
        <f t="shared" si="0"/>
        <v>Yes</v>
      </c>
      <c r="AF12" t="str">
        <f t="shared" si="1"/>
        <v>Medium</v>
      </c>
      <c r="AG12" t="str">
        <f t="shared" si="2"/>
        <v>No</v>
      </c>
      <c r="AH12" t="str">
        <f t="shared" si="3"/>
        <v>Academic Paper</v>
      </c>
      <c r="AJ12" t="str">
        <f t="shared" si="4"/>
        <v>High Trust</v>
      </c>
      <c r="AL12">
        <f t="shared" si="5"/>
        <v>68.099999999999994</v>
      </c>
      <c r="AM12" t="str">
        <f t="shared" si="6"/>
        <v>Masters</v>
      </c>
    </row>
    <row r="13" spans="1:41" x14ac:dyDescent="0.25">
      <c r="A13" t="s">
        <v>23</v>
      </c>
      <c r="B13" t="s">
        <v>33</v>
      </c>
      <c r="C13">
        <v>76.69</v>
      </c>
      <c r="D13">
        <v>70</v>
      </c>
      <c r="E13" t="b">
        <v>1</v>
      </c>
      <c r="F13" t="b">
        <v>0</v>
      </c>
      <c r="G13" t="b">
        <v>1</v>
      </c>
      <c r="H13" t="s">
        <v>25</v>
      </c>
      <c r="I13" t="s">
        <v>57</v>
      </c>
      <c r="J13" t="s">
        <v>50</v>
      </c>
      <c r="K13" t="s">
        <v>28</v>
      </c>
      <c r="L13" t="s">
        <v>37</v>
      </c>
      <c r="M13" t="s">
        <v>28</v>
      </c>
      <c r="N13" t="s">
        <v>46</v>
      </c>
      <c r="P13" t="b">
        <v>1</v>
      </c>
      <c r="Q13">
        <v>9.9</v>
      </c>
      <c r="R13" t="b">
        <v>0</v>
      </c>
      <c r="T13">
        <v>0</v>
      </c>
      <c r="U13">
        <v>62.11</v>
      </c>
      <c r="V13" t="b">
        <v>0</v>
      </c>
      <c r="W13" t="s">
        <v>58</v>
      </c>
      <c r="AE13" t="str">
        <f t="shared" si="0"/>
        <v>No</v>
      </c>
      <c r="AF13" t="str">
        <f t="shared" si="1"/>
        <v>Medium</v>
      </c>
      <c r="AG13" t="str">
        <f t="shared" si="2"/>
        <v>No</v>
      </c>
      <c r="AH13" t="str">
        <f t="shared" si="3"/>
        <v>Unknown</v>
      </c>
      <c r="AJ13" t="str">
        <f t="shared" si="4"/>
        <v>High Trust</v>
      </c>
      <c r="AL13">
        <f t="shared" si="5"/>
        <v>62.1</v>
      </c>
      <c r="AM13" t="str">
        <f t="shared" si="6"/>
        <v>Professional</v>
      </c>
    </row>
    <row r="14" spans="1:41" x14ac:dyDescent="0.25">
      <c r="A14" t="s">
        <v>32</v>
      </c>
      <c r="B14" t="s">
        <v>66</v>
      </c>
      <c r="C14">
        <v>77.430000000000007</v>
      </c>
      <c r="D14">
        <v>549</v>
      </c>
      <c r="E14" t="b">
        <v>0</v>
      </c>
      <c r="F14" t="b">
        <v>0</v>
      </c>
      <c r="G14" t="b">
        <v>1</v>
      </c>
      <c r="H14" t="s">
        <v>53</v>
      </c>
      <c r="I14" t="s">
        <v>67</v>
      </c>
      <c r="J14" t="s">
        <v>36</v>
      </c>
      <c r="K14" t="s">
        <v>39</v>
      </c>
      <c r="L14" t="s">
        <v>51</v>
      </c>
      <c r="M14" t="s">
        <v>28</v>
      </c>
      <c r="N14" t="s">
        <v>46</v>
      </c>
      <c r="O14" t="b">
        <v>1</v>
      </c>
      <c r="P14" t="b">
        <v>0</v>
      </c>
      <c r="Q14">
        <v>9.5</v>
      </c>
      <c r="R14" t="b">
        <v>1</v>
      </c>
      <c r="S14" t="s">
        <v>52</v>
      </c>
      <c r="T14">
        <v>33.799999999999997</v>
      </c>
      <c r="U14">
        <v>73.81</v>
      </c>
      <c r="V14" t="b">
        <v>0</v>
      </c>
      <c r="W14" t="s">
        <v>31</v>
      </c>
      <c r="AE14" t="str">
        <f t="shared" si="0"/>
        <v>No</v>
      </c>
      <c r="AF14" t="str">
        <f t="shared" si="1"/>
        <v>Medium</v>
      </c>
      <c r="AG14" t="str">
        <f t="shared" si="2"/>
        <v>Yes</v>
      </c>
      <c r="AH14" t="str">
        <f t="shared" si="3"/>
        <v>Checked Official Source</v>
      </c>
      <c r="AJ14" t="str">
        <f t="shared" si="4"/>
        <v>High Trust</v>
      </c>
      <c r="AL14">
        <f t="shared" si="5"/>
        <v>73.8</v>
      </c>
      <c r="AM14" t="str">
        <f t="shared" si="6"/>
        <v>PhD</v>
      </c>
    </row>
    <row r="15" spans="1:41" x14ac:dyDescent="0.25">
      <c r="A15" t="s">
        <v>68</v>
      </c>
      <c r="B15" t="s">
        <v>33</v>
      </c>
      <c r="C15">
        <v>78.83</v>
      </c>
      <c r="D15">
        <v>419</v>
      </c>
      <c r="E15" t="b">
        <v>0</v>
      </c>
      <c r="G15" t="b">
        <v>0</v>
      </c>
      <c r="H15" t="s">
        <v>34</v>
      </c>
      <c r="I15" t="s">
        <v>44</v>
      </c>
      <c r="J15" t="s">
        <v>45</v>
      </c>
      <c r="K15" t="s">
        <v>37</v>
      </c>
      <c r="L15" t="s">
        <v>51</v>
      </c>
      <c r="M15" t="s">
        <v>46</v>
      </c>
      <c r="N15" t="s">
        <v>46</v>
      </c>
      <c r="P15" t="b">
        <v>0</v>
      </c>
      <c r="Q15">
        <v>7.2</v>
      </c>
      <c r="R15" t="b">
        <v>1</v>
      </c>
      <c r="S15" t="s">
        <v>65</v>
      </c>
      <c r="T15">
        <v>41.9</v>
      </c>
      <c r="U15">
        <v>81.22</v>
      </c>
      <c r="V15" t="b">
        <v>1</v>
      </c>
      <c r="W15" t="s">
        <v>41</v>
      </c>
      <c r="AE15" t="str">
        <f t="shared" si="0"/>
        <v>No</v>
      </c>
      <c r="AF15" t="str">
        <f t="shared" si="1"/>
        <v>Medium</v>
      </c>
      <c r="AG15" t="str">
        <f t="shared" si="2"/>
        <v>No</v>
      </c>
      <c r="AH15" t="str">
        <f t="shared" si="3"/>
        <v>Cross-referenced Multiple AIs</v>
      </c>
      <c r="AJ15" t="str">
        <f t="shared" si="4"/>
        <v>Moderate Trust</v>
      </c>
      <c r="AL15">
        <f t="shared" si="5"/>
        <v>81.2</v>
      </c>
      <c r="AM15" t="str">
        <f t="shared" si="6"/>
        <v>High School</v>
      </c>
    </row>
    <row r="16" spans="1:41" x14ac:dyDescent="0.25">
      <c r="A16" t="s">
        <v>68</v>
      </c>
      <c r="B16" t="s">
        <v>49</v>
      </c>
      <c r="C16">
        <v>75</v>
      </c>
      <c r="D16">
        <v>386</v>
      </c>
      <c r="E16" t="b">
        <v>0</v>
      </c>
      <c r="F16" t="b">
        <v>1</v>
      </c>
      <c r="G16" t="b">
        <v>1</v>
      </c>
      <c r="H16" t="s">
        <v>25</v>
      </c>
      <c r="I16" t="s">
        <v>26</v>
      </c>
      <c r="J16" t="s">
        <v>50</v>
      </c>
      <c r="K16" t="s">
        <v>46</v>
      </c>
      <c r="L16" t="s">
        <v>29</v>
      </c>
      <c r="M16" t="s">
        <v>28</v>
      </c>
      <c r="N16" t="s">
        <v>46</v>
      </c>
      <c r="O16" t="b">
        <v>1</v>
      </c>
      <c r="P16" t="b">
        <v>0</v>
      </c>
      <c r="Q16">
        <v>9.9</v>
      </c>
      <c r="R16" t="b">
        <v>0</v>
      </c>
      <c r="T16">
        <v>0</v>
      </c>
      <c r="U16">
        <v>66.209999999999994</v>
      </c>
      <c r="V16" t="b">
        <v>0</v>
      </c>
      <c r="W16" t="s">
        <v>58</v>
      </c>
      <c r="AE16" t="str">
        <f t="shared" si="0"/>
        <v>Yes</v>
      </c>
      <c r="AF16" t="str">
        <f t="shared" si="1"/>
        <v>Medium</v>
      </c>
      <c r="AG16" t="str">
        <f t="shared" si="2"/>
        <v>Yes</v>
      </c>
      <c r="AH16" t="str">
        <f t="shared" si="3"/>
        <v>Unknown</v>
      </c>
      <c r="AJ16" t="str">
        <f t="shared" si="4"/>
        <v>High Trust</v>
      </c>
      <c r="AL16">
        <f t="shared" si="5"/>
        <v>66.2</v>
      </c>
      <c r="AM16" t="str">
        <f t="shared" si="6"/>
        <v>Professional</v>
      </c>
    </row>
    <row r="17" spans="1:42" x14ac:dyDescent="0.25">
      <c r="A17" t="s">
        <v>68</v>
      </c>
      <c r="B17" t="s">
        <v>66</v>
      </c>
      <c r="C17">
        <v>55.73</v>
      </c>
      <c r="D17">
        <v>698</v>
      </c>
      <c r="E17" t="b">
        <v>1</v>
      </c>
      <c r="F17" t="b">
        <v>1</v>
      </c>
      <c r="G17" t="b">
        <v>0</v>
      </c>
      <c r="H17" t="s">
        <v>25</v>
      </c>
      <c r="I17" t="s">
        <v>57</v>
      </c>
      <c r="J17" t="s">
        <v>27</v>
      </c>
      <c r="K17" t="s">
        <v>28</v>
      </c>
      <c r="L17" t="s">
        <v>69</v>
      </c>
      <c r="M17" t="s">
        <v>47</v>
      </c>
      <c r="N17" t="s">
        <v>39</v>
      </c>
      <c r="O17" t="b">
        <v>0</v>
      </c>
      <c r="P17" t="b">
        <v>1</v>
      </c>
      <c r="Q17">
        <v>5.2</v>
      </c>
      <c r="R17" t="b">
        <v>0</v>
      </c>
      <c r="T17">
        <v>0</v>
      </c>
      <c r="U17">
        <v>55.92</v>
      </c>
      <c r="V17" t="b">
        <v>1</v>
      </c>
      <c r="W17" t="s">
        <v>41</v>
      </c>
      <c r="AE17" t="str">
        <f t="shared" si="0"/>
        <v>Yes</v>
      </c>
      <c r="AF17" t="str">
        <f t="shared" si="1"/>
        <v>High</v>
      </c>
      <c r="AG17" t="str">
        <f t="shared" si="2"/>
        <v>No</v>
      </c>
      <c r="AH17" t="str">
        <f t="shared" si="3"/>
        <v>Unknown</v>
      </c>
      <c r="AJ17" t="str">
        <f t="shared" si="4"/>
        <v>Moderate Trust</v>
      </c>
      <c r="AL17">
        <f t="shared" si="5"/>
        <v>55.9</v>
      </c>
      <c r="AM17" t="str">
        <f t="shared" si="6"/>
        <v>Bachelors</v>
      </c>
    </row>
    <row r="18" spans="1:42" x14ac:dyDescent="0.25">
      <c r="A18" t="s">
        <v>68</v>
      </c>
      <c r="B18" t="s">
        <v>70</v>
      </c>
      <c r="C18">
        <v>79.42</v>
      </c>
      <c r="D18">
        <v>382</v>
      </c>
      <c r="E18" t="b">
        <v>0</v>
      </c>
      <c r="F18" t="b">
        <v>0</v>
      </c>
      <c r="G18" t="b">
        <v>1</v>
      </c>
      <c r="H18" t="s">
        <v>53</v>
      </c>
      <c r="I18" t="s">
        <v>57</v>
      </c>
      <c r="J18" t="s">
        <v>50</v>
      </c>
      <c r="K18" t="s">
        <v>37</v>
      </c>
      <c r="L18" t="s">
        <v>51</v>
      </c>
      <c r="M18" t="s">
        <v>39</v>
      </c>
      <c r="N18" t="s">
        <v>39</v>
      </c>
      <c r="O18" t="b">
        <v>0</v>
      </c>
      <c r="P18" t="b">
        <v>0</v>
      </c>
      <c r="Q18">
        <v>6.7</v>
      </c>
      <c r="R18" t="b">
        <v>1</v>
      </c>
      <c r="S18" t="s">
        <v>40</v>
      </c>
      <c r="T18">
        <v>30</v>
      </c>
      <c r="U18">
        <v>88.58</v>
      </c>
      <c r="V18" t="b">
        <v>0</v>
      </c>
      <c r="W18" t="s">
        <v>41</v>
      </c>
      <c r="AE18" t="str">
        <f t="shared" si="0"/>
        <v>No</v>
      </c>
      <c r="AF18" t="str">
        <f t="shared" si="1"/>
        <v>High</v>
      </c>
      <c r="AG18" t="str">
        <f t="shared" si="2"/>
        <v>No</v>
      </c>
      <c r="AH18" t="str">
        <f t="shared" si="3"/>
        <v>Asked Expert</v>
      </c>
      <c r="AJ18" t="str">
        <f t="shared" si="4"/>
        <v>Low Trust</v>
      </c>
      <c r="AL18">
        <f t="shared" si="5"/>
        <v>88.6</v>
      </c>
      <c r="AM18" t="str">
        <f t="shared" si="6"/>
        <v>Professional</v>
      </c>
    </row>
    <row r="19" spans="1:42" x14ac:dyDescent="0.25">
      <c r="A19" t="s">
        <v>23</v>
      </c>
      <c r="B19" t="s">
        <v>71</v>
      </c>
      <c r="C19">
        <v>47.7</v>
      </c>
      <c r="D19">
        <v>53</v>
      </c>
      <c r="E19" t="b">
        <v>0</v>
      </c>
      <c r="F19" t="b">
        <v>1</v>
      </c>
      <c r="G19" t="b">
        <v>0</v>
      </c>
      <c r="H19" t="s">
        <v>53</v>
      </c>
      <c r="I19" t="s">
        <v>63</v>
      </c>
      <c r="J19" t="s">
        <v>36</v>
      </c>
      <c r="K19" t="s">
        <v>39</v>
      </c>
      <c r="L19" t="s">
        <v>69</v>
      </c>
      <c r="M19" t="s">
        <v>47</v>
      </c>
      <c r="N19" t="s">
        <v>28</v>
      </c>
      <c r="O19" t="b">
        <v>0</v>
      </c>
      <c r="P19" t="b">
        <v>1</v>
      </c>
      <c r="Q19">
        <v>2.9</v>
      </c>
      <c r="R19" t="b">
        <v>1</v>
      </c>
      <c r="S19" t="s">
        <v>55</v>
      </c>
      <c r="T19">
        <v>29.9</v>
      </c>
      <c r="U19">
        <v>40.409999999999997</v>
      </c>
      <c r="V19" t="b">
        <v>1</v>
      </c>
      <c r="W19" t="s">
        <v>72</v>
      </c>
      <c r="AE19" t="str">
        <f t="shared" si="0"/>
        <v>Yes</v>
      </c>
      <c r="AF19" t="str">
        <f t="shared" si="1"/>
        <v>Low</v>
      </c>
      <c r="AG19" t="str">
        <f t="shared" si="2"/>
        <v>No</v>
      </c>
      <c r="AH19" t="str">
        <f t="shared" si="3"/>
        <v>Academic Paper</v>
      </c>
      <c r="AJ19" t="str">
        <f t="shared" si="4"/>
        <v>Low Trust</v>
      </c>
      <c r="AL19">
        <f t="shared" si="5"/>
        <v>40.4</v>
      </c>
      <c r="AM19" t="str">
        <f t="shared" si="6"/>
        <v>PhD</v>
      </c>
    </row>
    <row r="20" spans="1:42" x14ac:dyDescent="0.25">
      <c r="A20" t="s">
        <v>61</v>
      </c>
      <c r="B20" t="s">
        <v>73</v>
      </c>
      <c r="C20">
        <v>52.94</v>
      </c>
      <c r="D20">
        <v>725</v>
      </c>
      <c r="E20" t="b">
        <v>1</v>
      </c>
      <c r="F20" t="b">
        <v>0</v>
      </c>
      <c r="G20" t="b">
        <v>1</v>
      </c>
      <c r="H20" t="s">
        <v>53</v>
      </c>
      <c r="I20" t="s">
        <v>35</v>
      </c>
      <c r="J20" t="s">
        <v>36</v>
      </c>
      <c r="K20" t="s">
        <v>46</v>
      </c>
      <c r="L20" t="s">
        <v>29</v>
      </c>
      <c r="M20" t="s">
        <v>47</v>
      </c>
      <c r="N20" t="s">
        <v>46</v>
      </c>
      <c r="O20" t="b">
        <v>0</v>
      </c>
      <c r="P20" t="b">
        <v>1</v>
      </c>
      <c r="Q20">
        <v>4.7</v>
      </c>
      <c r="R20" t="b">
        <v>1</v>
      </c>
      <c r="S20" t="s">
        <v>64</v>
      </c>
      <c r="T20">
        <v>36.1</v>
      </c>
      <c r="U20">
        <v>38.72</v>
      </c>
      <c r="V20" t="b">
        <v>1</v>
      </c>
      <c r="W20" t="s">
        <v>72</v>
      </c>
      <c r="AE20" t="str">
        <f t="shared" si="0"/>
        <v>No</v>
      </c>
      <c r="AF20" t="str">
        <f t="shared" si="1"/>
        <v>Medium</v>
      </c>
      <c r="AG20" t="str">
        <f t="shared" si="2"/>
        <v>No</v>
      </c>
      <c r="AH20" t="str">
        <f t="shared" si="3"/>
        <v>Personal Testing</v>
      </c>
      <c r="AJ20" t="str">
        <f t="shared" si="4"/>
        <v>Moderate Trust</v>
      </c>
      <c r="AL20">
        <f t="shared" si="5"/>
        <v>38.700000000000003</v>
      </c>
      <c r="AM20" t="str">
        <f t="shared" si="6"/>
        <v>PhD</v>
      </c>
    </row>
    <row r="21" spans="1:42" x14ac:dyDescent="0.25">
      <c r="A21" t="s">
        <v>68</v>
      </c>
      <c r="B21" t="s">
        <v>59</v>
      </c>
      <c r="C21">
        <v>91.49</v>
      </c>
      <c r="D21">
        <v>457</v>
      </c>
      <c r="E21" t="b">
        <v>1</v>
      </c>
      <c r="F21" t="b">
        <v>1</v>
      </c>
      <c r="G21" t="b">
        <v>0</v>
      </c>
      <c r="H21" t="s">
        <v>43</v>
      </c>
      <c r="I21" t="s">
        <v>44</v>
      </c>
      <c r="J21" t="s">
        <v>54</v>
      </c>
      <c r="K21" t="s">
        <v>37</v>
      </c>
      <c r="L21" t="s">
        <v>51</v>
      </c>
      <c r="M21" t="s">
        <v>46</v>
      </c>
      <c r="N21" t="s">
        <v>28</v>
      </c>
      <c r="P21" t="b">
        <v>1</v>
      </c>
      <c r="Q21">
        <v>9.4</v>
      </c>
      <c r="R21" t="b">
        <v>0</v>
      </c>
      <c r="T21">
        <v>0</v>
      </c>
      <c r="U21">
        <v>78.010000000000005</v>
      </c>
      <c r="V21" t="b">
        <v>1</v>
      </c>
      <c r="W21" t="s">
        <v>58</v>
      </c>
      <c r="AE21" t="str">
        <f t="shared" si="0"/>
        <v>Yes</v>
      </c>
      <c r="AF21" t="str">
        <f t="shared" si="1"/>
        <v>Low</v>
      </c>
      <c r="AG21" t="str">
        <f t="shared" si="2"/>
        <v>No</v>
      </c>
      <c r="AH21" t="str">
        <f t="shared" si="3"/>
        <v>Unknown</v>
      </c>
      <c r="AJ21" t="str">
        <f t="shared" si="4"/>
        <v>High Trust</v>
      </c>
      <c r="AL21">
        <f t="shared" si="5"/>
        <v>78</v>
      </c>
      <c r="AM21" t="str">
        <f t="shared" si="6"/>
        <v>Masters</v>
      </c>
    </row>
    <row r="22" spans="1:42" x14ac:dyDescent="0.25">
      <c r="A22" t="s">
        <v>32</v>
      </c>
      <c r="B22" t="s">
        <v>33</v>
      </c>
      <c r="C22">
        <v>85.85</v>
      </c>
      <c r="D22">
        <v>617</v>
      </c>
      <c r="E22" t="b">
        <v>0</v>
      </c>
      <c r="F22" t="b">
        <v>1</v>
      </c>
      <c r="G22" t="b">
        <v>0</v>
      </c>
      <c r="H22" t="s">
        <v>34</v>
      </c>
      <c r="I22" t="s">
        <v>35</v>
      </c>
      <c r="J22" t="s">
        <v>27</v>
      </c>
      <c r="K22" t="s">
        <v>28</v>
      </c>
      <c r="L22" t="s">
        <v>69</v>
      </c>
      <c r="M22" t="s">
        <v>28</v>
      </c>
      <c r="N22" t="s">
        <v>28</v>
      </c>
      <c r="P22" t="b">
        <v>0</v>
      </c>
      <c r="Q22">
        <v>9.9</v>
      </c>
      <c r="R22" t="b">
        <v>1</v>
      </c>
      <c r="S22" t="s">
        <v>65</v>
      </c>
      <c r="T22">
        <v>42.1</v>
      </c>
      <c r="U22">
        <v>77.63</v>
      </c>
      <c r="V22" t="b">
        <v>0</v>
      </c>
      <c r="W22" t="s">
        <v>31</v>
      </c>
      <c r="AE22" t="str">
        <f t="shared" si="0"/>
        <v>Yes</v>
      </c>
      <c r="AF22" t="str">
        <f t="shared" si="1"/>
        <v>Low</v>
      </c>
      <c r="AG22" t="str">
        <f t="shared" si="2"/>
        <v>No</v>
      </c>
      <c r="AH22" t="str">
        <f t="shared" si="3"/>
        <v>Cross-referenced Multiple AIs</v>
      </c>
      <c r="AJ22" t="str">
        <f t="shared" si="4"/>
        <v>High Trust</v>
      </c>
      <c r="AL22">
        <f t="shared" si="5"/>
        <v>77.599999999999994</v>
      </c>
      <c r="AM22" t="str">
        <f t="shared" si="6"/>
        <v>Bachelors</v>
      </c>
    </row>
    <row r="23" spans="1:42" x14ac:dyDescent="0.25">
      <c r="A23" t="s">
        <v>23</v>
      </c>
      <c r="B23" t="s">
        <v>60</v>
      </c>
      <c r="C23">
        <v>55.95</v>
      </c>
      <c r="D23">
        <v>166</v>
      </c>
      <c r="E23" t="b">
        <v>1</v>
      </c>
      <c r="F23" t="b">
        <v>0</v>
      </c>
      <c r="G23" t="b">
        <v>1</v>
      </c>
      <c r="H23" t="s">
        <v>43</v>
      </c>
      <c r="I23" t="s">
        <v>57</v>
      </c>
      <c r="J23" t="s">
        <v>54</v>
      </c>
      <c r="K23" t="s">
        <v>46</v>
      </c>
      <c r="L23" t="s">
        <v>38</v>
      </c>
      <c r="M23" t="s">
        <v>39</v>
      </c>
      <c r="N23" t="s">
        <v>39</v>
      </c>
      <c r="P23" t="b">
        <v>1</v>
      </c>
      <c r="Q23">
        <v>7.7</v>
      </c>
      <c r="R23" t="b">
        <v>1</v>
      </c>
      <c r="S23" t="s">
        <v>52</v>
      </c>
      <c r="T23">
        <v>34.299999999999997</v>
      </c>
      <c r="U23">
        <v>55.71</v>
      </c>
      <c r="V23" t="b">
        <v>0</v>
      </c>
      <c r="W23" t="s">
        <v>41</v>
      </c>
      <c r="AE23" t="str">
        <f t="shared" si="0"/>
        <v>No</v>
      </c>
      <c r="AF23" t="str">
        <f t="shared" si="1"/>
        <v>High</v>
      </c>
      <c r="AG23" t="str">
        <f t="shared" si="2"/>
        <v>No</v>
      </c>
      <c r="AH23" t="str">
        <f t="shared" si="3"/>
        <v>Checked Official Source</v>
      </c>
      <c r="AJ23" t="str">
        <f t="shared" si="4"/>
        <v>Moderate Trust</v>
      </c>
      <c r="AL23">
        <f t="shared" si="5"/>
        <v>55.7</v>
      </c>
      <c r="AM23" t="str">
        <f t="shared" si="6"/>
        <v>Masters</v>
      </c>
    </row>
    <row r="24" spans="1:42" x14ac:dyDescent="0.25">
      <c r="A24" t="s">
        <v>56</v>
      </c>
      <c r="B24" t="s">
        <v>66</v>
      </c>
      <c r="C24">
        <v>75.510000000000005</v>
      </c>
      <c r="D24">
        <v>289</v>
      </c>
      <c r="E24" t="b">
        <v>1</v>
      </c>
      <c r="F24" t="b">
        <v>0</v>
      </c>
      <c r="G24" t="b">
        <v>1</v>
      </c>
      <c r="H24" t="s">
        <v>34</v>
      </c>
      <c r="I24" t="s">
        <v>26</v>
      </c>
      <c r="J24" t="s">
        <v>54</v>
      </c>
      <c r="K24" t="s">
        <v>28</v>
      </c>
      <c r="L24" t="s">
        <v>38</v>
      </c>
      <c r="M24" t="s">
        <v>39</v>
      </c>
      <c r="N24" t="s">
        <v>28</v>
      </c>
      <c r="O24" t="b">
        <v>1</v>
      </c>
      <c r="P24" t="b">
        <v>1</v>
      </c>
      <c r="Q24">
        <v>10</v>
      </c>
      <c r="R24" t="b">
        <v>1</v>
      </c>
      <c r="S24" t="s">
        <v>30</v>
      </c>
      <c r="T24">
        <v>13</v>
      </c>
      <c r="U24">
        <v>53.58</v>
      </c>
      <c r="V24" t="b">
        <v>0</v>
      </c>
      <c r="W24" t="s">
        <v>31</v>
      </c>
      <c r="AE24" t="str">
        <f t="shared" si="0"/>
        <v>No</v>
      </c>
      <c r="AF24" t="str">
        <f t="shared" si="1"/>
        <v>Low</v>
      </c>
      <c r="AG24" t="str">
        <f t="shared" si="2"/>
        <v>Yes</v>
      </c>
      <c r="AH24" t="str">
        <f t="shared" si="3"/>
        <v>Google Search</v>
      </c>
      <c r="AJ24" t="str">
        <f t="shared" si="4"/>
        <v>High Trust</v>
      </c>
      <c r="AL24">
        <f t="shared" si="5"/>
        <v>53.6</v>
      </c>
      <c r="AM24" t="str">
        <f t="shared" si="6"/>
        <v>Masters</v>
      </c>
    </row>
    <row r="25" spans="1:42" x14ac:dyDescent="0.25">
      <c r="A25" t="s">
        <v>32</v>
      </c>
      <c r="B25" t="s">
        <v>71</v>
      </c>
      <c r="C25">
        <v>42.81</v>
      </c>
      <c r="D25">
        <v>86</v>
      </c>
      <c r="E25" t="b">
        <v>1</v>
      </c>
      <c r="F25" t="b">
        <v>0</v>
      </c>
      <c r="G25" t="b">
        <v>1</v>
      </c>
      <c r="H25" t="s">
        <v>43</v>
      </c>
      <c r="I25" t="s">
        <v>26</v>
      </c>
      <c r="J25" t="s">
        <v>54</v>
      </c>
      <c r="K25" t="s">
        <v>28</v>
      </c>
      <c r="L25" t="s">
        <v>29</v>
      </c>
      <c r="M25" t="s">
        <v>47</v>
      </c>
      <c r="N25" t="s">
        <v>39</v>
      </c>
      <c r="O25" t="b">
        <v>0</v>
      </c>
      <c r="P25" t="b">
        <v>0</v>
      </c>
      <c r="Q25">
        <v>2.7</v>
      </c>
      <c r="R25" t="b">
        <v>1</v>
      </c>
      <c r="S25" t="s">
        <v>55</v>
      </c>
      <c r="T25">
        <v>2.5</v>
      </c>
      <c r="U25">
        <v>21.4</v>
      </c>
      <c r="V25" t="b">
        <v>1</v>
      </c>
      <c r="W25" t="s">
        <v>72</v>
      </c>
      <c r="AE25" t="str">
        <f t="shared" si="0"/>
        <v>No</v>
      </c>
      <c r="AF25" t="str">
        <f t="shared" si="1"/>
        <v>High</v>
      </c>
      <c r="AG25" t="str">
        <f t="shared" si="2"/>
        <v>No</v>
      </c>
      <c r="AH25" t="str">
        <f t="shared" si="3"/>
        <v>Academic Paper</v>
      </c>
      <c r="AJ25" t="str">
        <f t="shared" si="4"/>
        <v>Low Trust</v>
      </c>
      <c r="AL25">
        <f t="shared" si="5"/>
        <v>21.4</v>
      </c>
      <c r="AM25" t="str">
        <f t="shared" si="6"/>
        <v>Masters</v>
      </c>
      <c r="AP25" t="s">
        <v>109</v>
      </c>
    </row>
    <row r="26" spans="1:42" x14ac:dyDescent="0.25">
      <c r="A26" t="s">
        <v>74</v>
      </c>
      <c r="B26" t="s">
        <v>66</v>
      </c>
      <c r="C26">
        <v>62.31</v>
      </c>
      <c r="D26">
        <v>51</v>
      </c>
      <c r="E26" t="b">
        <v>0</v>
      </c>
      <c r="F26" t="b">
        <v>1</v>
      </c>
      <c r="G26" t="b">
        <v>1</v>
      </c>
      <c r="H26" t="s">
        <v>43</v>
      </c>
      <c r="I26" t="s">
        <v>63</v>
      </c>
      <c r="J26" t="s">
        <v>36</v>
      </c>
      <c r="K26" t="s">
        <v>28</v>
      </c>
      <c r="L26" t="s">
        <v>69</v>
      </c>
      <c r="M26" t="s">
        <v>39</v>
      </c>
      <c r="N26" t="s">
        <v>28</v>
      </c>
      <c r="O26" t="b">
        <v>0</v>
      </c>
      <c r="P26" t="b">
        <v>0</v>
      </c>
      <c r="Q26">
        <v>4.8</v>
      </c>
      <c r="R26" t="b">
        <v>1</v>
      </c>
      <c r="S26" t="s">
        <v>65</v>
      </c>
      <c r="T26">
        <v>26.2</v>
      </c>
      <c r="U26">
        <v>40.83</v>
      </c>
      <c r="V26" t="b">
        <v>1</v>
      </c>
      <c r="W26" t="s">
        <v>72</v>
      </c>
      <c r="AE26" t="str">
        <f t="shared" si="0"/>
        <v>Yes</v>
      </c>
      <c r="AF26" t="str">
        <f t="shared" si="1"/>
        <v>Low</v>
      </c>
      <c r="AG26" t="str">
        <f t="shared" si="2"/>
        <v>No</v>
      </c>
      <c r="AH26" t="str">
        <f t="shared" si="3"/>
        <v>Cross-referenced Multiple AIs</v>
      </c>
      <c r="AJ26" t="str">
        <f t="shared" si="4"/>
        <v>Moderate Trust</v>
      </c>
      <c r="AL26">
        <f t="shared" si="5"/>
        <v>40.799999999999997</v>
      </c>
      <c r="AM26" t="str">
        <f t="shared" si="6"/>
        <v>PhD</v>
      </c>
    </row>
    <row r="27" spans="1:42" x14ac:dyDescent="0.25">
      <c r="A27" t="s">
        <v>74</v>
      </c>
      <c r="B27" t="s">
        <v>66</v>
      </c>
      <c r="C27">
        <v>65.12</v>
      </c>
      <c r="D27">
        <v>320</v>
      </c>
      <c r="E27" t="b">
        <v>0</v>
      </c>
      <c r="F27" t="b">
        <v>1</v>
      </c>
      <c r="G27" t="b">
        <v>1</v>
      </c>
      <c r="H27" t="s">
        <v>43</v>
      </c>
      <c r="I27" t="s">
        <v>57</v>
      </c>
      <c r="J27" t="s">
        <v>36</v>
      </c>
      <c r="K27" t="s">
        <v>37</v>
      </c>
      <c r="L27" t="s">
        <v>69</v>
      </c>
      <c r="M27" t="s">
        <v>39</v>
      </c>
      <c r="O27" t="b">
        <v>1</v>
      </c>
      <c r="P27" t="b">
        <v>0</v>
      </c>
      <c r="Q27">
        <v>7.5</v>
      </c>
      <c r="R27" t="b">
        <v>1</v>
      </c>
      <c r="S27" t="s">
        <v>64</v>
      </c>
      <c r="T27">
        <v>11.5</v>
      </c>
      <c r="U27">
        <v>61.68</v>
      </c>
      <c r="V27" t="b">
        <v>1</v>
      </c>
      <c r="W27" t="s">
        <v>41</v>
      </c>
      <c r="AE27" t="str">
        <f t="shared" si="0"/>
        <v>Yes</v>
      </c>
      <c r="AF27" t="str">
        <f t="shared" si="1"/>
        <v>Unknown</v>
      </c>
      <c r="AG27" t="str">
        <f t="shared" si="2"/>
        <v>Yes</v>
      </c>
      <c r="AH27" t="str">
        <f t="shared" si="3"/>
        <v>Personal Testing</v>
      </c>
      <c r="AJ27" t="str">
        <f t="shared" si="4"/>
        <v>Moderate Trust</v>
      </c>
      <c r="AL27">
        <f t="shared" si="5"/>
        <v>61.7</v>
      </c>
      <c r="AM27" t="str">
        <f t="shared" si="6"/>
        <v>PhD</v>
      </c>
    </row>
    <row r="28" spans="1:42" x14ac:dyDescent="0.25">
      <c r="A28" t="s">
        <v>23</v>
      </c>
      <c r="B28" t="s">
        <v>73</v>
      </c>
      <c r="C28">
        <v>64.2</v>
      </c>
      <c r="D28">
        <v>293</v>
      </c>
      <c r="E28" t="b">
        <v>1</v>
      </c>
      <c r="F28" t="b">
        <v>0</v>
      </c>
      <c r="G28" t="b">
        <v>0</v>
      </c>
      <c r="H28" t="s">
        <v>34</v>
      </c>
      <c r="I28" t="s">
        <v>63</v>
      </c>
      <c r="J28" t="s">
        <v>36</v>
      </c>
      <c r="K28" t="s">
        <v>39</v>
      </c>
      <c r="L28" t="s">
        <v>37</v>
      </c>
      <c r="M28" t="s">
        <v>28</v>
      </c>
      <c r="N28" t="s">
        <v>39</v>
      </c>
      <c r="O28" t="b">
        <v>0</v>
      </c>
      <c r="P28" t="b">
        <v>0</v>
      </c>
      <c r="Q28">
        <v>6.6</v>
      </c>
      <c r="R28" t="b">
        <v>1</v>
      </c>
      <c r="S28" t="s">
        <v>30</v>
      </c>
      <c r="T28">
        <v>27.5</v>
      </c>
      <c r="U28">
        <v>59.63</v>
      </c>
      <c r="V28" t="b">
        <v>1</v>
      </c>
      <c r="W28" t="s">
        <v>41</v>
      </c>
      <c r="AE28" t="str">
        <f t="shared" si="0"/>
        <v>No</v>
      </c>
      <c r="AF28" t="str">
        <f t="shared" si="1"/>
        <v>High</v>
      </c>
      <c r="AG28" t="str">
        <f t="shared" si="2"/>
        <v>No</v>
      </c>
      <c r="AH28" t="str">
        <f t="shared" si="3"/>
        <v>Google Search</v>
      </c>
      <c r="AJ28" t="str">
        <f t="shared" si="4"/>
        <v>Moderate Trust</v>
      </c>
      <c r="AL28">
        <f t="shared" si="5"/>
        <v>59.6</v>
      </c>
      <c r="AM28" t="str">
        <f t="shared" si="6"/>
        <v>PhD</v>
      </c>
    </row>
    <row r="29" spans="1:42" x14ac:dyDescent="0.25">
      <c r="A29" t="s">
        <v>23</v>
      </c>
      <c r="B29" t="s">
        <v>49</v>
      </c>
      <c r="C29">
        <v>64.930000000000007</v>
      </c>
      <c r="D29">
        <v>177</v>
      </c>
      <c r="E29" t="b">
        <v>1</v>
      </c>
      <c r="F29" t="b">
        <v>0</v>
      </c>
      <c r="G29" t="b">
        <v>0</v>
      </c>
      <c r="H29" t="s">
        <v>43</v>
      </c>
      <c r="I29" t="s">
        <v>63</v>
      </c>
      <c r="J29" t="s">
        <v>54</v>
      </c>
      <c r="K29" t="s">
        <v>28</v>
      </c>
      <c r="L29" t="s">
        <v>51</v>
      </c>
      <c r="M29" t="s">
        <v>28</v>
      </c>
      <c r="N29" t="s">
        <v>28</v>
      </c>
      <c r="O29" t="b">
        <v>1</v>
      </c>
      <c r="P29" t="b">
        <v>0</v>
      </c>
      <c r="Q29">
        <v>9.4</v>
      </c>
      <c r="R29" t="b">
        <v>1</v>
      </c>
      <c r="S29" t="s">
        <v>52</v>
      </c>
      <c r="T29">
        <v>30.4</v>
      </c>
      <c r="U29">
        <v>67.760000000000005</v>
      </c>
      <c r="V29" t="b">
        <v>0</v>
      </c>
      <c r="W29" t="s">
        <v>31</v>
      </c>
      <c r="AE29" t="str">
        <f t="shared" si="0"/>
        <v>No</v>
      </c>
      <c r="AF29" t="str">
        <f t="shared" si="1"/>
        <v>Low</v>
      </c>
      <c r="AG29" t="str">
        <f t="shared" si="2"/>
        <v>Yes</v>
      </c>
      <c r="AH29" t="str">
        <f t="shared" si="3"/>
        <v>Checked Official Source</v>
      </c>
      <c r="AJ29" t="str">
        <f t="shared" si="4"/>
        <v>High Trust</v>
      </c>
      <c r="AL29">
        <f t="shared" si="5"/>
        <v>67.8</v>
      </c>
      <c r="AM29" t="str">
        <f t="shared" si="6"/>
        <v>Masters</v>
      </c>
    </row>
    <row r="30" spans="1:42" x14ac:dyDescent="0.25">
      <c r="A30" t="s">
        <v>68</v>
      </c>
      <c r="B30" t="s">
        <v>59</v>
      </c>
      <c r="C30">
        <v>75.099999999999994</v>
      </c>
      <c r="D30">
        <v>107</v>
      </c>
      <c r="E30" t="b">
        <v>0</v>
      </c>
      <c r="F30" t="b">
        <v>0</v>
      </c>
      <c r="G30" t="b">
        <v>1</v>
      </c>
      <c r="H30" t="s">
        <v>25</v>
      </c>
      <c r="I30" t="s">
        <v>63</v>
      </c>
      <c r="J30" t="s">
        <v>36</v>
      </c>
      <c r="K30" t="s">
        <v>37</v>
      </c>
      <c r="L30" t="s">
        <v>69</v>
      </c>
      <c r="M30" t="s">
        <v>39</v>
      </c>
      <c r="O30" t="b">
        <v>1</v>
      </c>
      <c r="P30" t="b">
        <v>1</v>
      </c>
      <c r="Q30">
        <v>9.5</v>
      </c>
      <c r="R30" t="b">
        <v>1</v>
      </c>
      <c r="S30" t="s">
        <v>48</v>
      </c>
      <c r="T30">
        <v>37.6</v>
      </c>
      <c r="U30">
        <v>69.680000000000007</v>
      </c>
      <c r="V30" t="b">
        <v>0</v>
      </c>
      <c r="W30" t="s">
        <v>31</v>
      </c>
      <c r="AE30" t="str">
        <f t="shared" si="0"/>
        <v>No</v>
      </c>
      <c r="AF30" t="str">
        <f t="shared" si="1"/>
        <v>Unknown</v>
      </c>
      <c r="AG30" t="str">
        <f t="shared" si="2"/>
        <v>Yes</v>
      </c>
      <c r="AH30" t="str">
        <f t="shared" si="3"/>
        <v>Consulted Documentation</v>
      </c>
      <c r="AJ30" t="str">
        <f t="shared" si="4"/>
        <v>High Trust</v>
      </c>
      <c r="AL30">
        <f t="shared" si="5"/>
        <v>69.7</v>
      </c>
      <c r="AM30" t="str">
        <f t="shared" si="6"/>
        <v>PhD</v>
      </c>
    </row>
    <row r="31" spans="1:42" x14ac:dyDescent="0.25">
      <c r="A31" t="s">
        <v>61</v>
      </c>
      <c r="B31" t="s">
        <v>71</v>
      </c>
      <c r="C31">
        <v>43.22</v>
      </c>
      <c r="D31">
        <v>345</v>
      </c>
      <c r="E31" t="b">
        <v>1</v>
      </c>
      <c r="F31" t="b">
        <v>1</v>
      </c>
      <c r="G31" t="b">
        <v>1</v>
      </c>
      <c r="H31" t="s">
        <v>25</v>
      </c>
      <c r="I31" t="s">
        <v>44</v>
      </c>
      <c r="J31" t="s">
        <v>45</v>
      </c>
      <c r="K31" t="s">
        <v>28</v>
      </c>
      <c r="L31" t="s">
        <v>29</v>
      </c>
      <c r="M31" t="s">
        <v>39</v>
      </c>
      <c r="N31" t="s">
        <v>46</v>
      </c>
      <c r="O31" t="b">
        <v>0</v>
      </c>
      <c r="P31" t="b">
        <v>0</v>
      </c>
      <c r="Q31">
        <v>4.3</v>
      </c>
      <c r="R31" t="b">
        <v>0</v>
      </c>
      <c r="T31">
        <v>0</v>
      </c>
      <c r="U31">
        <v>26.69</v>
      </c>
      <c r="V31" t="b">
        <v>1</v>
      </c>
      <c r="W31" t="s">
        <v>41</v>
      </c>
      <c r="AE31" t="str">
        <f t="shared" si="0"/>
        <v>Yes</v>
      </c>
      <c r="AF31" t="str">
        <f t="shared" si="1"/>
        <v>Medium</v>
      </c>
      <c r="AG31" t="str">
        <f t="shared" si="2"/>
        <v>No</v>
      </c>
      <c r="AH31" t="str">
        <f t="shared" si="3"/>
        <v>Unknown</v>
      </c>
      <c r="AJ31" t="str">
        <f t="shared" si="4"/>
        <v>Moderate Trust</v>
      </c>
      <c r="AL31">
        <f t="shared" si="5"/>
        <v>26.7</v>
      </c>
      <c r="AM31" t="str">
        <f t="shared" si="6"/>
        <v>High School</v>
      </c>
    </row>
    <row r="32" spans="1:42" x14ac:dyDescent="0.25">
      <c r="A32" t="s">
        <v>68</v>
      </c>
      <c r="B32" t="s">
        <v>73</v>
      </c>
      <c r="C32">
        <v>58.29</v>
      </c>
      <c r="D32">
        <v>776</v>
      </c>
      <c r="E32" t="b">
        <v>1</v>
      </c>
      <c r="F32" t="b">
        <v>0</v>
      </c>
      <c r="G32" t="b">
        <v>1</v>
      </c>
      <c r="H32" t="s">
        <v>53</v>
      </c>
      <c r="I32" t="s">
        <v>63</v>
      </c>
      <c r="J32" t="s">
        <v>36</v>
      </c>
      <c r="K32" t="s">
        <v>28</v>
      </c>
      <c r="L32" t="s">
        <v>38</v>
      </c>
      <c r="M32" t="s">
        <v>28</v>
      </c>
      <c r="N32" t="s">
        <v>39</v>
      </c>
      <c r="O32" t="b">
        <v>1</v>
      </c>
      <c r="P32" t="b">
        <v>1</v>
      </c>
      <c r="Q32">
        <v>10</v>
      </c>
      <c r="R32" t="b">
        <v>0</v>
      </c>
      <c r="T32">
        <v>0</v>
      </c>
      <c r="U32">
        <v>63.76</v>
      </c>
      <c r="V32" t="b">
        <v>0</v>
      </c>
      <c r="W32" t="s">
        <v>58</v>
      </c>
      <c r="AE32" t="str">
        <f t="shared" si="0"/>
        <v>No</v>
      </c>
      <c r="AF32" t="str">
        <f t="shared" si="1"/>
        <v>High</v>
      </c>
      <c r="AG32" t="str">
        <f t="shared" si="2"/>
        <v>Yes</v>
      </c>
      <c r="AH32" t="str">
        <f t="shared" si="3"/>
        <v>Unknown</v>
      </c>
      <c r="AJ32" t="str">
        <f t="shared" si="4"/>
        <v>High Trust</v>
      </c>
      <c r="AL32">
        <f t="shared" si="5"/>
        <v>63.8</v>
      </c>
      <c r="AM32" t="str">
        <f t="shared" si="6"/>
        <v>PhD</v>
      </c>
    </row>
    <row r="33" spans="1:39" x14ac:dyDescent="0.25">
      <c r="A33" t="s">
        <v>32</v>
      </c>
      <c r="B33" t="s">
        <v>66</v>
      </c>
      <c r="C33">
        <v>76.42</v>
      </c>
      <c r="D33">
        <v>466</v>
      </c>
      <c r="E33" t="b">
        <v>1</v>
      </c>
      <c r="F33" t="b">
        <v>0</v>
      </c>
      <c r="G33" t="b">
        <v>0</v>
      </c>
      <c r="H33" t="s">
        <v>25</v>
      </c>
      <c r="I33" t="s">
        <v>44</v>
      </c>
      <c r="J33" t="s">
        <v>54</v>
      </c>
      <c r="K33" t="s">
        <v>37</v>
      </c>
      <c r="L33" t="s">
        <v>37</v>
      </c>
      <c r="M33" t="s">
        <v>47</v>
      </c>
      <c r="O33" t="b">
        <v>1</v>
      </c>
      <c r="P33" t="b">
        <v>1</v>
      </c>
      <c r="Q33">
        <v>9.4</v>
      </c>
      <c r="R33" t="b">
        <v>1</v>
      </c>
      <c r="S33" t="s">
        <v>30</v>
      </c>
      <c r="T33">
        <v>30.9</v>
      </c>
      <c r="U33">
        <v>66.39</v>
      </c>
      <c r="V33" t="b">
        <v>0</v>
      </c>
      <c r="W33" t="s">
        <v>31</v>
      </c>
      <c r="AE33" t="str">
        <f t="shared" si="0"/>
        <v>No</v>
      </c>
      <c r="AF33" t="str">
        <f t="shared" si="1"/>
        <v>Unknown</v>
      </c>
      <c r="AG33" t="str">
        <f t="shared" si="2"/>
        <v>Yes</v>
      </c>
      <c r="AH33" t="str">
        <f t="shared" si="3"/>
        <v>Google Search</v>
      </c>
      <c r="AJ33" t="str">
        <f t="shared" si="4"/>
        <v>High Trust</v>
      </c>
      <c r="AL33">
        <f t="shared" si="5"/>
        <v>66.400000000000006</v>
      </c>
      <c r="AM33" t="str">
        <f t="shared" si="6"/>
        <v>Masters</v>
      </c>
    </row>
    <row r="34" spans="1:39" x14ac:dyDescent="0.25">
      <c r="A34" t="s">
        <v>68</v>
      </c>
      <c r="B34" t="s">
        <v>60</v>
      </c>
      <c r="C34">
        <v>48.76</v>
      </c>
      <c r="D34">
        <v>60</v>
      </c>
      <c r="E34" t="b">
        <v>0</v>
      </c>
      <c r="F34" t="b">
        <v>1</v>
      </c>
      <c r="G34" t="b">
        <v>1</v>
      </c>
      <c r="H34" t="s">
        <v>25</v>
      </c>
      <c r="I34" t="s">
        <v>63</v>
      </c>
      <c r="J34" t="s">
        <v>27</v>
      </c>
      <c r="K34" t="s">
        <v>46</v>
      </c>
      <c r="L34" t="s">
        <v>69</v>
      </c>
      <c r="M34" t="s">
        <v>46</v>
      </c>
      <c r="N34" t="s">
        <v>28</v>
      </c>
      <c r="O34" t="b">
        <v>1</v>
      </c>
      <c r="P34" t="b">
        <v>0</v>
      </c>
      <c r="Q34">
        <v>7.3</v>
      </c>
      <c r="R34" t="b">
        <v>1</v>
      </c>
      <c r="S34" t="s">
        <v>52</v>
      </c>
      <c r="T34">
        <v>26.3</v>
      </c>
      <c r="U34">
        <v>47.61</v>
      </c>
      <c r="V34" t="b">
        <v>0</v>
      </c>
      <c r="W34" t="s">
        <v>41</v>
      </c>
      <c r="AE34" t="str">
        <f t="shared" si="0"/>
        <v>Yes</v>
      </c>
      <c r="AF34" t="str">
        <f t="shared" si="1"/>
        <v>Low</v>
      </c>
      <c r="AG34" t="str">
        <f t="shared" si="2"/>
        <v>Yes</v>
      </c>
      <c r="AH34" t="str">
        <f t="shared" si="3"/>
        <v>Checked Official Source</v>
      </c>
      <c r="AJ34" t="str">
        <f t="shared" si="4"/>
        <v>Moderate Trust</v>
      </c>
      <c r="AL34">
        <f t="shared" si="5"/>
        <v>47.6</v>
      </c>
      <c r="AM34" t="str">
        <f t="shared" si="6"/>
        <v>Bachelors</v>
      </c>
    </row>
    <row r="35" spans="1:39" x14ac:dyDescent="0.25">
      <c r="A35" t="s">
        <v>74</v>
      </c>
      <c r="B35" t="s">
        <v>24</v>
      </c>
      <c r="C35">
        <v>92.82</v>
      </c>
      <c r="D35">
        <v>541</v>
      </c>
      <c r="E35" t="b">
        <v>1</v>
      </c>
      <c r="F35" t="b">
        <v>0</v>
      </c>
      <c r="G35" t="b">
        <v>0</v>
      </c>
      <c r="H35" t="s">
        <v>25</v>
      </c>
      <c r="I35" t="s">
        <v>63</v>
      </c>
      <c r="J35" t="s">
        <v>45</v>
      </c>
      <c r="K35" t="s">
        <v>46</v>
      </c>
      <c r="L35" t="s">
        <v>69</v>
      </c>
      <c r="M35" t="s">
        <v>46</v>
      </c>
      <c r="P35" t="b">
        <v>0</v>
      </c>
      <c r="Q35">
        <v>10</v>
      </c>
      <c r="R35" t="b">
        <v>0</v>
      </c>
      <c r="T35">
        <v>0</v>
      </c>
      <c r="U35">
        <v>90.77</v>
      </c>
      <c r="V35" t="b">
        <v>1</v>
      </c>
      <c r="W35" t="s">
        <v>58</v>
      </c>
      <c r="AE35" t="str">
        <f t="shared" si="0"/>
        <v>No</v>
      </c>
      <c r="AF35" t="str">
        <f t="shared" si="1"/>
        <v>Unknown</v>
      </c>
      <c r="AG35" t="str">
        <f t="shared" si="2"/>
        <v>No</v>
      </c>
      <c r="AH35" t="str">
        <f t="shared" si="3"/>
        <v>Unknown</v>
      </c>
      <c r="AJ35" t="str">
        <f t="shared" si="4"/>
        <v>High Trust</v>
      </c>
      <c r="AL35">
        <f t="shared" si="5"/>
        <v>90.8</v>
      </c>
      <c r="AM35" t="str">
        <f t="shared" si="6"/>
        <v>High School</v>
      </c>
    </row>
    <row r="36" spans="1:39" x14ac:dyDescent="0.25">
      <c r="A36" t="s">
        <v>56</v>
      </c>
      <c r="B36" t="s">
        <v>60</v>
      </c>
      <c r="C36">
        <v>46.95</v>
      </c>
      <c r="D36">
        <v>521</v>
      </c>
      <c r="E36" t="b">
        <v>0</v>
      </c>
      <c r="F36" t="b">
        <v>0</v>
      </c>
      <c r="G36" t="b">
        <v>0</v>
      </c>
      <c r="H36" t="s">
        <v>53</v>
      </c>
      <c r="I36" t="s">
        <v>35</v>
      </c>
      <c r="J36" t="s">
        <v>45</v>
      </c>
      <c r="K36" t="s">
        <v>37</v>
      </c>
      <c r="L36" t="s">
        <v>29</v>
      </c>
      <c r="M36" t="s">
        <v>28</v>
      </c>
      <c r="P36" t="b">
        <v>0</v>
      </c>
      <c r="Q36">
        <v>5.2</v>
      </c>
      <c r="R36" t="b">
        <v>1</v>
      </c>
      <c r="S36" t="s">
        <v>55</v>
      </c>
      <c r="T36">
        <v>25.5</v>
      </c>
      <c r="U36">
        <v>58.55</v>
      </c>
      <c r="V36" t="b">
        <v>1</v>
      </c>
      <c r="W36" t="s">
        <v>41</v>
      </c>
      <c r="AE36" t="str">
        <f t="shared" si="0"/>
        <v>No</v>
      </c>
      <c r="AF36" t="str">
        <f t="shared" si="1"/>
        <v>Unknown</v>
      </c>
      <c r="AG36" t="str">
        <f t="shared" si="2"/>
        <v>No</v>
      </c>
      <c r="AH36" t="str">
        <f t="shared" si="3"/>
        <v>Academic Paper</v>
      </c>
      <c r="AJ36" t="str">
        <f t="shared" si="4"/>
        <v>Moderate Trust</v>
      </c>
      <c r="AL36">
        <f t="shared" si="5"/>
        <v>58.6</v>
      </c>
      <c r="AM36" t="str">
        <f t="shared" si="6"/>
        <v>High School</v>
      </c>
    </row>
    <row r="37" spans="1:39" x14ac:dyDescent="0.25">
      <c r="A37" t="s">
        <v>23</v>
      </c>
      <c r="B37" t="s">
        <v>49</v>
      </c>
      <c r="C37">
        <v>60.77</v>
      </c>
      <c r="D37">
        <v>442</v>
      </c>
      <c r="E37" t="b">
        <v>1</v>
      </c>
      <c r="F37" t="b">
        <v>1</v>
      </c>
      <c r="G37" t="b">
        <v>1</v>
      </c>
      <c r="H37" t="s">
        <v>25</v>
      </c>
      <c r="I37" t="s">
        <v>44</v>
      </c>
      <c r="J37" t="s">
        <v>45</v>
      </c>
      <c r="K37" t="s">
        <v>37</v>
      </c>
      <c r="L37" t="s">
        <v>69</v>
      </c>
      <c r="M37" t="s">
        <v>28</v>
      </c>
      <c r="N37" t="s">
        <v>28</v>
      </c>
      <c r="P37" t="b">
        <v>0</v>
      </c>
      <c r="Q37">
        <v>8</v>
      </c>
      <c r="R37" t="b">
        <v>1</v>
      </c>
      <c r="S37" t="s">
        <v>64</v>
      </c>
      <c r="T37">
        <v>35</v>
      </c>
      <c r="U37">
        <v>71.84</v>
      </c>
      <c r="V37" t="b">
        <v>1</v>
      </c>
      <c r="W37" t="s">
        <v>31</v>
      </c>
      <c r="AE37" t="str">
        <f t="shared" si="0"/>
        <v>Yes</v>
      </c>
      <c r="AF37" t="str">
        <f t="shared" si="1"/>
        <v>Low</v>
      </c>
      <c r="AG37" t="str">
        <f t="shared" si="2"/>
        <v>No</v>
      </c>
      <c r="AH37" t="str">
        <f t="shared" si="3"/>
        <v>Personal Testing</v>
      </c>
      <c r="AJ37" t="str">
        <f t="shared" si="4"/>
        <v>High Trust</v>
      </c>
      <c r="AL37">
        <f t="shared" si="5"/>
        <v>71.8</v>
      </c>
      <c r="AM37" t="str">
        <f t="shared" si="6"/>
        <v>High School</v>
      </c>
    </row>
    <row r="38" spans="1:39" x14ac:dyDescent="0.25">
      <c r="A38" t="s">
        <v>23</v>
      </c>
      <c r="B38" t="s">
        <v>60</v>
      </c>
      <c r="C38">
        <v>56.58</v>
      </c>
      <c r="D38">
        <v>688</v>
      </c>
      <c r="E38" t="b">
        <v>0</v>
      </c>
      <c r="F38" t="b">
        <v>1</v>
      </c>
      <c r="G38" t="b">
        <v>0</v>
      </c>
      <c r="H38" t="s">
        <v>25</v>
      </c>
      <c r="I38" t="s">
        <v>44</v>
      </c>
      <c r="J38" t="s">
        <v>45</v>
      </c>
      <c r="K38" t="s">
        <v>37</v>
      </c>
      <c r="L38" t="s">
        <v>38</v>
      </c>
      <c r="M38" t="s">
        <v>46</v>
      </c>
      <c r="P38" t="b">
        <v>1</v>
      </c>
      <c r="Q38">
        <v>5.7</v>
      </c>
      <c r="R38" t="b">
        <v>1</v>
      </c>
      <c r="S38" t="s">
        <v>30</v>
      </c>
      <c r="T38">
        <v>14.8</v>
      </c>
      <c r="U38">
        <v>48.42</v>
      </c>
      <c r="V38" t="b">
        <v>1</v>
      </c>
      <c r="W38" t="s">
        <v>41</v>
      </c>
      <c r="AE38" t="str">
        <f t="shared" si="0"/>
        <v>Yes</v>
      </c>
      <c r="AF38" t="str">
        <f t="shared" si="1"/>
        <v>Unknown</v>
      </c>
      <c r="AG38" t="str">
        <f t="shared" si="2"/>
        <v>No</v>
      </c>
      <c r="AH38" t="str">
        <f t="shared" si="3"/>
        <v>Google Search</v>
      </c>
      <c r="AJ38" t="str">
        <f t="shared" si="4"/>
        <v>Moderate Trust</v>
      </c>
      <c r="AL38">
        <f t="shared" si="5"/>
        <v>48.4</v>
      </c>
      <c r="AM38" t="str">
        <f t="shared" si="6"/>
        <v>High School</v>
      </c>
    </row>
    <row r="39" spans="1:39" x14ac:dyDescent="0.25">
      <c r="A39" t="s">
        <v>23</v>
      </c>
      <c r="B39" t="s">
        <v>24</v>
      </c>
      <c r="C39">
        <v>98.66</v>
      </c>
      <c r="D39">
        <v>109</v>
      </c>
      <c r="E39" t="b">
        <v>0</v>
      </c>
      <c r="F39" t="b">
        <v>1</v>
      </c>
      <c r="G39" t="b">
        <v>1</v>
      </c>
      <c r="H39" t="s">
        <v>34</v>
      </c>
      <c r="I39" t="s">
        <v>26</v>
      </c>
      <c r="J39" t="s">
        <v>50</v>
      </c>
      <c r="K39" t="s">
        <v>39</v>
      </c>
      <c r="L39" t="s">
        <v>69</v>
      </c>
      <c r="M39" t="s">
        <v>46</v>
      </c>
      <c r="O39" t="b">
        <v>0</v>
      </c>
      <c r="P39" t="b">
        <v>1</v>
      </c>
      <c r="Q39">
        <v>9.1</v>
      </c>
      <c r="R39" t="b">
        <v>1</v>
      </c>
      <c r="S39" t="s">
        <v>65</v>
      </c>
      <c r="T39">
        <v>16.600000000000001</v>
      </c>
      <c r="U39">
        <v>89.95</v>
      </c>
      <c r="V39" t="b">
        <v>1</v>
      </c>
      <c r="W39" t="s">
        <v>31</v>
      </c>
      <c r="AE39" t="str">
        <f t="shared" si="0"/>
        <v>Yes</v>
      </c>
      <c r="AF39" t="str">
        <f t="shared" si="1"/>
        <v>Unknown</v>
      </c>
      <c r="AG39" t="str">
        <f t="shared" si="2"/>
        <v>No</v>
      </c>
      <c r="AH39" t="str">
        <f t="shared" si="3"/>
        <v>Cross-referenced Multiple AIs</v>
      </c>
      <c r="AJ39" t="str">
        <f t="shared" si="4"/>
        <v>High Trust</v>
      </c>
      <c r="AL39">
        <f t="shared" si="5"/>
        <v>90</v>
      </c>
      <c r="AM39" t="str">
        <f t="shared" si="6"/>
        <v>Professional</v>
      </c>
    </row>
    <row r="40" spans="1:39" x14ac:dyDescent="0.25">
      <c r="A40" t="s">
        <v>23</v>
      </c>
      <c r="B40" t="s">
        <v>24</v>
      </c>
      <c r="C40">
        <v>89.07</v>
      </c>
      <c r="D40">
        <v>258</v>
      </c>
      <c r="E40" t="b">
        <v>0</v>
      </c>
      <c r="F40" t="b">
        <v>0</v>
      </c>
      <c r="G40" t="b">
        <v>1</v>
      </c>
      <c r="H40" t="s">
        <v>43</v>
      </c>
      <c r="I40" t="s">
        <v>35</v>
      </c>
      <c r="J40" t="s">
        <v>54</v>
      </c>
      <c r="K40" t="s">
        <v>37</v>
      </c>
      <c r="L40" t="s">
        <v>37</v>
      </c>
      <c r="M40" t="s">
        <v>39</v>
      </c>
      <c r="N40" t="s">
        <v>46</v>
      </c>
      <c r="O40" t="b">
        <v>1</v>
      </c>
      <c r="P40" t="b">
        <v>0</v>
      </c>
      <c r="Q40">
        <v>10</v>
      </c>
      <c r="R40" t="b">
        <v>1</v>
      </c>
      <c r="S40" t="s">
        <v>75</v>
      </c>
      <c r="T40">
        <v>37.6</v>
      </c>
      <c r="U40">
        <v>89.53</v>
      </c>
      <c r="V40" t="b">
        <v>1</v>
      </c>
      <c r="W40" t="s">
        <v>31</v>
      </c>
      <c r="AE40" t="str">
        <f t="shared" si="0"/>
        <v>No</v>
      </c>
      <c r="AF40" t="str">
        <f t="shared" si="1"/>
        <v>Medium</v>
      </c>
      <c r="AG40" t="str">
        <f t="shared" si="2"/>
        <v>Yes</v>
      </c>
      <c r="AH40" t="str">
        <f t="shared" si="3"/>
        <v>Asked Colleague</v>
      </c>
      <c r="AJ40" t="str">
        <f t="shared" si="4"/>
        <v>High Trust</v>
      </c>
      <c r="AL40">
        <f t="shared" si="5"/>
        <v>89.5</v>
      </c>
      <c r="AM40" t="str">
        <f t="shared" si="6"/>
        <v>Masters</v>
      </c>
    </row>
    <row r="41" spans="1:39" x14ac:dyDescent="0.25">
      <c r="A41" t="s">
        <v>74</v>
      </c>
      <c r="B41" t="s">
        <v>70</v>
      </c>
      <c r="C41">
        <v>83.32</v>
      </c>
      <c r="D41">
        <v>152</v>
      </c>
      <c r="E41" t="b">
        <v>1</v>
      </c>
      <c r="F41" t="b">
        <v>1</v>
      </c>
      <c r="G41" t="b">
        <v>1</v>
      </c>
      <c r="H41" t="s">
        <v>25</v>
      </c>
      <c r="I41" t="s">
        <v>63</v>
      </c>
      <c r="J41" t="s">
        <v>36</v>
      </c>
      <c r="K41" t="s">
        <v>28</v>
      </c>
      <c r="L41" t="s">
        <v>69</v>
      </c>
      <c r="M41" t="s">
        <v>47</v>
      </c>
      <c r="N41" t="s">
        <v>46</v>
      </c>
      <c r="O41" t="b">
        <v>1</v>
      </c>
      <c r="P41" t="b">
        <v>1</v>
      </c>
      <c r="Q41">
        <v>10</v>
      </c>
      <c r="R41" t="b">
        <v>1</v>
      </c>
      <c r="S41" t="s">
        <v>30</v>
      </c>
      <c r="T41">
        <v>44.5</v>
      </c>
      <c r="U41">
        <v>81</v>
      </c>
      <c r="V41" t="b">
        <v>1</v>
      </c>
      <c r="W41" t="s">
        <v>31</v>
      </c>
      <c r="AE41" t="str">
        <f t="shared" si="0"/>
        <v>Yes</v>
      </c>
      <c r="AF41" t="str">
        <f t="shared" si="1"/>
        <v>Medium</v>
      </c>
      <c r="AG41" t="str">
        <f t="shared" si="2"/>
        <v>Yes</v>
      </c>
      <c r="AH41" t="str">
        <f t="shared" si="3"/>
        <v>Google Search</v>
      </c>
      <c r="AJ41" t="str">
        <f t="shared" si="4"/>
        <v>High Trust</v>
      </c>
      <c r="AL41">
        <f t="shared" si="5"/>
        <v>81</v>
      </c>
      <c r="AM41" t="str">
        <f t="shared" si="6"/>
        <v>PhD</v>
      </c>
    </row>
    <row r="42" spans="1:39" x14ac:dyDescent="0.25">
      <c r="A42" t="s">
        <v>61</v>
      </c>
      <c r="B42" t="s">
        <v>76</v>
      </c>
      <c r="C42">
        <v>77.77</v>
      </c>
      <c r="D42">
        <v>97</v>
      </c>
      <c r="E42" t="b">
        <v>0</v>
      </c>
      <c r="F42" t="b">
        <v>1</v>
      </c>
      <c r="G42" t="b">
        <v>0</v>
      </c>
      <c r="H42" t="s">
        <v>25</v>
      </c>
      <c r="I42" t="s">
        <v>57</v>
      </c>
      <c r="J42" t="s">
        <v>36</v>
      </c>
      <c r="K42" t="s">
        <v>37</v>
      </c>
      <c r="L42" t="s">
        <v>69</v>
      </c>
      <c r="M42" t="s">
        <v>47</v>
      </c>
      <c r="N42" t="s">
        <v>46</v>
      </c>
      <c r="P42" t="b">
        <v>1</v>
      </c>
      <c r="Q42">
        <v>7.2</v>
      </c>
      <c r="R42" t="b">
        <v>1</v>
      </c>
      <c r="S42" t="s">
        <v>65</v>
      </c>
      <c r="T42">
        <v>2.2000000000000002</v>
      </c>
      <c r="U42">
        <v>76.98</v>
      </c>
      <c r="V42" t="b">
        <v>1</v>
      </c>
      <c r="W42" t="s">
        <v>41</v>
      </c>
      <c r="AE42" t="str">
        <f t="shared" si="0"/>
        <v>Yes</v>
      </c>
      <c r="AF42" t="str">
        <f t="shared" si="1"/>
        <v>Medium</v>
      </c>
      <c r="AG42" t="str">
        <f t="shared" si="2"/>
        <v>No</v>
      </c>
      <c r="AH42" t="str">
        <f t="shared" si="3"/>
        <v>Cross-referenced Multiple AIs</v>
      </c>
      <c r="AJ42" t="str">
        <f t="shared" si="4"/>
        <v>Moderate Trust</v>
      </c>
      <c r="AL42">
        <f t="shared" si="5"/>
        <v>77</v>
      </c>
      <c r="AM42" t="str">
        <f t="shared" si="6"/>
        <v>PhD</v>
      </c>
    </row>
    <row r="43" spans="1:39" x14ac:dyDescent="0.25">
      <c r="A43" t="s">
        <v>23</v>
      </c>
      <c r="B43" t="s">
        <v>66</v>
      </c>
      <c r="C43">
        <v>65.010000000000005</v>
      </c>
      <c r="D43">
        <v>74</v>
      </c>
      <c r="E43" t="b">
        <v>1</v>
      </c>
      <c r="F43" t="b">
        <v>1</v>
      </c>
      <c r="G43" t="b">
        <v>0</v>
      </c>
      <c r="H43" t="s">
        <v>34</v>
      </c>
      <c r="I43" t="s">
        <v>67</v>
      </c>
      <c r="J43" t="s">
        <v>54</v>
      </c>
      <c r="K43" t="s">
        <v>28</v>
      </c>
      <c r="L43" t="s">
        <v>37</v>
      </c>
      <c r="M43" t="s">
        <v>28</v>
      </c>
      <c r="N43" t="s">
        <v>46</v>
      </c>
      <c r="O43" t="b">
        <v>0</v>
      </c>
      <c r="P43" t="b">
        <v>0</v>
      </c>
      <c r="Q43">
        <v>8</v>
      </c>
      <c r="R43" t="b">
        <v>0</v>
      </c>
      <c r="T43">
        <v>0</v>
      </c>
      <c r="U43">
        <v>46.75</v>
      </c>
      <c r="V43" t="b">
        <v>0</v>
      </c>
      <c r="W43" t="s">
        <v>58</v>
      </c>
      <c r="AE43" t="str">
        <f t="shared" si="0"/>
        <v>Yes</v>
      </c>
      <c r="AF43" t="str">
        <f t="shared" si="1"/>
        <v>Medium</v>
      </c>
      <c r="AG43" t="str">
        <f t="shared" si="2"/>
        <v>No</v>
      </c>
      <c r="AH43" t="str">
        <f t="shared" si="3"/>
        <v>Unknown</v>
      </c>
      <c r="AJ43" t="str">
        <f t="shared" si="4"/>
        <v>High Trust</v>
      </c>
      <c r="AL43">
        <f t="shared" si="5"/>
        <v>46.8</v>
      </c>
      <c r="AM43" t="str">
        <f t="shared" si="6"/>
        <v>Masters</v>
      </c>
    </row>
    <row r="44" spans="1:39" x14ac:dyDescent="0.25">
      <c r="A44" t="s">
        <v>74</v>
      </c>
      <c r="B44" t="s">
        <v>33</v>
      </c>
      <c r="C44">
        <v>84.03</v>
      </c>
      <c r="D44">
        <v>180</v>
      </c>
      <c r="E44" t="b">
        <v>0</v>
      </c>
      <c r="F44" t="b">
        <v>0</v>
      </c>
      <c r="G44" t="b">
        <v>1</v>
      </c>
      <c r="H44" t="s">
        <v>25</v>
      </c>
      <c r="I44" t="s">
        <v>63</v>
      </c>
      <c r="J44" t="s">
        <v>36</v>
      </c>
      <c r="K44" t="s">
        <v>39</v>
      </c>
      <c r="L44" t="s">
        <v>38</v>
      </c>
      <c r="M44" t="s">
        <v>39</v>
      </c>
      <c r="N44" t="s">
        <v>46</v>
      </c>
      <c r="O44" t="b">
        <v>1</v>
      </c>
      <c r="P44" t="b">
        <v>1</v>
      </c>
      <c r="Q44">
        <v>10</v>
      </c>
      <c r="R44" t="b">
        <v>1</v>
      </c>
      <c r="S44" t="s">
        <v>30</v>
      </c>
      <c r="T44">
        <v>34.6</v>
      </c>
      <c r="U44">
        <v>85.07</v>
      </c>
      <c r="V44" t="b">
        <v>1</v>
      </c>
      <c r="W44" t="s">
        <v>31</v>
      </c>
      <c r="AE44" t="str">
        <f t="shared" si="0"/>
        <v>No</v>
      </c>
      <c r="AF44" t="str">
        <f t="shared" si="1"/>
        <v>Medium</v>
      </c>
      <c r="AG44" t="str">
        <f t="shared" si="2"/>
        <v>Yes</v>
      </c>
      <c r="AH44" t="str">
        <f t="shared" si="3"/>
        <v>Google Search</v>
      </c>
      <c r="AJ44" t="str">
        <f t="shared" si="4"/>
        <v>High Trust</v>
      </c>
      <c r="AL44">
        <f t="shared" si="5"/>
        <v>85.1</v>
      </c>
      <c r="AM44" t="str">
        <f t="shared" si="6"/>
        <v>PhD</v>
      </c>
    </row>
    <row r="45" spans="1:39" x14ac:dyDescent="0.25">
      <c r="A45" t="s">
        <v>68</v>
      </c>
      <c r="B45" t="s">
        <v>73</v>
      </c>
      <c r="C45">
        <v>66.989999999999995</v>
      </c>
      <c r="D45">
        <v>263</v>
      </c>
      <c r="E45" t="b">
        <v>0</v>
      </c>
      <c r="F45" t="b">
        <v>0</v>
      </c>
      <c r="G45" t="b">
        <v>1</v>
      </c>
      <c r="H45" t="s">
        <v>43</v>
      </c>
      <c r="I45" t="s">
        <v>57</v>
      </c>
      <c r="J45" t="s">
        <v>27</v>
      </c>
      <c r="K45" t="s">
        <v>39</v>
      </c>
      <c r="L45" t="s">
        <v>29</v>
      </c>
      <c r="M45" t="s">
        <v>46</v>
      </c>
      <c r="N45" t="s">
        <v>46</v>
      </c>
      <c r="P45" t="b">
        <v>0</v>
      </c>
      <c r="Q45">
        <v>6.7</v>
      </c>
      <c r="R45" t="b">
        <v>1</v>
      </c>
      <c r="S45" t="s">
        <v>30</v>
      </c>
      <c r="T45">
        <v>6.1</v>
      </c>
      <c r="U45">
        <v>60.83</v>
      </c>
      <c r="V45" t="b">
        <v>1</v>
      </c>
      <c r="W45" t="s">
        <v>41</v>
      </c>
      <c r="AE45" t="str">
        <f t="shared" si="0"/>
        <v>No</v>
      </c>
      <c r="AF45" t="str">
        <f t="shared" si="1"/>
        <v>Medium</v>
      </c>
      <c r="AG45" t="str">
        <f t="shared" si="2"/>
        <v>No</v>
      </c>
      <c r="AH45" t="str">
        <f t="shared" si="3"/>
        <v>Google Search</v>
      </c>
      <c r="AJ45" t="str">
        <f t="shared" si="4"/>
        <v>Moderate Trust</v>
      </c>
      <c r="AL45">
        <f t="shared" si="5"/>
        <v>60.8</v>
      </c>
      <c r="AM45" t="str">
        <f t="shared" si="6"/>
        <v>Bachelors</v>
      </c>
    </row>
    <row r="46" spans="1:39" x14ac:dyDescent="0.25">
      <c r="A46" t="s">
        <v>61</v>
      </c>
      <c r="B46" t="s">
        <v>59</v>
      </c>
      <c r="C46">
        <v>78.569999999999993</v>
      </c>
      <c r="D46">
        <v>772</v>
      </c>
      <c r="E46" t="b">
        <v>1</v>
      </c>
      <c r="F46" t="b">
        <v>0</v>
      </c>
      <c r="G46" t="b">
        <v>0</v>
      </c>
      <c r="H46" t="s">
        <v>25</v>
      </c>
      <c r="I46" t="s">
        <v>57</v>
      </c>
      <c r="J46" t="s">
        <v>27</v>
      </c>
      <c r="K46" t="s">
        <v>46</v>
      </c>
      <c r="L46" t="s">
        <v>51</v>
      </c>
      <c r="M46" t="s">
        <v>46</v>
      </c>
      <c r="O46" t="b">
        <v>0</v>
      </c>
      <c r="P46" t="b">
        <v>0</v>
      </c>
      <c r="Q46">
        <v>9</v>
      </c>
      <c r="R46" t="b">
        <v>0</v>
      </c>
      <c r="T46">
        <v>0</v>
      </c>
      <c r="U46">
        <v>92.84</v>
      </c>
      <c r="V46" t="b">
        <v>1</v>
      </c>
      <c r="W46" t="s">
        <v>58</v>
      </c>
      <c r="AE46" t="str">
        <f t="shared" si="0"/>
        <v>No</v>
      </c>
      <c r="AF46" t="str">
        <f t="shared" si="1"/>
        <v>Unknown</v>
      </c>
      <c r="AG46" t="str">
        <f t="shared" si="2"/>
        <v>No</v>
      </c>
      <c r="AH46" t="str">
        <f t="shared" si="3"/>
        <v>Unknown</v>
      </c>
      <c r="AJ46" t="str">
        <f t="shared" si="4"/>
        <v>High Trust</v>
      </c>
      <c r="AL46">
        <f t="shared" si="5"/>
        <v>92.8</v>
      </c>
      <c r="AM46" t="str">
        <f t="shared" si="6"/>
        <v>Bachelors</v>
      </c>
    </row>
    <row r="47" spans="1:39" x14ac:dyDescent="0.25">
      <c r="A47" t="s">
        <v>74</v>
      </c>
      <c r="B47" t="s">
        <v>76</v>
      </c>
      <c r="C47">
        <v>80.430000000000007</v>
      </c>
      <c r="D47">
        <v>560</v>
      </c>
      <c r="E47" t="b">
        <v>1</v>
      </c>
      <c r="F47" t="b">
        <v>0</v>
      </c>
      <c r="G47" t="b">
        <v>1</v>
      </c>
      <c r="H47" t="s">
        <v>25</v>
      </c>
      <c r="I47" t="s">
        <v>57</v>
      </c>
      <c r="J47" t="s">
        <v>36</v>
      </c>
      <c r="K47" t="s">
        <v>39</v>
      </c>
      <c r="L47" t="s">
        <v>69</v>
      </c>
      <c r="M47" t="s">
        <v>46</v>
      </c>
      <c r="O47" t="b">
        <v>0</v>
      </c>
      <c r="P47" t="b">
        <v>1</v>
      </c>
      <c r="Q47">
        <v>8.5</v>
      </c>
      <c r="R47" t="b">
        <v>1</v>
      </c>
      <c r="S47" t="s">
        <v>40</v>
      </c>
      <c r="T47">
        <v>19.600000000000001</v>
      </c>
      <c r="U47">
        <v>84.6</v>
      </c>
      <c r="V47" t="b">
        <v>1</v>
      </c>
      <c r="W47" t="s">
        <v>31</v>
      </c>
      <c r="AE47" t="str">
        <f t="shared" si="0"/>
        <v>No</v>
      </c>
      <c r="AF47" t="str">
        <f t="shared" si="1"/>
        <v>Unknown</v>
      </c>
      <c r="AG47" t="str">
        <f t="shared" si="2"/>
        <v>No</v>
      </c>
      <c r="AH47" t="str">
        <f t="shared" si="3"/>
        <v>Asked Expert</v>
      </c>
      <c r="AJ47" t="str">
        <f t="shared" si="4"/>
        <v>High Trust</v>
      </c>
      <c r="AL47">
        <f t="shared" si="5"/>
        <v>84.6</v>
      </c>
      <c r="AM47" t="str">
        <f t="shared" si="6"/>
        <v>PhD</v>
      </c>
    </row>
    <row r="48" spans="1:39" x14ac:dyDescent="0.25">
      <c r="A48" t="s">
        <v>56</v>
      </c>
      <c r="B48" t="s">
        <v>33</v>
      </c>
      <c r="C48">
        <v>76.069999999999993</v>
      </c>
      <c r="D48">
        <v>188</v>
      </c>
      <c r="E48" t="b">
        <v>0</v>
      </c>
      <c r="F48" t="b">
        <v>1</v>
      </c>
      <c r="G48" t="b">
        <v>1</v>
      </c>
      <c r="H48" t="s">
        <v>25</v>
      </c>
      <c r="I48" t="s">
        <v>35</v>
      </c>
      <c r="J48" t="s">
        <v>45</v>
      </c>
      <c r="K48" t="s">
        <v>37</v>
      </c>
      <c r="L48" t="s">
        <v>51</v>
      </c>
      <c r="M48" t="s">
        <v>28</v>
      </c>
      <c r="N48" t="s">
        <v>46</v>
      </c>
      <c r="O48" t="b">
        <v>0</v>
      </c>
      <c r="P48" t="b">
        <v>1</v>
      </c>
      <c r="Q48">
        <v>6.5</v>
      </c>
      <c r="R48" t="b">
        <v>1</v>
      </c>
      <c r="S48" t="s">
        <v>40</v>
      </c>
      <c r="T48">
        <v>35.6</v>
      </c>
      <c r="U48">
        <v>65.510000000000005</v>
      </c>
      <c r="V48" t="b">
        <v>1</v>
      </c>
      <c r="W48" t="s">
        <v>41</v>
      </c>
      <c r="AE48" t="str">
        <f t="shared" si="0"/>
        <v>Yes</v>
      </c>
      <c r="AF48" t="str">
        <f t="shared" si="1"/>
        <v>Medium</v>
      </c>
      <c r="AG48" t="str">
        <f t="shared" si="2"/>
        <v>No</v>
      </c>
      <c r="AH48" t="str">
        <f t="shared" si="3"/>
        <v>Asked Expert</v>
      </c>
      <c r="AJ48" t="str">
        <f t="shared" si="4"/>
        <v>Moderate Trust</v>
      </c>
      <c r="AL48">
        <f t="shared" si="5"/>
        <v>65.5</v>
      </c>
      <c r="AM48" t="str">
        <f t="shared" si="6"/>
        <v>High School</v>
      </c>
    </row>
    <row r="49" spans="1:39" x14ac:dyDescent="0.25">
      <c r="A49" t="s">
        <v>61</v>
      </c>
      <c r="B49" t="s">
        <v>73</v>
      </c>
      <c r="C49">
        <v>68.36</v>
      </c>
      <c r="D49">
        <v>416</v>
      </c>
      <c r="E49" t="b">
        <v>1</v>
      </c>
      <c r="F49" t="b">
        <v>1</v>
      </c>
      <c r="G49" t="b">
        <v>0</v>
      </c>
      <c r="H49" t="s">
        <v>25</v>
      </c>
      <c r="I49" t="s">
        <v>67</v>
      </c>
      <c r="J49" t="s">
        <v>36</v>
      </c>
      <c r="K49" t="s">
        <v>28</v>
      </c>
      <c r="L49" t="s">
        <v>29</v>
      </c>
      <c r="M49" t="s">
        <v>28</v>
      </c>
      <c r="N49" t="s">
        <v>46</v>
      </c>
      <c r="P49" t="b">
        <v>1</v>
      </c>
      <c r="Q49">
        <v>8.1999999999999993</v>
      </c>
      <c r="R49" t="b">
        <v>0</v>
      </c>
      <c r="T49">
        <v>0</v>
      </c>
      <c r="U49">
        <v>76.36</v>
      </c>
      <c r="V49" t="b">
        <v>1</v>
      </c>
      <c r="W49" t="s">
        <v>58</v>
      </c>
      <c r="AE49" t="str">
        <f t="shared" si="0"/>
        <v>Yes</v>
      </c>
      <c r="AF49" t="str">
        <f t="shared" si="1"/>
        <v>Medium</v>
      </c>
      <c r="AG49" t="str">
        <f t="shared" si="2"/>
        <v>No</v>
      </c>
      <c r="AH49" t="str">
        <f t="shared" si="3"/>
        <v>Unknown</v>
      </c>
      <c r="AJ49" t="str">
        <f t="shared" si="4"/>
        <v>High Trust</v>
      </c>
      <c r="AL49">
        <f t="shared" si="5"/>
        <v>76.400000000000006</v>
      </c>
      <c r="AM49" t="str">
        <f t="shared" si="6"/>
        <v>PhD</v>
      </c>
    </row>
    <row r="50" spans="1:39" x14ac:dyDescent="0.25">
      <c r="A50" t="s">
        <v>74</v>
      </c>
      <c r="B50" t="s">
        <v>59</v>
      </c>
      <c r="C50">
        <v>86.27</v>
      </c>
      <c r="D50">
        <v>666</v>
      </c>
      <c r="E50" t="b">
        <v>0</v>
      </c>
      <c r="F50" t="b">
        <v>0</v>
      </c>
      <c r="G50" t="b">
        <v>1</v>
      </c>
      <c r="H50" t="s">
        <v>43</v>
      </c>
      <c r="I50" t="s">
        <v>57</v>
      </c>
      <c r="J50" t="s">
        <v>27</v>
      </c>
      <c r="K50" t="s">
        <v>37</v>
      </c>
      <c r="L50" t="s">
        <v>29</v>
      </c>
      <c r="M50" t="s">
        <v>39</v>
      </c>
      <c r="N50" t="s">
        <v>46</v>
      </c>
      <c r="P50" t="b">
        <v>0</v>
      </c>
      <c r="Q50">
        <v>8.1</v>
      </c>
      <c r="R50" t="b">
        <v>1</v>
      </c>
      <c r="S50" t="s">
        <v>40</v>
      </c>
      <c r="T50">
        <v>25.3</v>
      </c>
      <c r="U50">
        <v>79.5</v>
      </c>
      <c r="V50" t="b">
        <v>1</v>
      </c>
      <c r="W50" t="s">
        <v>31</v>
      </c>
      <c r="AE50" t="str">
        <f t="shared" si="0"/>
        <v>No</v>
      </c>
      <c r="AF50" t="str">
        <f t="shared" si="1"/>
        <v>Medium</v>
      </c>
      <c r="AG50" t="str">
        <f t="shared" si="2"/>
        <v>No</v>
      </c>
      <c r="AH50" t="str">
        <f t="shared" si="3"/>
        <v>Asked Expert</v>
      </c>
      <c r="AJ50" t="str">
        <f t="shared" si="4"/>
        <v>High Trust</v>
      </c>
      <c r="AL50">
        <f t="shared" si="5"/>
        <v>79.5</v>
      </c>
      <c r="AM50" t="str">
        <f t="shared" si="6"/>
        <v>Bachelors</v>
      </c>
    </row>
    <row r="51" spans="1:39" x14ac:dyDescent="0.25">
      <c r="A51" t="s">
        <v>23</v>
      </c>
      <c r="B51" t="s">
        <v>33</v>
      </c>
      <c r="C51">
        <v>78</v>
      </c>
      <c r="D51">
        <v>563</v>
      </c>
      <c r="E51" t="b">
        <v>0</v>
      </c>
      <c r="F51" t="b">
        <v>1</v>
      </c>
      <c r="G51" t="b">
        <v>0</v>
      </c>
      <c r="H51" t="s">
        <v>43</v>
      </c>
      <c r="I51" t="s">
        <v>26</v>
      </c>
      <c r="J51" t="s">
        <v>36</v>
      </c>
      <c r="K51" t="s">
        <v>46</v>
      </c>
      <c r="L51" t="s">
        <v>29</v>
      </c>
      <c r="M51" t="s">
        <v>46</v>
      </c>
      <c r="N51" t="s">
        <v>28</v>
      </c>
      <c r="P51" t="b">
        <v>0</v>
      </c>
      <c r="Q51">
        <v>8.1</v>
      </c>
      <c r="R51" t="b">
        <v>0</v>
      </c>
      <c r="T51">
        <v>0</v>
      </c>
      <c r="U51">
        <v>74.430000000000007</v>
      </c>
      <c r="V51" t="b">
        <v>1</v>
      </c>
      <c r="W51" t="s">
        <v>58</v>
      </c>
      <c r="AE51" t="str">
        <f t="shared" si="0"/>
        <v>Yes</v>
      </c>
      <c r="AF51" t="str">
        <f t="shared" si="1"/>
        <v>Low</v>
      </c>
      <c r="AG51" t="str">
        <f t="shared" si="2"/>
        <v>No</v>
      </c>
      <c r="AH51" t="str">
        <f t="shared" si="3"/>
        <v>Unknown</v>
      </c>
      <c r="AJ51" t="str">
        <f t="shared" si="4"/>
        <v>High Trust</v>
      </c>
      <c r="AL51">
        <f t="shared" si="5"/>
        <v>74.400000000000006</v>
      </c>
      <c r="AM51" t="str">
        <f t="shared" si="6"/>
        <v>PhD</v>
      </c>
    </row>
    <row r="52" spans="1:39" x14ac:dyDescent="0.25">
      <c r="A52" t="s">
        <v>68</v>
      </c>
      <c r="B52" t="s">
        <v>49</v>
      </c>
      <c r="C52">
        <v>64.34</v>
      </c>
      <c r="D52">
        <v>477</v>
      </c>
      <c r="E52" t="b">
        <v>1</v>
      </c>
      <c r="F52" t="b">
        <v>1</v>
      </c>
      <c r="G52" t="b">
        <v>0</v>
      </c>
      <c r="H52" t="s">
        <v>25</v>
      </c>
      <c r="I52" t="s">
        <v>26</v>
      </c>
      <c r="J52" t="s">
        <v>45</v>
      </c>
      <c r="K52" t="s">
        <v>39</v>
      </c>
      <c r="L52" t="s">
        <v>69</v>
      </c>
      <c r="M52" t="s">
        <v>28</v>
      </c>
      <c r="N52" t="s">
        <v>46</v>
      </c>
      <c r="P52" t="b">
        <v>1</v>
      </c>
      <c r="Q52">
        <v>8.6999999999999993</v>
      </c>
      <c r="R52" t="b">
        <v>0</v>
      </c>
      <c r="T52">
        <v>0</v>
      </c>
      <c r="U52">
        <v>75.099999999999994</v>
      </c>
      <c r="V52" t="b">
        <v>1</v>
      </c>
      <c r="W52" t="s">
        <v>58</v>
      </c>
      <c r="AE52" t="str">
        <f t="shared" si="0"/>
        <v>Yes</v>
      </c>
      <c r="AF52" t="str">
        <f t="shared" si="1"/>
        <v>Medium</v>
      </c>
      <c r="AG52" t="str">
        <f t="shared" si="2"/>
        <v>No</v>
      </c>
      <c r="AH52" t="str">
        <f t="shared" si="3"/>
        <v>Unknown</v>
      </c>
      <c r="AJ52" t="str">
        <f t="shared" si="4"/>
        <v>High Trust</v>
      </c>
      <c r="AL52">
        <f t="shared" si="5"/>
        <v>75.099999999999994</v>
      </c>
      <c r="AM52" t="str">
        <f t="shared" si="6"/>
        <v>High School</v>
      </c>
    </row>
    <row r="53" spans="1:39" x14ac:dyDescent="0.25">
      <c r="A53" t="s">
        <v>61</v>
      </c>
      <c r="B53" t="s">
        <v>60</v>
      </c>
      <c r="C53">
        <v>48.63</v>
      </c>
      <c r="D53">
        <v>758</v>
      </c>
      <c r="E53" t="b">
        <v>1</v>
      </c>
      <c r="F53" t="b">
        <v>1</v>
      </c>
      <c r="G53" t="b">
        <v>1</v>
      </c>
      <c r="H53" t="s">
        <v>34</v>
      </c>
      <c r="I53" t="s">
        <v>44</v>
      </c>
      <c r="J53" t="s">
        <v>45</v>
      </c>
      <c r="K53" t="s">
        <v>46</v>
      </c>
      <c r="L53" t="s">
        <v>29</v>
      </c>
      <c r="M53" t="s">
        <v>46</v>
      </c>
      <c r="P53" t="b">
        <v>0</v>
      </c>
      <c r="Q53">
        <v>5.7</v>
      </c>
      <c r="R53" t="b">
        <v>0</v>
      </c>
      <c r="T53">
        <v>0</v>
      </c>
      <c r="U53">
        <v>60.58</v>
      </c>
      <c r="V53" t="b">
        <v>1</v>
      </c>
      <c r="W53" t="s">
        <v>41</v>
      </c>
      <c r="AE53" t="str">
        <f t="shared" si="0"/>
        <v>Yes</v>
      </c>
      <c r="AF53" t="str">
        <f t="shared" si="1"/>
        <v>Unknown</v>
      </c>
      <c r="AG53" t="str">
        <f t="shared" si="2"/>
        <v>No</v>
      </c>
      <c r="AH53" t="str">
        <f t="shared" si="3"/>
        <v>Unknown</v>
      </c>
      <c r="AJ53" t="str">
        <f t="shared" si="4"/>
        <v>Moderate Trust</v>
      </c>
      <c r="AL53">
        <f t="shared" si="5"/>
        <v>60.6</v>
      </c>
      <c r="AM53" t="str">
        <f t="shared" si="6"/>
        <v>High School</v>
      </c>
    </row>
    <row r="54" spans="1:39" x14ac:dyDescent="0.25">
      <c r="A54" t="s">
        <v>74</v>
      </c>
      <c r="B54" t="s">
        <v>59</v>
      </c>
      <c r="C54">
        <v>78.510000000000005</v>
      </c>
      <c r="D54">
        <v>751</v>
      </c>
      <c r="E54" t="b">
        <v>1</v>
      </c>
      <c r="F54" t="b">
        <v>0</v>
      </c>
      <c r="G54" t="b">
        <v>1</v>
      </c>
      <c r="H54" t="s">
        <v>53</v>
      </c>
      <c r="I54" t="s">
        <v>26</v>
      </c>
      <c r="J54" t="s">
        <v>54</v>
      </c>
      <c r="K54" t="s">
        <v>46</v>
      </c>
      <c r="L54" t="s">
        <v>29</v>
      </c>
      <c r="M54" t="s">
        <v>39</v>
      </c>
      <c r="N54" t="s">
        <v>39</v>
      </c>
      <c r="P54" t="b">
        <v>0</v>
      </c>
      <c r="Q54">
        <v>8.5</v>
      </c>
      <c r="R54" t="b">
        <v>1</v>
      </c>
      <c r="S54" t="s">
        <v>48</v>
      </c>
      <c r="T54">
        <v>22.1</v>
      </c>
      <c r="U54">
        <v>73.84</v>
      </c>
      <c r="V54" t="b">
        <v>1</v>
      </c>
      <c r="W54" t="s">
        <v>31</v>
      </c>
      <c r="AE54" t="str">
        <f t="shared" si="0"/>
        <v>No</v>
      </c>
      <c r="AF54" t="str">
        <f t="shared" si="1"/>
        <v>High</v>
      </c>
      <c r="AG54" t="str">
        <f t="shared" si="2"/>
        <v>No</v>
      </c>
      <c r="AH54" t="str">
        <f t="shared" si="3"/>
        <v>Consulted Documentation</v>
      </c>
      <c r="AJ54" t="str">
        <f t="shared" si="4"/>
        <v>High Trust</v>
      </c>
      <c r="AL54">
        <f t="shared" si="5"/>
        <v>73.8</v>
      </c>
      <c r="AM54" t="str">
        <f t="shared" si="6"/>
        <v>Masters</v>
      </c>
    </row>
    <row r="55" spans="1:39" x14ac:dyDescent="0.25">
      <c r="A55" t="s">
        <v>61</v>
      </c>
      <c r="B55" t="s">
        <v>42</v>
      </c>
      <c r="C55">
        <v>65.680000000000007</v>
      </c>
      <c r="D55">
        <v>228</v>
      </c>
      <c r="E55" t="b">
        <v>0</v>
      </c>
      <c r="F55" t="b">
        <v>1</v>
      </c>
      <c r="G55" t="b">
        <v>0</v>
      </c>
      <c r="H55" t="s">
        <v>53</v>
      </c>
      <c r="I55" t="s">
        <v>57</v>
      </c>
      <c r="J55" t="s">
        <v>50</v>
      </c>
      <c r="K55" t="s">
        <v>46</v>
      </c>
      <c r="L55" t="s">
        <v>69</v>
      </c>
      <c r="M55" t="s">
        <v>28</v>
      </c>
      <c r="N55" t="s">
        <v>39</v>
      </c>
      <c r="O55" t="b">
        <v>0</v>
      </c>
      <c r="P55" t="b">
        <v>1</v>
      </c>
      <c r="Q55">
        <v>6.6</v>
      </c>
      <c r="R55" t="b">
        <v>0</v>
      </c>
      <c r="T55">
        <v>0</v>
      </c>
      <c r="U55">
        <v>67.84</v>
      </c>
      <c r="V55" t="b">
        <v>1</v>
      </c>
      <c r="W55" t="s">
        <v>31</v>
      </c>
      <c r="AE55" t="str">
        <f t="shared" si="0"/>
        <v>Yes</v>
      </c>
      <c r="AF55" t="str">
        <f t="shared" si="1"/>
        <v>High</v>
      </c>
      <c r="AG55" t="str">
        <f t="shared" si="2"/>
        <v>No</v>
      </c>
      <c r="AH55" t="str">
        <f t="shared" si="3"/>
        <v>Unknown</v>
      </c>
      <c r="AJ55" t="str">
        <f t="shared" si="4"/>
        <v>Moderate Trust</v>
      </c>
      <c r="AL55">
        <f t="shared" si="5"/>
        <v>67.8</v>
      </c>
      <c r="AM55" t="str">
        <f t="shared" si="6"/>
        <v>Professional</v>
      </c>
    </row>
    <row r="56" spans="1:39" x14ac:dyDescent="0.25">
      <c r="A56" t="s">
        <v>68</v>
      </c>
      <c r="B56" t="s">
        <v>33</v>
      </c>
      <c r="C56">
        <v>83.56</v>
      </c>
      <c r="D56">
        <v>782</v>
      </c>
      <c r="E56" t="b">
        <v>0</v>
      </c>
      <c r="F56" t="b">
        <v>0</v>
      </c>
      <c r="G56" t="b">
        <v>0</v>
      </c>
      <c r="H56" t="s">
        <v>25</v>
      </c>
      <c r="I56" t="s">
        <v>44</v>
      </c>
      <c r="J56" t="s">
        <v>50</v>
      </c>
      <c r="K56" t="s">
        <v>46</v>
      </c>
      <c r="L56" t="s">
        <v>29</v>
      </c>
      <c r="M56" t="s">
        <v>46</v>
      </c>
      <c r="P56" t="b">
        <v>1</v>
      </c>
      <c r="Q56">
        <v>8.9</v>
      </c>
      <c r="R56" t="b">
        <v>1</v>
      </c>
      <c r="S56" t="s">
        <v>48</v>
      </c>
      <c r="T56">
        <v>17.2</v>
      </c>
      <c r="U56">
        <v>77.87</v>
      </c>
      <c r="V56" t="b">
        <v>1</v>
      </c>
      <c r="W56" t="s">
        <v>31</v>
      </c>
      <c r="AE56" t="str">
        <f t="shared" si="0"/>
        <v>No</v>
      </c>
      <c r="AF56" t="str">
        <f t="shared" si="1"/>
        <v>Unknown</v>
      </c>
      <c r="AG56" t="str">
        <f t="shared" si="2"/>
        <v>No</v>
      </c>
      <c r="AH56" t="str">
        <f t="shared" si="3"/>
        <v>Consulted Documentation</v>
      </c>
      <c r="AJ56" t="str">
        <f t="shared" si="4"/>
        <v>High Trust</v>
      </c>
      <c r="AL56">
        <f t="shared" si="5"/>
        <v>77.900000000000006</v>
      </c>
      <c r="AM56" t="str">
        <f t="shared" si="6"/>
        <v>Professional</v>
      </c>
    </row>
    <row r="57" spans="1:39" x14ac:dyDescent="0.25">
      <c r="A57" t="s">
        <v>56</v>
      </c>
      <c r="B57" t="s">
        <v>76</v>
      </c>
      <c r="C57">
        <v>78.98</v>
      </c>
      <c r="D57">
        <v>721</v>
      </c>
      <c r="E57" t="b">
        <v>1</v>
      </c>
      <c r="F57" t="b">
        <v>0</v>
      </c>
      <c r="G57" t="b">
        <v>1</v>
      </c>
      <c r="H57" t="s">
        <v>34</v>
      </c>
      <c r="I57" t="s">
        <v>26</v>
      </c>
      <c r="J57" t="s">
        <v>45</v>
      </c>
      <c r="K57" t="s">
        <v>28</v>
      </c>
      <c r="L57" t="s">
        <v>37</v>
      </c>
      <c r="M57" t="s">
        <v>39</v>
      </c>
      <c r="N57" t="s">
        <v>39</v>
      </c>
      <c r="O57" t="b">
        <v>1</v>
      </c>
      <c r="P57" t="b">
        <v>1</v>
      </c>
      <c r="Q57">
        <v>10</v>
      </c>
      <c r="R57" t="b">
        <v>0</v>
      </c>
      <c r="T57">
        <v>0</v>
      </c>
      <c r="U57">
        <v>81.3</v>
      </c>
      <c r="V57" t="b">
        <v>1</v>
      </c>
      <c r="W57" t="s">
        <v>58</v>
      </c>
      <c r="AE57" t="str">
        <f t="shared" si="0"/>
        <v>No</v>
      </c>
      <c r="AF57" t="str">
        <f t="shared" si="1"/>
        <v>High</v>
      </c>
      <c r="AG57" t="str">
        <f t="shared" si="2"/>
        <v>Yes</v>
      </c>
      <c r="AH57" t="str">
        <f t="shared" si="3"/>
        <v>Unknown</v>
      </c>
      <c r="AJ57" t="str">
        <f t="shared" si="4"/>
        <v>High Trust</v>
      </c>
      <c r="AL57">
        <f t="shared" si="5"/>
        <v>81.3</v>
      </c>
      <c r="AM57" t="str">
        <f t="shared" si="6"/>
        <v>High School</v>
      </c>
    </row>
    <row r="58" spans="1:39" x14ac:dyDescent="0.25">
      <c r="A58" t="s">
        <v>61</v>
      </c>
      <c r="B58" t="s">
        <v>71</v>
      </c>
      <c r="C58">
        <v>44.6</v>
      </c>
      <c r="D58">
        <v>177</v>
      </c>
      <c r="E58" t="b">
        <v>1</v>
      </c>
      <c r="F58" t="b">
        <v>1</v>
      </c>
      <c r="G58" t="b">
        <v>1</v>
      </c>
      <c r="H58" t="s">
        <v>53</v>
      </c>
      <c r="I58" t="s">
        <v>44</v>
      </c>
      <c r="J58" t="s">
        <v>54</v>
      </c>
      <c r="K58" t="s">
        <v>28</v>
      </c>
      <c r="L58" t="s">
        <v>37</v>
      </c>
      <c r="M58" t="s">
        <v>39</v>
      </c>
      <c r="O58" t="b">
        <v>1</v>
      </c>
      <c r="P58" t="b">
        <v>0</v>
      </c>
      <c r="Q58">
        <v>5.8</v>
      </c>
      <c r="R58" t="b">
        <v>1</v>
      </c>
      <c r="S58" t="s">
        <v>75</v>
      </c>
      <c r="T58">
        <v>37</v>
      </c>
      <c r="U58">
        <v>22.32</v>
      </c>
      <c r="V58" t="b">
        <v>0</v>
      </c>
      <c r="W58" t="s">
        <v>41</v>
      </c>
      <c r="AE58" t="str">
        <f t="shared" si="0"/>
        <v>Yes</v>
      </c>
      <c r="AF58" t="str">
        <f t="shared" si="1"/>
        <v>Unknown</v>
      </c>
      <c r="AG58" t="str">
        <f t="shared" si="2"/>
        <v>Yes</v>
      </c>
      <c r="AH58" t="str">
        <f t="shared" si="3"/>
        <v>Asked Colleague</v>
      </c>
      <c r="AJ58" t="str">
        <f t="shared" si="4"/>
        <v>Moderate Trust</v>
      </c>
      <c r="AL58">
        <f t="shared" si="5"/>
        <v>22.3</v>
      </c>
      <c r="AM58" t="str">
        <f t="shared" si="6"/>
        <v>Masters</v>
      </c>
    </row>
    <row r="59" spans="1:39" x14ac:dyDescent="0.25">
      <c r="A59" t="s">
        <v>61</v>
      </c>
      <c r="B59" t="s">
        <v>76</v>
      </c>
      <c r="C59">
        <v>89.73</v>
      </c>
      <c r="D59">
        <v>530</v>
      </c>
      <c r="E59" t="b">
        <v>0</v>
      </c>
      <c r="F59" t="b">
        <v>0</v>
      </c>
      <c r="G59" t="b">
        <v>1</v>
      </c>
      <c r="H59" t="s">
        <v>43</v>
      </c>
      <c r="I59" t="s">
        <v>35</v>
      </c>
      <c r="J59" t="s">
        <v>54</v>
      </c>
      <c r="K59" t="s">
        <v>39</v>
      </c>
      <c r="L59" t="s">
        <v>51</v>
      </c>
      <c r="M59" t="s">
        <v>47</v>
      </c>
      <c r="N59" t="s">
        <v>46</v>
      </c>
      <c r="P59" t="b">
        <v>0</v>
      </c>
      <c r="Q59">
        <v>8</v>
      </c>
      <c r="R59" t="b">
        <v>0</v>
      </c>
      <c r="T59">
        <v>0</v>
      </c>
      <c r="U59">
        <v>87.16</v>
      </c>
      <c r="V59" t="b">
        <v>1</v>
      </c>
      <c r="W59" t="s">
        <v>58</v>
      </c>
      <c r="AE59" t="str">
        <f t="shared" si="0"/>
        <v>No</v>
      </c>
      <c r="AF59" t="str">
        <f t="shared" si="1"/>
        <v>Medium</v>
      </c>
      <c r="AG59" t="str">
        <f t="shared" si="2"/>
        <v>No</v>
      </c>
      <c r="AH59" t="str">
        <f t="shared" si="3"/>
        <v>Unknown</v>
      </c>
      <c r="AJ59" t="str">
        <f t="shared" si="4"/>
        <v>High Trust</v>
      </c>
      <c r="AL59">
        <f t="shared" si="5"/>
        <v>87.2</v>
      </c>
      <c r="AM59" t="str">
        <f t="shared" si="6"/>
        <v>Masters</v>
      </c>
    </row>
    <row r="60" spans="1:39" x14ac:dyDescent="0.25">
      <c r="A60" t="s">
        <v>68</v>
      </c>
      <c r="B60" t="s">
        <v>24</v>
      </c>
      <c r="C60">
        <v>85.71</v>
      </c>
      <c r="D60">
        <v>745</v>
      </c>
      <c r="E60" t="b">
        <v>1</v>
      </c>
      <c r="F60" t="b">
        <v>1</v>
      </c>
      <c r="G60" t="b">
        <v>1</v>
      </c>
      <c r="H60" t="s">
        <v>25</v>
      </c>
      <c r="I60" t="s">
        <v>63</v>
      </c>
      <c r="J60" t="s">
        <v>27</v>
      </c>
      <c r="K60" t="s">
        <v>37</v>
      </c>
      <c r="L60" t="s">
        <v>69</v>
      </c>
      <c r="M60" t="s">
        <v>39</v>
      </c>
      <c r="N60" t="s">
        <v>28</v>
      </c>
      <c r="P60" t="b">
        <v>1</v>
      </c>
      <c r="Q60">
        <v>8.8000000000000007</v>
      </c>
      <c r="R60" t="b">
        <v>1</v>
      </c>
      <c r="S60" t="s">
        <v>75</v>
      </c>
      <c r="T60">
        <v>41.3</v>
      </c>
      <c r="U60">
        <v>79.75</v>
      </c>
      <c r="V60" t="b">
        <v>1</v>
      </c>
      <c r="W60" t="s">
        <v>31</v>
      </c>
      <c r="AE60" t="str">
        <f t="shared" si="0"/>
        <v>Yes</v>
      </c>
      <c r="AF60" t="str">
        <f t="shared" si="1"/>
        <v>Low</v>
      </c>
      <c r="AG60" t="str">
        <f t="shared" si="2"/>
        <v>No</v>
      </c>
      <c r="AH60" t="str">
        <f t="shared" si="3"/>
        <v>Asked Colleague</v>
      </c>
      <c r="AJ60" t="str">
        <f t="shared" si="4"/>
        <v>High Trust</v>
      </c>
      <c r="AL60">
        <f t="shared" si="5"/>
        <v>79.8</v>
      </c>
      <c r="AM60" t="str">
        <f t="shared" si="6"/>
        <v>Bachelors</v>
      </c>
    </row>
    <row r="61" spans="1:39" x14ac:dyDescent="0.25">
      <c r="A61" t="s">
        <v>56</v>
      </c>
      <c r="B61" t="s">
        <v>62</v>
      </c>
      <c r="C61">
        <v>66.94</v>
      </c>
      <c r="D61">
        <v>591</v>
      </c>
      <c r="E61" t="b">
        <v>0</v>
      </c>
      <c r="F61" t="b">
        <v>1</v>
      </c>
      <c r="G61" t="b">
        <v>0</v>
      </c>
      <c r="H61" t="s">
        <v>53</v>
      </c>
      <c r="I61" t="s">
        <v>57</v>
      </c>
      <c r="J61" t="s">
        <v>36</v>
      </c>
      <c r="K61" t="s">
        <v>46</v>
      </c>
      <c r="L61" t="s">
        <v>38</v>
      </c>
      <c r="M61" t="s">
        <v>47</v>
      </c>
      <c r="N61" t="s">
        <v>46</v>
      </c>
      <c r="P61" t="b">
        <v>0</v>
      </c>
      <c r="Q61">
        <v>6.2</v>
      </c>
      <c r="R61" t="b">
        <v>1</v>
      </c>
      <c r="S61" t="s">
        <v>64</v>
      </c>
      <c r="T61">
        <v>31</v>
      </c>
      <c r="U61">
        <v>58.21</v>
      </c>
      <c r="V61" t="b">
        <v>1</v>
      </c>
      <c r="W61" t="s">
        <v>41</v>
      </c>
      <c r="AE61" t="str">
        <f t="shared" si="0"/>
        <v>Yes</v>
      </c>
      <c r="AF61" t="str">
        <f t="shared" si="1"/>
        <v>Medium</v>
      </c>
      <c r="AG61" t="str">
        <f t="shared" si="2"/>
        <v>No</v>
      </c>
      <c r="AH61" t="str">
        <f t="shared" si="3"/>
        <v>Personal Testing</v>
      </c>
      <c r="AJ61" t="str">
        <f t="shared" si="4"/>
        <v>Moderate Trust</v>
      </c>
      <c r="AL61">
        <f t="shared" si="5"/>
        <v>58.2</v>
      </c>
      <c r="AM61" t="str">
        <f t="shared" si="6"/>
        <v>PhD</v>
      </c>
    </row>
    <row r="62" spans="1:39" x14ac:dyDescent="0.25">
      <c r="A62" t="s">
        <v>68</v>
      </c>
      <c r="B62" t="s">
        <v>49</v>
      </c>
      <c r="C62">
        <v>69.400000000000006</v>
      </c>
      <c r="D62">
        <v>127</v>
      </c>
      <c r="E62" t="b">
        <v>1</v>
      </c>
      <c r="F62" t="b">
        <v>1</v>
      </c>
      <c r="G62" t="b">
        <v>0</v>
      </c>
      <c r="H62" t="s">
        <v>34</v>
      </c>
      <c r="I62" t="s">
        <v>57</v>
      </c>
      <c r="J62" t="s">
        <v>36</v>
      </c>
      <c r="K62" t="s">
        <v>39</v>
      </c>
      <c r="L62" t="s">
        <v>51</v>
      </c>
      <c r="M62" t="s">
        <v>47</v>
      </c>
      <c r="N62" t="s">
        <v>46</v>
      </c>
      <c r="P62" t="b">
        <v>1</v>
      </c>
      <c r="Q62">
        <v>7</v>
      </c>
      <c r="R62" t="b">
        <v>1</v>
      </c>
      <c r="S62" t="s">
        <v>75</v>
      </c>
      <c r="T62">
        <v>8.4</v>
      </c>
      <c r="U62">
        <v>83.3</v>
      </c>
      <c r="V62" t="b">
        <v>1</v>
      </c>
      <c r="W62" t="s">
        <v>41</v>
      </c>
      <c r="AE62" t="str">
        <f t="shared" si="0"/>
        <v>Yes</v>
      </c>
      <c r="AF62" t="str">
        <f t="shared" si="1"/>
        <v>Medium</v>
      </c>
      <c r="AG62" t="str">
        <f t="shared" si="2"/>
        <v>No</v>
      </c>
      <c r="AH62" t="str">
        <f t="shared" si="3"/>
        <v>Asked Colleague</v>
      </c>
      <c r="AJ62" t="str">
        <f t="shared" si="4"/>
        <v>Moderate Trust</v>
      </c>
      <c r="AL62">
        <f t="shared" si="5"/>
        <v>83.3</v>
      </c>
      <c r="AM62" t="str">
        <f t="shared" si="6"/>
        <v>PhD</v>
      </c>
    </row>
    <row r="63" spans="1:39" x14ac:dyDescent="0.25">
      <c r="A63" t="s">
        <v>32</v>
      </c>
      <c r="B63" t="s">
        <v>49</v>
      </c>
      <c r="C63">
        <v>78.42</v>
      </c>
      <c r="D63">
        <v>154</v>
      </c>
      <c r="E63" t="b">
        <v>0</v>
      </c>
      <c r="F63" t="b">
        <v>0</v>
      </c>
      <c r="G63" t="b">
        <v>0</v>
      </c>
      <c r="H63" t="s">
        <v>53</v>
      </c>
      <c r="I63" t="s">
        <v>44</v>
      </c>
      <c r="J63" t="s">
        <v>36</v>
      </c>
      <c r="K63" t="s">
        <v>28</v>
      </c>
      <c r="L63" t="s">
        <v>29</v>
      </c>
      <c r="M63" t="s">
        <v>28</v>
      </c>
      <c r="N63" t="s">
        <v>46</v>
      </c>
      <c r="P63" t="b">
        <v>0</v>
      </c>
      <c r="Q63">
        <v>8.8000000000000007</v>
      </c>
      <c r="R63" t="b">
        <v>0</v>
      </c>
      <c r="T63">
        <v>0</v>
      </c>
      <c r="U63">
        <v>66.900000000000006</v>
      </c>
      <c r="V63" t="b">
        <v>0</v>
      </c>
      <c r="W63" t="s">
        <v>58</v>
      </c>
      <c r="AE63" t="str">
        <f t="shared" si="0"/>
        <v>No</v>
      </c>
      <c r="AF63" t="str">
        <f t="shared" si="1"/>
        <v>Medium</v>
      </c>
      <c r="AG63" t="str">
        <f t="shared" si="2"/>
        <v>No</v>
      </c>
      <c r="AH63" t="str">
        <f t="shared" si="3"/>
        <v>Unknown</v>
      </c>
      <c r="AJ63" t="str">
        <f t="shared" si="4"/>
        <v>High Trust</v>
      </c>
      <c r="AL63">
        <f t="shared" si="5"/>
        <v>66.900000000000006</v>
      </c>
      <c r="AM63" t="str">
        <f t="shared" si="6"/>
        <v>PhD</v>
      </c>
    </row>
    <row r="64" spans="1:39" x14ac:dyDescent="0.25">
      <c r="A64" t="s">
        <v>56</v>
      </c>
      <c r="B64" t="s">
        <v>33</v>
      </c>
      <c r="C64">
        <v>80.39</v>
      </c>
      <c r="D64">
        <v>298</v>
      </c>
      <c r="E64" t="b">
        <v>0</v>
      </c>
      <c r="F64" t="b">
        <v>1</v>
      </c>
      <c r="G64" t="b">
        <v>0</v>
      </c>
      <c r="H64" t="s">
        <v>34</v>
      </c>
      <c r="I64" t="s">
        <v>67</v>
      </c>
      <c r="J64" t="s">
        <v>50</v>
      </c>
      <c r="K64" t="s">
        <v>46</v>
      </c>
      <c r="L64" t="s">
        <v>37</v>
      </c>
      <c r="M64" t="s">
        <v>39</v>
      </c>
      <c r="N64" t="s">
        <v>39</v>
      </c>
      <c r="O64" t="b">
        <v>0</v>
      </c>
      <c r="P64" t="b">
        <v>1</v>
      </c>
      <c r="Q64">
        <v>7.5</v>
      </c>
      <c r="R64" t="b">
        <v>1</v>
      </c>
      <c r="S64" t="s">
        <v>55</v>
      </c>
      <c r="T64">
        <v>2.4</v>
      </c>
      <c r="U64">
        <v>77.290000000000006</v>
      </c>
      <c r="V64" t="b">
        <v>1</v>
      </c>
      <c r="W64" t="s">
        <v>41</v>
      </c>
      <c r="AE64" t="str">
        <f t="shared" si="0"/>
        <v>Yes</v>
      </c>
      <c r="AF64" t="str">
        <f t="shared" si="1"/>
        <v>High</v>
      </c>
      <c r="AG64" t="str">
        <f t="shared" si="2"/>
        <v>No</v>
      </c>
      <c r="AH64" t="str">
        <f t="shared" si="3"/>
        <v>Academic Paper</v>
      </c>
      <c r="AJ64" t="str">
        <f t="shared" si="4"/>
        <v>Moderate Trust</v>
      </c>
      <c r="AL64">
        <f t="shared" si="5"/>
        <v>77.3</v>
      </c>
      <c r="AM64" t="str">
        <f t="shared" si="6"/>
        <v>Professional</v>
      </c>
    </row>
    <row r="65" spans="1:39" x14ac:dyDescent="0.25">
      <c r="A65" t="s">
        <v>74</v>
      </c>
      <c r="B65" t="s">
        <v>59</v>
      </c>
      <c r="C65">
        <v>83.16</v>
      </c>
      <c r="D65">
        <v>257</v>
      </c>
      <c r="E65" t="b">
        <v>1</v>
      </c>
      <c r="F65" t="b">
        <v>1</v>
      </c>
      <c r="G65" t="b">
        <v>1</v>
      </c>
      <c r="H65" t="s">
        <v>34</v>
      </c>
      <c r="I65" t="s">
        <v>63</v>
      </c>
      <c r="J65" t="s">
        <v>50</v>
      </c>
      <c r="K65" t="s">
        <v>46</v>
      </c>
      <c r="L65" t="s">
        <v>37</v>
      </c>
      <c r="M65" t="s">
        <v>39</v>
      </c>
      <c r="P65" t="b">
        <v>1</v>
      </c>
      <c r="Q65">
        <v>9.3000000000000007</v>
      </c>
      <c r="R65" t="b">
        <v>1</v>
      </c>
      <c r="S65" t="s">
        <v>65</v>
      </c>
      <c r="T65">
        <v>16.5</v>
      </c>
      <c r="U65">
        <v>96.68</v>
      </c>
      <c r="V65" t="b">
        <v>1</v>
      </c>
      <c r="W65" t="s">
        <v>31</v>
      </c>
      <c r="AE65" t="str">
        <f t="shared" si="0"/>
        <v>Yes</v>
      </c>
      <c r="AF65" t="str">
        <f t="shared" si="1"/>
        <v>Unknown</v>
      </c>
      <c r="AG65" t="str">
        <f t="shared" si="2"/>
        <v>No</v>
      </c>
      <c r="AH65" t="str">
        <f t="shared" si="3"/>
        <v>Cross-referenced Multiple AIs</v>
      </c>
      <c r="AJ65" t="str">
        <f t="shared" si="4"/>
        <v>High Trust</v>
      </c>
      <c r="AL65">
        <f t="shared" si="5"/>
        <v>96.7</v>
      </c>
      <c r="AM65" t="str">
        <f t="shared" si="6"/>
        <v>Professional</v>
      </c>
    </row>
    <row r="66" spans="1:39" x14ac:dyDescent="0.25">
      <c r="A66" t="s">
        <v>61</v>
      </c>
      <c r="B66" t="s">
        <v>42</v>
      </c>
      <c r="C66">
        <v>72.92</v>
      </c>
      <c r="D66">
        <v>490</v>
      </c>
      <c r="E66" t="b">
        <v>0</v>
      </c>
      <c r="F66" t="b">
        <v>1</v>
      </c>
      <c r="G66" t="b">
        <v>1</v>
      </c>
      <c r="H66" t="s">
        <v>43</v>
      </c>
      <c r="I66" t="s">
        <v>67</v>
      </c>
      <c r="J66" t="s">
        <v>36</v>
      </c>
      <c r="K66" t="s">
        <v>46</v>
      </c>
      <c r="L66" t="s">
        <v>51</v>
      </c>
      <c r="M66" t="s">
        <v>28</v>
      </c>
      <c r="N66" t="s">
        <v>28</v>
      </c>
      <c r="O66" t="b">
        <v>0</v>
      </c>
      <c r="P66" t="b">
        <v>1</v>
      </c>
      <c r="Q66">
        <v>7.3</v>
      </c>
      <c r="R66" t="b">
        <v>1</v>
      </c>
      <c r="S66" t="s">
        <v>55</v>
      </c>
      <c r="T66">
        <v>37.6</v>
      </c>
      <c r="U66">
        <v>87.51</v>
      </c>
      <c r="V66" t="b">
        <v>1</v>
      </c>
      <c r="W66" t="s">
        <v>41</v>
      </c>
      <c r="AE66" t="str">
        <f t="shared" si="0"/>
        <v>Yes</v>
      </c>
      <c r="AF66" t="str">
        <f t="shared" si="1"/>
        <v>Low</v>
      </c>
      <c r="AG66" t="str">
        <f t="shared" si="2"/>
        <v>No</v>
      </c>
      <c r="AH66" t="str">
        <f t="shared" si="3"/>
        <v>Academic Paper</v>
      </c>
      <c r="AJ66" t="str">
        <f t="shared" si="4"/>
        <v>Moderate Trust</v>
      </c>
      <c r="AL66">
        <f t="shared" si="5"/>
        <v>87.5</v>
      </c>
      <c r="AM66" t="str">
        <f t="shared" si="6"/>
        <v>PhD</v>
      </c>
    </row>
    <row r="67" spans="1:39" x14ac:dyDescent="0.25">
      <c r="A67" t="s">
        <v>61</v>
      </c>
      <c r="B67" t="s">
        <v>33</v>
      </c>
      <c r="C67">
        <v>75.38</v>
      </c>
      <c r="D67">
        <v>317</v>
      </c>
      <c r="E67" t="b">
        <v>0</v>
      </c>
      <c r="F67" t="b">
        <v>1</v>
      </c>
      <c r="G67" t="b">
        <v>0</v>
      </c>
      <c r="H67" t="s">
        <v>34</v>
      </c>
      <c r="I67" t="s">
        <v>44</v>
      </c>
      <c r="J67" t="s">
        <v>54</v>
      </c>
      <c r="K67" t="s">
        <v>46</v>
      </c>
      <c r="L67" t="s">
        <v>51</v>
      </c>
      <c r="M67" t="s">
        <v>47</v>
      </c>
      <c r="O67" t="b">
        <v>0</v>
      </c>
      <c r="P67" t="b">
        <v>0</v>
      </c>
      <c r="Q67">
        <v>5.0999999999999996</v>
      </c>
      <c r="R67" t="b">
        <v>1</v>
      </c>
      <c r="S67" t="s">
        <v>75</v>
      </c>
      <c r="T67">
        <v>25.4</v>
      </c>
      <c r="U67">
        <v>60.63</v>
      </c>
      <c r="V67" t="b">
        <v>1</v>
      </c>
      <c r="W67" t="s">
        <v>41</v>
      </c>
      <c r="AE67" t="str">
        <f t="shared" ref="AE67:AE130" si="7">IF(F67=TRUE,"Yes","No")</f>
        <v>Yes</v>
      </c>
      <c r="AF67" t="str">
        <f t="shared" ref="AF67:AF130" si="8">IF(ISBLANK(N67),"Unknown",N67)</f>
        <v>Unknown</v>
      </c>
      <c r="AG67" t="str">
        <f t="shared" ref="AG67:AG130" si="9">IF(O67=TRUE,"Yes","No")</f>
        <v>No</v>
      </c>
      <c r="AH67" t="str">
        <f t="shared" ref="AH67:AH130" si="10">IF(ISBLANK(S67),"Unknown",S67)</f>
        <v>Asked Colleague</v>
      </c>
      <c r="AJ67" t="str">
        <f t="shared" ref="AJ67:AJ130" si="11">IF(Q67&gt;=8,"High Trust",
IF(Q68&gt;=5,"Moderate Trust","Low Trust"))</f>
        <v>Moderate Trust</v>
      </c>
      <c r="AL67">
        <f t="shared" ref="AL67:AL130" si="12">ROUND(U67,1)</f>
        <v>60.6</v>
      </c>
      <c r="AM67" t="str">
        <f t="shared" ref="AM67:AM130" si="13">TRIM(J67)</f>
        <v>Masters</v>
      </c>
    </row>
    <row r="68" spans="1:39" x14ac:dyDescent="0.25">
      <c r="A68" t="s">
        <v>32</v>
      </c>
      <c r="B68" t="s">
        <v>66</v>
      </c>
      <c r="C68">
        <v>65.959999999999994</v>
      </c>
      <c r="D68">
        <v>794</v>
      </c>
      <c r="E68" t="b">
        <v>1</v>
      </c>
      <c r="F68" t="b">
        <v>1</v>
      </c>
      <c r="G68" t="b">
        <v>1</v>
      </c>
      <c r="H68" t="s">
        <v>43</v>
      </c>
      <c r="I68" t="s">
        <v>35</v>
      </c>
      <c r="J68" t="s">
        <v>27</v>
      </c>
      <c r="K68" t="s">
        <v>28</v>
      </c>
      <c r="L68" t="s">
        <v>38</v>
      </c>
      <c r="M68" t="s">
        <v>47</v>
      </c>
      <c r="N68" t="s">
        <v>39</v>
      </c>
      <c r="P68" t="b">
        <v>1</v>
      </c>
      <c r="Q68">
        <v>7.4</v>
      </c>
      <c r="R68" t="b">
        <v>1</v>
      </c>
      <c r="S68" t="s">
        <v>48</v>
      </c>
      <c r="T68">
        <v>21.3</v>
      </c>
      <c r="U68">
        <v>66.599999999999994</v>
      </c>
      <c r="V68" t="b">
        <v>1</v>
      </c>
      <c r="W68" t="s">
        <v>41</v>
      </c>
      <c r="AE68" t="str">
        <f t="shared" si="7"/>
        <v>Yes</v>
      </c>
      <c r="AF68" t="str">
        <f t="shared" si="8"/>
        <v>High</v>
      </c>
      <c r="AG68" t="str">
        <f t="shared" si="9"/>
        <v>No</v>
      </c>
      <c r="AH68" t="str">
        <f t="shared" si="10"/>
        <v>Consulted Documentation</v>
      </c>
      <c r="AJ68" t="str">
        <f t="shared" si="11"/>
        <v>Moderate Trust</v>
      </c>
      <c r="AL68">
        <f t="shared" si="12"/>
        <v>66.599999999999994</v>
      </c>
      <c r="AM68" t="str">
        <f t="shared" si="13"/>
        <v>Bachelors</v>
      </c>
    </row>
    <row r="69" spans="1:39" x14ac:dyDescent="0.25">
      <c r="A69" t="s">
        <v>32</v>
      </c>
      <c r="B69" t="s">
        <v>73</v>
      </c>
      <c r="C69">
        <v>58.08</v>
      </c>
      <c r="D69">
        <v>587</v>
      </c>
      <c r="E69" t="b">
        <v>1</v>
      </c>
      <c r="F69" t="b">
        <v>1</v>
      </c>
      <c r="G69" t="b">
        <v>0</v>
      </c>
      <c r="H69" t="s">
        <v>43</v>
      </c>
      <c r="I69" t="s">
        <v>63</v>
      </c>
      <c r="J69" t="s">
        <v>36</v>
      </c>
      <c r="K69" t="s">
        <v>46</v>
      </c>
      <c r="L69" t="s">
        <v>29</v>
      </c>
      <c r="M69" t="s">
        <v>28</v>
      </c>
      <c r="N69" t="s">
        <v>39</v>
      </c>
      <c r="P69" t="b">
        <v>0</v>
      </c>
      <c r="Q69">
        <v>7.9</v>
      </c>
      <c r="R69" t="b">
        <v>1</v>
      </c>
      <c r="S69" t="s">
        <v>30</v>
      </c>
      <c r="T69">
        <v>41.5</v>
      </c>
      <c r="U69">
        <v>61.59</v>
      </c>
      <c r="V69" t="b">
        <v>1</v>
      </c>
      <c r="W69" t="s">
        <v>41</v>
      </c>
      <c r="AE69" t="str">
        <f t="shared" si="7"/>
        <v>Yes</v>
      </c>
      <c r="AF69" t="str">
        <f t="shared" si="8"/>
        <v>High</v>
      </c>
      <c r="AG69" t="str">
        <f t="shared" si="9"/>
        <v>No</v>
      </c>
      <c r="AH69" t="str">
        <f t="shared" si="10"/>
        <v>Google Search</v>
      </c>
      <c r="AJ69" t="str">
        <f t="shared" si="11"/>
        <v>Moderate Trust</v>
      </c>
      <c r="AL69">
        <f t="shared" si="12"/>
        <v>61.6</v>
      </c>
      <c r="AM69" t="str">
        <f t="shared" si="13"/>
        <v>PhD</v>
      </c>
    </row>
    <row r="70" spans="1:39" x14ac:dyDescent="0.25">
      <c r="A70" t="s">
        <v>74</v>
      </c>
      <c r="B70" t="s">
        <v>66</v>
      </c>
      <c r="C70">
        <v>59.28</v>
      </c>
      <c r="D70">
        <v>138</v>
      </c>
      <c r="E70" t="b">
        <v>1</v>
      </c>
      <c r="F70" t="b">
        <v>1</v>
      </c>
      <c r="G70" t="b">
        <v>0</v>
      </c>
      <c r="H70" t="s">
        <v>34</v>
      </c>
      <c r="I70" t="s">
        <v>44</v>
      </c>
      <c r="J70" t="s">
        <v>50</v>
      </c>
      <c r="K70" t="s">
        <v>46</v>
      </c>
      <c r="L70" t="s">
        <v>51</v>
      </c>
      <c r="M70" t="s">
        <v>46</v>
      </c>
      <c r="N70" t="s">
        <v>39</v>
      </c>
      <c r="P70" t="b">
        <v>1</v>
      </c>
      <c r="Q70">
        <v>7.6</v>
      </c>
      <c r="R70" t="b">
        <v>0</v>
      </c>
      <c r="T70">
        <v>0</v>
      </c>
      <c r="U70">
        <v>35.69</v>
      </c>
      <c r="V70" t="b">
        <v>0</v>
      </c>
      <c r="W70" t="s">
        <v>31</v>
      </c>
      <c r="AE70" t="str">
        <f t="shared" si="7"/>
        <v>Yes</v>
      </c>
      <c r="AF70" t="str">
        <f t="shared" si="8"/>
        <v>High</v>
      </c>
      <c r="AG70" t="str">
        <f t="shared" si="9"/>
        <v>No</v>
      </c>
      <c r="AH70" t="str">
        <f t="shared" si="10"/>
        <v>Unknown</v>
      </c>
      <c r="AJ70" t="str">
        <f t="shared" si="11"/>
        <v>Moderate Trust</v>
      </c>
      <c r="AL70">
        <f t="shared" si="12"/>
        <v>35.700000000000003</v>
      </c>
      <c r="AM70" t="str">
        <f t="shared" si="13"/>
        <v>Professional</v>
      </c>
    </row>
    <row r="71" spans="1:39" x14ac:dyDescent="0.25">
      <c r="A71" t="s">
        <v>61</v>
      </c>
      <c r="B71" t="s">
        <v>24</v>
      </c>
      <c r="C71">
        <v>98.51</v>
      </c>
      <c r="D71">
        <v>697</v>
      </c>
      <c r="E71" t="b">
        <v>0</v>
      </c>
      <c r="F71" t="b">
        <v>0</v>
      </c>
      <c r="G71" t="b">
        <v>1</v>
      </c>
      <c r="H71" t="s">
        <v>25</v>
      </c>
      <c r="I71" t="s">
        <v>63</v>
      </c>
      <c r="J71" t="s">
        <v>27</v>
      </c>
      <c r="K71" t="s">
        <v>28</v>
      </c>
      <c r="L71" t="s">
        <v>51</v>
      </c>
      <c r="M71" t="s">
        <v>47</v>
      </c>
      <c r="N71" t="s">
        <v>39</v>
      </c>
      <c r="P71" t="b">
        <v>0</v>
      </c>
      <c r="Q71">
        <v>9.5</v>
      </c>
      <c r="R71" t="b">
        <v>1</v>
      </c>
      <c r="S71" t="s">
        <v>55</v>
      </c>
      <c r="T71">
        <v>39</v>
      </c>
      <c r="U71">
        <v>100</v>
      </c>
      <c r="V71" t="b">
        <v>1</v>
      </c>
      <c r="W71" t="s">
        <v>31</v>
      </c>
      <c r="AE71" t="str">
        <f t="shared" si="7"/>
        <v>No</v>
      </c>
      <c r="AF71" t="str">
        <f t="shared" si="8"/>
        <v>High</v>
      </c>
      <c r="AG71" t="str">
        <f t="shared" si="9"/>
        <v>No</v>
      </c>
      <c r="AH71" t="str">
        <f t="shared" si="10"/>
        <v>Academic Paper</v>
      </c>
      <c r="AJ71" t="str">
        <f t="shared" si="11"/>
        <v>High Trust</v>
      </c>
      <c r="AL71">
        <f t="shared" si="12"/>
        <v>100</v>
      </c>
      <c r="AM71" t="str">
        <f t="shared" si="13"/>
        <v>Bachelors</v>
      </c>
    </row>
    <row r="72" spans="1:39" x14ac:dyDescent="0.25">
      <c r="A72" t="s">
        <v>68</v>
      </c>
      <c r="B72" t="s">
        <v>70</v>
      </c>
      <c r="C72">
        <v>88.03</v>
      </c>
      <c r="D72">
        <v>129</v>
      </c>
      <c r="E72" t="b">
        <v>1</v>
      </c>
      <c r="F72" t="b">
        <v>0</v>
      </c>
      <c r="G72" t="b">
        <v>0</v>
      </c>
      <c r="H72" t="s">
        <v>34</v>
      </c>
      <c r="I72" t="s">
        <v>26</v>
      </c>
      <c r="J72" t="s">
        <v>54</v>
      </c>
      <c r="K72" t="s">
        <v>37</v>
      </c>
      <c r="L72" t="s">
        <v>69</v>
      </c>
      <c r="M72" t="s">
        <v>28</v>
      </c>
      <c r="N72" t="s">
        <v>39</v>
      </c>
      <c r="P72" t="b">
        <v>0</v>
      </c>
      <c r="Q72">
        <v>10</v>
      </c>
      <c r="R72" t="b">
        <v>0</v>
      </c>
      <c r="T72">
        <v>0</v>
      </c>
      <c r="U72">
        <v>96.82</v>
      </c>
      <c r="V72" t="b">
        <v>1</v>
      </c>
      <c r="W72" t="s">
        <v>58</v>
      </c>
      <c r="AE72" t="str">
        <f t="shared" si="7"/>
        <v>No</v>
      </c>
      <c r="AF72" t="str">
        <f t="shared" si="8"/>
        <v>High</v>
      </c>
      <c r="AG72" t="str">
        <f t="shared" si="9"/>
        <v>No</v>
      </c>
      <c r="AH72" t="str">
        <f t="shared" si="10"/>
        <v>Unknown</v>
      </c>
      <c r="AJ72" t="str">
        <f t="shared" si="11"/>
        <v>High Trust</v>
      </c>
      <c r="AL72">
        <f t="shared" si="12"/>
        <v>96.8</v>
      </c>
      <c r="AM72" t="str">
        <f t="shared" si="13"/>
        <v>Masters</v>
      </c>
    </row>
    <row r="73" spans="1:39" x14ac:dyDescent="0.25">
      <c r="A73" t="s">
        <v>56</v>
      </c>
      <c r="B73" t="s">
        <v>59</v>
      </c>
      <c r="C73">
        <v>75.58</v>
      </c>
      <c r="D73">
        <v>253</v>
      </c>
      <c r="E73" t="b">
        <v>0</v>
      </c>
      <c r="F73" t="b">
        <v>0</v>
      </c>
      <c r="G73" t="b">
        <v>0</v>
      </c>
      <c r="H73" t="s">
        <v>53</v>
      </c>
      <c r="I73" t="s">
        <v>35</v>
      </c>
      <c r="J73" t="s">
        <v>36</v>
      </c>
      <c r="K73" t="s">
        <v>39</v>
      </c>
      <c r="L73" t="s">
        <v>29</v>
      </c>
      <c r="M73" t="s">
        <v>28</v>
      </c>
      <c r="P73" t="b">
        <v>0</v>
      </c>
      <c r="Q73">
        <v>8.1</v>
      </c>
      <c r="R73" t="b">
        <v>1</v>
      </c>
      <c r="S73" t="s">
        <v>48</v>
      </c>
      <c r="T73">
        <v>32.6</v>
      </c>
      <c r="U73">
        <v>61.68</v>
      </c>
      <c r="V73" t="b">
        <v>1</v>
      </c>
      <c r="W73" t="s">
        <v>31</v>
      </c>
      <c r="AE73" t="str">
        <f t="shared" si="7"/>
        <v>No</v>
      </c>
      <c r="AF73" t="str">
        <f t="shared" si="8"/>
        <v>Unknown</v>
      </c>
      <c r="AG73" t="str">
        <f t="shared" si="9"/>
        <v>No</v>
      </c>
      <c r="AH73" t="str">
        <f t="shared" si="10"/>
        <v>Consulted Documentation</v>
      </c>
      <c r="AJ73" t="str">
        <f t="shared" si="11"/>
        <v>High Trust</v>
      </c>
      <c r="AL73">
        <f t="shared" si="12"/>
        <v>61.7</v>
      </c>
      <c r="AM73" t="str">
        <f t="shared" si="13"/>
        <v>PhD</v>
      </c>
    </row>
    <row r="74" spans="1:39" x14ac:dyDescent="0.25">
      <c r="A74" t="s">
        <v>68</v>
      </c>
      <c r="B74" t="s">
        <v>71</v>
      </c>
      <c r="C74">
        <v>47.38</v>
      </c>
      <c r="D74">
        <v>144</v>
      </c>
      <c r="E74" t="b">
        <v>0</v>
      </c>
      <c r="F74" t="b">
        <v>1</v>
      </c>
      <c r="G74" t="b">
        <v>1</v>
      </c>
      <c r="H74" t="s">
        <v>34</v>
      </c>
      <c r="I74" t="s">
        <v>63</v>
      </c>
      <c r="J74" t="s">
        <v>27</v>
      </c>
      <c r="K74" t="s">
        <v>46</v>
      </c>
      <c r="L74" t="s">
        <v>29</v>
      </c>
      <c r="M74" t="s">
        <v>47</v>
      </c>
      <c r="P74" t="b">
        <v>0</v>
      </c>
      <c r="Q74">
        <v>4.2</v>
      </c>
      <c r="R74" t="b">
        <v>1</v>
      </c>
      <c r="S74" t="s">
        <v>75</v>
      </c>
      <c r="T74">
        <v>31.8</v>
      </c>
      <c r="U74">
        <v>35.21</v>
      </c>
      <c r="V74" t="b">
        <v>1</v>
      </c>
      <c r="W74" t="s">
        <v>72</v>
      </c>
      <c r="AE74" t="str">
        <f t="shared" si="7"/>
        <v>Yes</v>
      </c>
      <c r="AF74" t="str">
        <f t="shared" si="8"/>
        <v>Unknown</v>
      </c>
      <c r="AG74" t="str">
        <f t="shared" si="9"/>
        <v>No</v>
      </c>
      <c r="AH74" t="str">
        <f t="shared" si="10"/>
        <v>Asked Colleague</v>
      </c>
      <c r="AJ74" t="str">
        <f t="shared" si="11"/>
        <v>Moderate Trust</v>
      </c>
      <c r="AL74">
        <f t="shared" si="12"/>
        <v>35.200000000000003</v>
      </c>
      <c r="AM74" t="str">
        <f t="shared" si="13"/>
        <v>Bachelors</v>
      </c>
    </row>
    <row r="75" spans="1:39" x14ac:dyDescent="0.25">
      <c r="A75" t="s">
        <v>68</v>
      </c>
      <c r="B75" t="s">
        <v>70</v>
      </c>
      <c r="C75">
        <v>76.86</v>
      </c>
      <c r="D75">
        <v>439</v>
      </c>
      <c r="E75" t="b">
        <v>1</v>
      </c>
      <c r="F75" t="b">
        <v>0</v>
      </c>
      <c r="G75" t="b">
        <v>0</v>
      </c>
      <c r="H75" t="s">
        <v>43</v>
      </c>
      <c r="I75" t="s">
        <v>35</v>
      </c>
      <c r="J75" t="s">
        <v>36</v>
      </c>
      <c r="K75" t="s">
        <v>28</v>
      </c>
      <c r="L75" t="s">
        <v>38</v>
      </c>
      <c r="M75" t="s">
        <v>46</v>
      </c>
      <c r="N75" t="s">
        <v>46</v>
      </c>
      <c r="O75" t="b">
        <v>1</v>
      </c>
      <c r="P75" t="b">
        <v>0</v>
      </c>
      <c r="Q75">
        <v>10</v>
      </c>
      <c r="R75" t="b">
        <v>1</v>
      </c>
      <c r="S75" t="s">
        <v>55</v>
      </c>
      <c r="T75">
        <v>32.799999999999997</v>
      </c>
      <c r="U75">
        <v>68.52</v>
      </c>
      <c r="V75" t="b">
        <v>0</v>
      </c>
      <c r="W75" t="s">
        <v>31</v>
      </c>
      <c r="AE75" t="str">
        <f t="shared" si="7"/>
        <v>No</v>
      </c>
      <c r="AF75" t="str">
        <f t="shared" si="8"/>
        <v>Medium</v>
      </c>
      <c r="AG75" t="str">
        <f t="shared" si="9"/>
        <v>Yes</v>
      </c>
      <c r="AH75" t="str">
        <f t="shared" si="10"/>
        <v>Academic Paper</v>
      </c>
      <c r="AJ75" t="str">
        <f t="shared" si="11"/>
        <v>High Trust</v>
      </c>
      <c r="AL75">
        <f t="shared" si="12"/>
        <v>68.5</v>
      </c>
      <c r="AM75" t="str">
        <f t="shared" si="13"/>
        <v>PhD</v>
      </c>
    </row>
    <row r="76" spans="1:39" x14ac:dyDescent="0.25">
      <c r="A76" t="s">
        <v>23</v>
      </c>
      <c r="B76" t="s">
        <v>24</v>
      </c>
      <c r="C76">
        <v>88.16</v>
      </c>
      <c r="D76">
        <v>689</v>
      </c>
      <c r="E76" t="b">
        <v>1</v>
      </c>
      <c r="F76" t="b">
        <v>1</v>
      </c>
      <c r="G76" t="b">
        <v>0</v>
      </c>
      <c r="H76" t="s">
        <v>53</v>
      </c>
      <c r="I76" t="s">
        <v>63</v>
      </c>
      <c r="J76" t="s">
        <v>45</v>
      </c>
      <c r="K76" t="s">
        <v>46</v>
      </c>
      <c r="L76" t="s">
        <v>37</v>
      </c>
      <c r="M76" t="s">
        <v>46</v>
      </c>
      <c r="N76" t="s">
        <v>28</v>
      </c>
      <c r="O76" t="b">
        <v>1</v>
      </c>
      <c r="P76" t="b">
        <v>0</v>
      </c>
      <c r="Q76">
        <v>10</v>
      </c>
      <c r="R76" t="b">
        <v>0</v>
      </c>
      <c r="T76">
        <v>0</v>
      </c>
      <c r="U76">
        <v>75.67</v>
      </c>
      <c r="V76" t="b">
        <v>0</v>
      </c>
      <c r="W76" t="s">
        <v>58</v>
      </c>
      <c r="AE76" t="str">
        <f t="shared" si="7"/>
        <v>Yes</v>
      </c>
      <c r="AF76" t="str">
        <f t="shared" si="8"/>
        <v>Low</v>
      </c>
      <c r="AG76" t="str">
        <f t="shared" si="9"/>
        <v>Yes</v>
      </c>
      <c r="AH76" t="str">
        <f t="shared" si="10"/>
        <v>Unknown</v>
      </c>
      <c r="AJ76" t="str">
        <f t="shared" si="11"/>
        <v>High Trust</v>
      </c>
      <c r="AL76">
        <f t="shared" si="12"/>
        <v>75.7</v>
      </c>
      <c r="AM76" t="str">
        <f t="shared" si="13"/>
        <v>High School</v>
      </c>
    </row>
    <row r="77" spans="1:39" x14ac:dyDescent="0.25">
      <c r="A77" t="s">
        <v>61</v>
      </c>
      <c r="B77" t="s">
        <v>76</v>
      </c>
      <c r="C77">
        <v>89.46</v>
      </c>
      <c r="D77">
        <v>751</v>
      </c>
      <c r="E77" t="b">
        <v>1</v>
      </c>
      <c r="F77" t="b">
        <v>1</v>
      </c>
      <c r="G77" t="b">
        <v>1</v>
      </c>
      <c r="H77" t="s">
        <v>43</v>
      </c>
      <c r="I77" t="s">
        <v>67</v>
      </c>
      <c r="J77" t="s">
        <v>45</v>
      </c>
      <c r="K77" t="s">
        <v>28</v>
      </c>
      <c r="L77" t="s">
        <v>37</v>
      </c>
      <c r="M77" t="s">
        <v>39</v>
      </c>
      <c r="N77" t="s">
        <v>46</v>
      </c>
      <c r="O77" t="b">
        <v>0</v>
      </c>
      <c r="P77" t="b">
        <v>0</v>
      </c>
      <c r="Q77">
        <v>8.4</v>
      </c>
      <c r="R77" t="b">
        <v>1</v>
      </c>
      <c r="S77" t="s">
        <v>30</v>
      </c>
      <c r="T77">
        <v>35.799999999999997</v>
      </c>
      <c r="U77">
        <v>79.42</v>
      </c>
      <c r="V77" t="b">
        <v>1</v>
      </c>
      <c r="W77" t="s">
        <v>31</v>
      </c>
      <c r="AE77" t="str">
        <f t="shared" si="7"/>
        <v>Yes</v>
      </c>
      <c r="AF77" t="str">
        <f t="shared" si="8"/>
        <v>Medium</v>
      </c>
      <c r="AG77" t="str">
        <f t="shared" si="9"/>
        <v>No</v>
      </c>
      <c r="AH77" t="str">
        <f t="shared" si="10"/>
        <v>Google Search</v>
      </c>
      <c r="AJ77" t="str">
        <f t="shared" si="11"/>
        <v>High Trust</v>
      </c>
      <c r="AL77">
        <f t="shared" si="12"/>
        <v>79.400000000000006</v>
      </c>
      <c r="AM77" t="str">
        <f t="shared" si="13"/>
        <v>High School</v>
      </c>
    </row>
    <row r="78" spans="1:39" x14ac:dyDescent="0.25">
      <c r="A78" t="s">
        <v>23</v>
      </c>
      <c r="B78" t="s">
        <v>66</v>
      </c>
      <c r="C78">
        <v>59.47</v>
      </c>
      <c r="D78">
        <v>771</v>
      </c>
      <c r="E78" t="b">
        <v>0</v>
      </c>
      <c r="F78" t="b">
        <v>1</v>
      </c>
      <c r="G78" t="b">
        <v>1</v>
      </c>
      <c r="H78" t="s">
        <v>25</v>
      </c>
      <c r="I78" t="s">
        <v>35</v>
      </c>
      <c r="J78" t="s">
        <v>27</v>
      </c>
      <c r="K78" t="s">
        <v>37</v>
      </c>
      <c r="L78" t="s">
        <v>37</v>
      </c>
      <c r="M78" t="s">
        <v>28</v>
      </c>
      <c r="N78" t="s">
        <v>39</v>
      </c>
      <c r="O78" t="b">
        <v>0</v>
      </c>
      <c r="P78" t="b">
        <v>0</v>
      </c>
      <c r="Q78">
        <v>5.2</v>
      </c>
      <c r="R78" t="b">
        <v>0</v>
      </c>
      <c r="T78">
        <v>0</v>
      </c>
      <c r="U78">
        <v>42.38</v>
      </c>
      <c r="V78" t="b">
        <v>1</v>
      </c>
      <c r="W78" t="s">
        <v>41</v>
      </c>
      <c r="AE78" t="str">
        <f t="shared" si="7"/>
        <v>Yes</v>
      </c>
      <c r="AF78" t="str">
        <f t="shared" si="8"/>
        <v>High</v>
      </c>
      <c r="AG78" t="str">
        <f t="shared" si="9"/>
        <v>No</v>
      </c>
      <c r="AH78" t="str">
        <f t="shared" si="10"/>
        <v>Unknown</v>
      </c>
      <c r="AJ78" t="str">
        <f t="shared" si="11"/>
        <v>Moderate Trust</v>
      </c>
      <c r="AL78">
        <f t="shared" si="12"/>
        <v>42.4</v>
      </c>
      <c r="AM78" t="str">
        <f t="shared" si="13"/>
        <v>Bachelors</v>
      </c>
    </row>
    <row r="79" spans="1:39" x14ac:dyDescent="0.25">
      <c r="A79" t="s">
        <v>61</v>
      </c>
      <c r="B79" t="s">
        <v>76</v>
      </c>
      <c r="C79">
        <v>88.65</v>
      </c>
      <c r="D79">
        <v>725</v>
      </c>
      <c r="E79" t="b">
        <v>0</v>
      </c>
      <c r="F79" t="b">
        <v>0</v>
      </c>
      <c r="G79" t="b">
        <v>0</v>
      </c>
      <c r="H79" t="s">
        <v>25</v>
      </c>
      <c r="I79" t="s">
        <v>67</v>
      </c>
      <c r="J79" t="s">
        <v>50</v>
      </c>
      <c r="K79" t="s">
        <v>28</v>
      </c>
      <c r="L79" t="s">
        <v>51</v>
      </c>
      <c r="M79" t="s">
        <v>28</v>
      </c>
      <c r="O79" t="b">
        <v>0</v>
      </c>
      <c r="P79" t="b">
        <v>1</v>
      </c>
      <c r="Q79">
        <v>8.9</v>
      </c>
      <c r="R79" t="b">
        <v>1</v>
      </c>
      <c r="S79" t="s">
        <v>75</v>
      </c>
      <c r="T79">
        <v>9.6</v>
      </c>
      <c r="U79">
        <v>79.42</v>
      </c>
      <c r="V79" t="b">
        <v>1</v>
      </c>
      <c r="W79" t="s">
        <v>31</v>
      </c>
      <c r="AE79" t="str">
        <f t="shared" si="7"/>
        <v>No</v>
      </c>
      <c r="AF79" t="str">
        <f t="shared" si="8"/>
        <v>Unknown</v>
      </c>
      <c r="AG79" t="str">
        <f t="shared" si="9"/>
        <v>No</v>
      </c>
      <c r="AH79" t="str">
        <f t="shared" si="10"/>
        <v>Asked Colleague</v>
      </c>
      <c r="AJ79" t="str">
        <f t="shared" si="11"/>
        <v>High Trust</v>
      </c>
      <c r="AL79">
        <f t="shared" si="12"/>
        <v>79.400000000000006</v>
      </c>
      <c r="AM79" t="str">
        <f t="shared" si="13"/>
        <v>Professional</v>
      </c>
    </row>
    <row r="80" spans="1:39" x14ac:dyDescent="0.25">
      <c r="A80" t="s">
        <v>61</v>
      </c>
      <c r="B80" t="s">
        <v>42</v>
      </c>
      <c r="C80">
        <v>80.62</v>
      </c>
      <c r="D80">
        <v>517</v>
      </c>
      <c r="E80" t="b">
        <v>0</v>
      </c>
      <c r="F80" t="b">
        <v>0</v>
      </c>
      <c r="G80" t="b">
        <v>0</v>
      </c>
      <c r="H80" t="s">
        <v>53</v>
      </c>
      <c r="I80" t="s">
        <v>26</v>
      </c>
      <c r="J80" t="s">
        <v>36</v>
      </c>
      <c r="K80" t="s">
        <v>28</v>
      </c>
      <c r="L80" t="s">
        <v>29</v>
      </c>
      <c r="M80" t="s">
        <v>39</v>
      </c>
      <c r="O80" t="b">
        <v>1</v>
      </c>
      <c r="P80" t="b">
        <v>1</v>
      </c>
      <c r="Q80">
        <v>9</v>
      </c>
      <c r="R80" t="b">
        <v>1</v>
      </c>
      <c r="S80" t="s">
        <v>75</v>
      </c>
      <c r="T80">
        <v>12.6</v>
      </c>
      <c r="U80">
        <v>68.010000000000005</v>
      </c>
      <c r="V80" t="b">
        <v>0</v>
      </c>
      <c r="W80" t="s">
        <v>31</v>
      </c>
      <c r="AE80" t="str">
        <f t="shared" si="7"/>
        <v>No</v>
      </c>
      <c r="AF80" t="str">
        <f t="shared" si="8"/>
        <v>Unknown</v>
      </c>
      <c r="AG80" t="str">
        <f t="shared" si="9"/>
        <v>Yes</v>
      </c>
      <c r="AH80" t="str">
        <f t="shared" si="10"/>
        <v>Asked Colleague</v>
      </c>
      <c r="AJ80" t="str">
        <f t="shared" si="11"/>
        <v>High Trust</v>
      </c>
      <c r="AL80">
        <f t="shared" si="12"/>
        <v>68</v>
      </c>
      <c r="AM80" t="str">
        <f t="shared" si="13"/>
        <v>PhD</v>
      </c>
    </row>
    <row r="81" spans="1:39" x14ac:dyDescent="0.25">
      <c r="A81" t="s">
        <v>74</v>
      </c>
      <c r="B81" t="s">
        <v>59</v>
      </c>
      <c r="C81">
        <v>80.77</v>
      </c>
      <c r="D81">
        <v>597</v>
      </c>
      <c r="E81" t="b">
        <v>1</v>
      </c>
      <c r="F81" t="b">
        <v>0</v>
      </c>
      <c r="G81" t="b">
        <v>1</v>
      </c>
      <c r="H81" t="s">
        <v>43</v>
      </c>
      <c r="I81" t="s">
        <v>63</v>
      </c>
      <c r="J81" t="s">
        <v>50</v>
      </c>
      <c r="K81" t="s">
        <v>37</v>
      </c>
      <c r="L81" t="s">
        <v>29</v>
      </c>
      <c r="M81" t="s">
        <v>39</v>
      </c>
      <c r="N81" t="s">
        <v>28</v>
      </c>
      <c r="P81" t="b">
        <v>0</v>
      </c>
      <c r="Q81">
        <v>8.1999999999999993</v>
      </c>
      <c r="R81" t="b">
        <v>1</v>
      </c>
      <c r="S81" t="s">
        <v>40</v>
      </c>
      <c r="T81">
        <v>16.2</v>
      </c>
      <c r="U81">
        <v>73.31</v>
      </c>
      <c r="V81" t="b">
        <v>1</v>
      </c>
      <c r="W81" t="s">
        <v>31</v>
      </c>
      <c r="AE81" t="str">
        <f t="shared" si="7"/>
        <v>No</v>
      </c>
      <c r="AF81" t="str">
        <f t="shared" si="8"/>
        <v>Low</v>
      </c>
      <c r="AG81" t="str">
        <f t="shared" si="9"/>
        <v>No</v>
      </c>
      <c r="AH81" t="str">
        <f t="shared" si="10"/>
        <v>Asked Expert</v>
      </c>
      <c r="AJ81" t="str">
        <f t="shared" si="11"/>
        <v>High Trust</v>
      </c>
      <c r="AL81">
        <f t="shared" si="12"/>
        <v>73.3</v>
      </c>
      <c r="AM81" t="str">
        <f t="shared" si="13"/>
        <v>Professional</v>
      </c>
    </row>
    <row r="82" spans="1:39" x14ac:dyDescent="0.25">
      <c r="A82" t="s">
        <v>56</v>
      </c>
      <c r="B82" t="s">
        <v>76</v>
      </c>
      <c r="C82">
        <v>89.4</v>
      </c>
      <c r="D82">
        <v>388</v>
      </c>
      <c r="E82" t="b">
        <v>1</v>
      </c>
      <c r="F82" t="b">
        <v>1</v>
      </c>
      <c r="G82" t="b">
        <v>0</v>
      </c>
      <c r="H82" t="s">
        <v>53</v>
      </c>
      <c r="I82" t="s">
        <v>63</v>
      </c>
      <c r="J82" t="s">
        <v>50</v>
      </c>
      <c r="K82" t="s">
        <v>46</v>
      </c>
      <c r="L82" t="s">
        <v>51</v>
      </c>
      <c r="M82" t="s">
        <v>28</v>
      </c>
      <c r="N82" t="s">
        <v>28</v>
      </c>
      <c r="O82" t="b">
        <v>0</v>
      </c>
      <c r="P82" t="b">
        <v>1</v>
      </c>
      <c r="Q82">
        <v>8.9</v>
      </c>
      <c r="R82" t="b">
        <v>1</v>
      </c>
      <c r="S82" t="s">
        <v>48</v>
      </c>
      <c r="T82">
        <v>16.3</v>
      </c>
      <c r="U82">
        <v>100</v>
      </c>
      <c r="V82" t="b">
        <v>1</v>
      </c>
      <c r="W82" t="s">
        <v>31</v>
      </c>
      <c r="AE82" t="str">
        <f t="shared" si="7"/>
        <v>Yes</v>
      </c>
      <c r="AF82" t="str">
        <f t="shared" si="8"/>
        <v>Low</v>
      </c>
      <c r="AG82" t="str">
        <f t="shared" si="9"/>
        <v>No</v>
      </c>
      <c r="AH82" t="str">
        <f t="shared" si="10"/>
        <v>Consulted Documentation</v>
      </c>
      <c r="AJ82" t="str">
        <f t="shared" si="11"/>
        <v>High Trust</v>
      </c>
      <c r="AL82">
        <f t="shared" si="12"/>
        <v>100</v>
      </c>
      <c r="AM82" t="str">
        <f t="shared" si="13"/>
        <v>Professional</v>
      </c>
    </row>
    <row r="83" spans="1:39" x14ac:dyDescent="0.25">
      <c r="A83" t="s">
        <v>56</v>
      </c>
      <c r="B83" t="s">
        <v>49</v>
      </c>
      <c r="C83">
        <v>77.13</v>
      </c>
      <c r="D83">
        <v>639</v>
      </c>
      <c r="E83" t="b">
        <v>0</v>
      </c>
      <c r="F83" t="b">
        <v>1</v>
      </c>
      <c r="G83" t="b">
        <v>0</v>
      </c>
      <c r="H83" t="s">
        <v>53</v>
      </c>
      <c r="I83" t="s">
        <v>35</v>
      </c>
      <c r="J83" t="s">
        <v>54</v>
      </c>
      <c r="K83" t="s">
        <v>37</v>
      </c>
      <c r="L83" t="s">
        <v>37</v>
      </c>
      <c r="M83" t="s">
        <v>39</v>
      </c>
      <c r="N83" t="s">
        <v>46</v>
      </c>
      <c r="P83" t="b">
        <v>0</v>
      </c>
      <c r="Q83">
        <v>6.9</v>
      </c>
      <c r="R83" t="b">
        <v>1</v>
      </c>
      <c r="S83" t="s">
        <v>55</v>
      </c>
      <c r="T83">
        <v>34.299999999999997</v>
      </c>
      <c r="U83">
        <v>66.69</v>
      </c>
      <c r="V83" t="b">
        <v>1</v>
      </c>
      <c r="W83" t="s">
        <v>41</v>
      </c>
      <c r="AE83" t="str">
        <f t="shared" si="7"/>
        <v>Yes</v>
      </c>
      <c r="AF83" t="str">
        <f t="shared" si="8"/>
        <v>Medium</v>
      </c>
      <c r="AG83" t="str">
        <f t="shared" si="9"/>
        <v>No</v>
      </c>
      <c r="AH83" t="str">
        <f t="shared" si="10"/>
        <v>Academic Paper</v>
      </c>
      <c r="AJ83" t="str">
        <f t="shared" si="11"/>
        <v>Moderate Trust</v>
      </c>
      <c r="AL83">
        <f t="shared" si="12"/>
        <v>66.7</v>
      </c>
      <c r="AM83" t="str">
        <f t="shared" si="13"/>
        <v>Masters</v>
      </c>
    </row>
    <row r="84" spans="1:39" x14ac:dyDescent="0.25">
      <c r="A84" t="s">
        <v>68</v>
      </c>
      <c r="B84" t="s">
        <v>33</v>
      </c>
      <c r="C84">
        <v>83.64</v>
      </c>
      <c r="D84">
        <v>756</v>
      </c>
      <c r="E84" t="b">
        <v>0</v>
      </c>
      <c r="F84" t="b">
        <v>0</v>
      </c>
      <c r="G84" t="b">
        <v>0</v>
      </c>
      <c r="H84" t="s">
        <v>53</v>
      </c>
      <c r="I84" t="s">
        <v>26</v>
      </c>
      <c r="J84" t="s">
        <v>54</v>
      </c>
      <c r="K84" t="s">
        <v>39</v>
      </c>
      <c r="L84" t="s">
        <v>69</v>
      </c>
      <c r="M84" t="s">
        <v>39</v>
      </c>
      <c r="N84" t="s">
        <v>46</v>
      </c>
      <c r="O84" t="b">
        <v>1</v>
      </c>
      <c r="P84" t="b">
        <v>0</v>
      </c>
      <c r="Q84">
        <v>10</v>
      </c>
      <c r="R84" t="b">
        <v>1</v>
      </c>
      <c r="S84" t="s">
        <v>55</v>
      </c>
      <c r="T84">
        <v>25.8</v>
      </c>
      <c r="U84">
        <v>80.540000000000006</v>
      </c>
      <c r="V84" t="b">
        <v>1</v>
      </c>
      <c r="W84" t="s">
        <v>31</v>
      </c>
      <c r="AE84" t="str">
        <f t="shared" si="7"/>
        <v>No</v>
      </c>
      <c r="AF84" t="str">
        <f t="shared" si="8"/>
        <v>Medium</v>
      </c>
      <c r="AG84" t="str">
        <f t="shared" si="9"/>
        <v>Yes</v>
      </c>
      <c r="AH84" t="str">
        <f t="shared" si="10"/>
        <v>Academic Paper</v>
      </c>
      <c r="AJ84" t="str">
        <f t="shared" si="11"/>
        <v>High Trust</v>
      </c>
      <c r="AL84">
        <f t="shared" si="12"/>
        <v>80.5</v>
      </c>
      <c r="AM84" t="str">
        <f t="shared" si="13"/>
        <v>Masters</v>
      </c>
    </row>
    <row r="85" spans="1:39" x14ac:dyDescent="0.25">
      <c r="A85" t="s">
        <v>23</v>
      </c>
      <c r="B85" t="s">
        <v>33</v>
      </c>
      <c r="C85">
        <v>88.54</v>
      </c>
      <c r="D85">
        <v>196</v>
      </c>
      <c r="E85" t="b">
        <v>1</v>
      </c>
      <c r="F85" t="b">
        <v>0</v>
      </c>
      <c r="G85" t="b">
        <v>0</v>
      </c>
      <c r="H85" t="s">
        <v>34</v>
      </c>
      <c r="I85" t="s">
        <v>63</v>
      </c>
      <c r="J85" t="s">
        <v>45</v>
      </c>
      <c r="K85" t="s">
        <v>37</v>
      </c>
      <c r="L85" t="s">
        <v>38</v>
      </c>
      <c r="M85" t="s">
        <v>46</v>
      </c>
      <c r="N85" t="s">
        <v>39</v>
      </c>
      <c r="O85" t="b">
        <v>1</v>
      </c>
      <c r="P85" t="b">
        <v>1</v>
      </c>
      <c r="Q85">
        <v>10</v>
      </c>
      <c r="R85" t="b">
        <v>0</v>
      </c>
      <c r="T85">
        <v>0</v>
      </c>
      <c r="U85">
        <v>96.36</v>
      </c>
      <c r="V85" t="b">
        <v>1</v>
      </c>
      <c r="W85" t="s">
        <v>58</v>
      </c>
      <c r="AE85" t="str">
        <f t="shared" si="7"/>
        <v>No</v>
      </c>
      <c r="AF85" t="str">
        <f t="shared" si="8"/>
        <v>High</v>
      </c>
      <c r="AG85" t="str">
        <f t="shared" si="9"/>
        <v>Yes</v>
      </c>
      <c r="AH85" t="str">
        <f t="shared" si="10"/>
        <v>Unknown</v>
      </c>
      <c r="AJ85" t="str">
        <f t="shared" si="11"/>
        <v>High Trust</v>
      </c>
      <c r="AL85">
        <f t="shared" si="12"/>
        <v>96.4</v>
      </c>
      <c r="AM85" t="str">
        <f t="shared" si="13"/>
        <v>High School</v>
      </c>
    </row>
    <row r="86" spans="1:39" x14ac:dyDescent="0.25">
      <c r="A86" t="s">
        <v>23</v>
      </c>
      <c r="B86" t="s">
        <v>71</v>
      </c>
      <c r="C86">
        <v>54.8</v>
      </c>
      <c r="D86">
        <v>770</v>
      </c>
      <c r="E86" t="b">
        <v>1</v>
      </c>
      <c r="F86" t="b">
        <v>1</v>
      </c>
      <c r="G86" t="b">
        <v>1</v>
      </c>
      <c r="H86" t="s">
        <v>53</v>
      </c>
      <c r="I86" t="s">
        <v>26</v>
      </c>
      <c r="J86" t="s">
        <v>36</v>
      </c>
      <c r="K86" t="s">
        <v>28</v>
      </c>
      <c r="L86" t="s">
        <v>51</v>
      </c>
      <c r="M86" t="s">
        <v>28</v>
      </c>
      <c r="N86" t="s">
        <v>46</v>
      </c>
      <c r="O86" t="b">
        <v>1</v>
      </c>
      <c r="P86" t="b">
        <v>0</v>
      </c>
      <c r="Q86">
        <v>8.9</v>
      </c>
      <c r="R86" t="b">
        <v>1</v>
      </c>
      <c r="S86" t="s">
        <v>48</v>
      </c>
      <c r="T86">
        <v>23.3</v>
      </c>
      <c r="U86">
        <v>59.7</v>
      </c>
      <c r="V86" t="b">
        <v>0</v>
      </c>
      <c r="W86" t="s">
        <v>31</v>
      </c>
      <c r="AE86" t="str">
        <f t="shared" si="7"/>
        <v>Yes</v>
      </c>
      <c r="AF86" t="str">
        <f t="shared" si="8"/>
        <v>Medium</v>
      </c>
      <c r="AG86" t="str">
        <f t="shared" si="9"/>
        <v>Yes</v>
      </c>
      <c r="AH86" t="str">
        <f t="shared" si="10"/>
        <v>Consulted Documentation</v>
      </c>
      <c r="AJ86" t="str">
        <f t="shared" si="11"/>
        <v>High Trust</v>
      </c>
      <c r="AL86">
        <f t="shared" si="12"/>
        <v>59.7</v>
      </c>
      <c r="AM86" t="str">
        <f t="shared" si="13"/>
        <v>PhD</v>
      </c>
    </row>
    <row r="87" spans="1:39" x14ac:dyDescent="0.25">
      <c r="A87" t="s">
        <v>68</v>
      </c>
      <c r="B87" t="s">
        <v>73</v>
      </c>
      <c r="C87">
        <v>48.06</v>
      </c>
      <c r="D87">
        <v>566</v>
      </c>
      <c r="E87" t="b">
        <v>1</v>
      </c>
      <c r="F87" t="b">
        <v>0</v>
      </c>
      <c r="G87" t="b">
        <v>1</v>
      </c>
      <c r="H87" t="s">
        <v>53</v>
      </c>
      <c r="I87" t="s">
        <v>44</v>
      </c>
      <c r="J87" t="s">
        <v>54</v>
      </c>
      <c r="K87" t="s">
        <v>37</v>
      </c>
      <c r="L87" t="s">
        <v>51</v>
      </c>
      <c r="M87" t="s">
        <v>39</v>
      </c>
      <c r="N87" t="s">
        <v>46</v>
      </c>
      <c r="O87" t="b">
        <v>0</v>
      </c>
      <c r="P87" t="b">
        <v>0</v>
      </c>
      <c r="Q87">
        <v>3.9</v>
      </c>
      <c r="R87" t="b">
        <v>1</v>
      </c>
      <c r="S87" t="s">
        <v>64</v>
      </c>
      <c r="T87">
        <v>14.8</v>
      </c>
      <c r="U87">
        <v>61.44</v>
      </c>
      <c r="V87" t="b">
        <v>0</v>
      </c>
      <c r="W87" t="s">
        <v>72</v>
      </c>
      <c r="AE87" t="str">
        <f t="shared" si="7"/>
        <v>No</v>
      </c>
      <c r="AF87" t="str">
        <f t="shared" si="8"/>
        <v>Medium</v>
      </c>
      <c r="AG87" t="str">
        <f t="shared" si="9"/>
        <v>No</v>
      </c>
      <c r="AH87" t="str">
        <f t="shared" si="10"/>
        <v>Personal Testing</v>
      </c>
      <c r="AJ87" t="str">
        <f t="shared" si="11"/>
        <v>Moderate Trust</v>
      </c>
      <c r="AL87">
        <f t="shared" si="12"/>
        <v>61.4</v>
      </c>
      <c r="AM87" t="str">
        <f t="shared" si="13"/>
        <v>Masters</v>
      </c>
    </row>
    <row r="88" spans="1:39" x14ac:dyDescent="0.25">
      <c r="A88" t="s">
        <v>32</v>
      </c>
      <c r="B88" t="s">
        <v>76</v>
      </c>
      <c r="C88">
        <v>87.56</v>
      </c>
      <c r="D88">
        <v>115</v>
      </c>
      <c r="E88" t="b">
        <v>0</v>
      </c>
      <c r="F88" t="b">
        <v>1</v>
      </c>
      <c r="G88" t="b">
        <v>1</v>
      </c>
      <c r="H88" t="s">
        <v>53</v>
      </c>
      <c r="I88" t="s">
        <v>35</v>
      </c>
      <c r="J88" t="s">
        <v>50</v>
      </c>
      <c r="K88" t="s">
        <v>46</v>
      </c>
      <c r="L88" t="s">
        <v>29</v>
      </c>
      <c r="M88" t="s">
        <v>46</v>
      </c>
      <c r="N88" t="s">
        <v>28</v>
      </c>
      <c r="O88" t="b">
        <v>0</v>
      </c>
      <c r="P88" t="b">
        <v>0</v>
      </c>
      <c r="Q88">
        <v>7.6</v>
      </c>
      <c r="R88" t="b">
        <v>1</v>
      </c>
      <c r="S88" t="s">
        <v>64</v>
      </c>
      <c r="T88">
        <v>32.5</v>
      </c>
      <c r="U88">
        <v>97.2</v>
      </c>
      <c r="V88" t="b">
        <v>0</v>
      </c>
      <c r="W88" t="s">
        <v>41</v>
      </c>
      <c r="AE88" t="str">
        <f t="shared" si="7"/>
        <v>Yes</v>
      </c>
      <c r="AF88" t="str">
        <f t="shared" si="8"/>
        <v>Low</v>
      </c>
      <c r="AG88" t="str">
        <f t="shared" si="9"/>
        <v>No</v>
      </c>
      <c r="AH88" t="str">
        <f t="shared" si="10"/>
        <v>Personal Testing</v>
      </c>
      <c r="AJ88" t="str">
        <f t="shared" si="11"/>
        <v>Low Trust</v>
      </c>
      <c r="AL88">
        <f t="shared" si="12"/>
        <v>97.2</v>
      </c>
      <c r="AM88" t="str">
        <f t="shared" si="13"/>
        <v>Professional</v>
      </c>
    </row>
    <row r="89" spans="1:39" x14ac:dyDescent="0.25">
      <c r="A89" t="s">
        <v>32</v>
      </c>
      <c r="B89" t="s">
        <v>66</v>
      </c>
      <c r="C89">
        <v>59.58</v>
      </c>
      <c r="D89">
        <v>295</v>
      </c>
      <c r="E89" t="b">
        <v>0</v>
      </c>
      <c r="F89" t="b">
        <v>1</v>
      </c>
      <c r="G89" t="b">
        <v>1</v>
      </c>
      <c r="H89" t="s">
        <v>53</v>
      </c>
      <c r="I89" t="s">
        <v>67</v>
      </c>
      <c r="J89" t="s">
        <v>45</v>
      </c>
      <c r="K89" t="s">
        <v>39</v>
      </c>
      <c r="L89" t="s">
        <v>51</v>
      </c>
      <c r="M89" t="s">
        <v>28</v>
      </c>
      <c r="O89" t="b">
        <v>0</v>
      </c>
      <c r="P89" t="b">
        <v>0</v>
      </c>
      <c r="Q89">
        <v>4.9000000000000004</v>
      </c>
      <c r="R89" t="b">
        <v>1</v>
      </c>
      <c r="S89" t="s">
        <v>55</v>
      </c>
      <c r="T89">
        <v>19</v>
      </c>
      <c r="U89">
        <v>43.43</v>
      </c>
      <c r="V89" t="b">
        <v>1</v>
      </c>
      <c r="W89" t="s">
        <v>72</v>
      </c>
      <c r="AE89" t="str">
        <f t="shared" si="7"/>
        <v>Yes</v>
      </c>
      <c r="AF89" t="str">
        <f t="shared" si="8"/>
        <v>Unknown</v>
      </c>
      <c r="AG89" t="str">
        <f t="shared" si="9"/>
        <v>No</v>
      </c>
      <c r="AH89" t="str">
        <f t="shared" si="10"/>
        <v>Academic Paper</v>
      </c>
      <c r="AJ89" t="str">
        <f t="shared" si="11"/>
        <v>Moderate Trust</v>
      </c>
      <c r="AL89">
        <f t="shared" si="12"/>
        <v>43.4</v>
      </c>
      <c r="AM89" t="str">
        <f t="shared" si="13"/>
        <v>High School</v>
      </c>
    </row>
    <row r="90" spans="1:39" x14ac:dyDescent="0.25">
      <c r="A90" t="s">
        <v>23</v>
      </c>
      <c r="B90" t="s">
        <v>76</v>
      </c>
      <c r="C90">
        <v>89.02</v>
      </c>
      <c r="D90">
        <v>339</v>
      </c>
      <c r="E90" t="b">
        <v>0</v>
      </c>
      <c r="F90" t="b">
        <v>0</v>
      </c>
      <c r="G90" t="b">
        <v>0</v>
      </c>
      <c r="H90" t="s">
        <v>43</v>
      </c>
      <c r="I90" t="s">
        <v>44</v>
      </c>
      <c r="J90" t="s">
        <v>36</v>
      </c>
      <c r="K90" t="s">
        <v>37</v>
      </c>
      <c r="L90" t="s">
        <v>38</v>
      </c>
      <c r="M90" t="s">
        <v>39</v>
      </c>
      <c r="N90" t="s">
        <v>46</v>
      </c>
      <c r="O90" t="b">
        <v>0</v>
      </c>
      <c r="P90" t="b">
        <v>0</v>
      </c>
      <c r="Q90">
        <v>8.6999999999999993</v>
      </c>
      <c r="R90" t="b">
        <v>0</v>
      </c>
      <c r="T90">
        <v>0</v>
      </c>
      <c r="U90">
        <v>80.900000000000006</v>
      </c>
      <c r="V90" t="b">
        <v>1</v>
      </c>
      <c r="W90" t="s">
        <v>58</v>
      </c>
      <c r="AE90" t="str">
        <f t="shared" si="7"/>
        <v>No</v>
      </c>
      <c r="AF90" t="str">
        <f t="shared" si="8"/>
        <v>Medium</v>
      </c>
      <c r="AG90" t="str">
        <f t="shared" si="9"/>
        <v>No</v>
      </c>
      <c r="AH90" t="str">
        <f t="shared" si="10"/>
        <v>Unknown</v>
      </c>
      <c r="AJ90" t="str">
        <f t="shared" si="11"/>
        <v>High Trust</v>
      </c>
      <c r="AL90">
        <f t="shared" si="12"/>
        <v>80.900000000000006</v>
      </c>
      <c r="AM90" t="str">
        <f t="shared" si="13"/>
        <v>PhD</v>
      </c>
    </row>
    <row r="91" spans="1:39" x14ac:dyDescent="0.25">
      <c r="A91" t="s">
        <v>74</v>
      </c>
      <c r="B91" t="s">
        <v>62</v>
      </c>
      <c r="C91">
        <v>67.63</v>
      </c>
      <c r="D91">
        <v>357</v>
      </c>
      <c r="E91" t="b">
        <v>0</v>
      </c>
      <c r="F91" t="b">
        <v>1</v>
      </c>
      <c r="G91" t="b">
        <v>1</v>
      </c>
      <c r="H91" t="s">
        <v>25</v>
      </c>
      <c r="I91" t="s">
        <v>35</v>
      </c>
      <c r="J91" t="s">
        <v>36</v>
      </c>
      <c r="K91" t="s">
        <v>46</v>
      </c>
      <c r="L91" t="s">
        <v>51</v>
      </c>
      <c r="M91" t="s">
        <v>47</v>
      </c>
      <c r="O91" t="b">
        <v>0</v>
      </c>
      <c r="P91" t="b">
        <v>1</v>
      </c>
      <c r="Q91">
        <v>4.0999999999999996</v>
      </c>
      <c r="R91" t="b">
        <v>1</v>
      </c>
      <c r="S91" t="s">
        <v>75</v>
      </c>
      <c r="T91">
        <v>42.8</v>
      </c>
      <c r="U91">
        <v>81.96</v>
      </c>
      <c r="V91" t="b">
        <v>0</v>
      </c>
      <c r="W91" t="s">
        <v>72</v>
      </c>
      <c r="AE91" t="str">
        <f t="shared" si="7"/>
        <v>Yes</v>
      </c>
      <c r="AF91" t="str">
        <f t="shared" si="8"/>
        <v>Unknown</v>
      </c>
      <c r="AG91" t="str">
        <f t="shared" si="9"/>
        <v>No</v>
      </c>
      <c r="AH91" t="str">
        <f t="shared" si="10"/>
        <v>Asked Colleague</v>
      </c>
      <c r="AJ91" t="str">
        <f t="shared" si="11"/>
        <v>Moderate Trust</v>
      </c>
      <c r="AL91">
        <f t="shared" si="12"/>
        <v>82</v>
      </c>
      <c r="AM91" t="str">
        <f t="shared" si="13"/>
        <v>PhD</v>
      </c>
    </row>
    <row r="92" spans="1:39" x14ac:dyDescent="0.25">
      <c r="A92" t="s">
        <v>61</v>
      </c>
      <c r="B92" t="s">
        <v>71</v>
      </c>
      <c r="C92">
        <v>42.75</v>
      </c>
      <c r="D92">
        <v>792</v>
      </c>
      <c r="E92" t="b">
        <v>1</v>
      </c>
      <c r="F92" t="b">
        <v>1</v>
      </c>
      <c r="G92" t="b">
        <v>1</v>
      </c>
      <c r="H92" t="s">
        <v>43</v>
      </c>
      <c r="I92" t="s">
        <v>67</v>
      </c>
      <c r="J92" t="s">
        <v>36</v>
      </c>
      <c r="K92" t="s">
        <v>37</v>
      </c>
      <c r="L92" t="s">
        <v>29</v>
      </c>
      <c r="M92" t="s">
        <v>39</v>
      </c>
      <c r="N92" t="s">
        <v>28</v>
      </c>
      <c r="O92" t="b">
        <v>1</v>
      </c>
      <c r="P92" t="b">
        <v>0</v>
      </c>
      <c r="Q92">
        <v>5.6</v>
      </c>
      <c r="R92" t="b">
        <v>1</v>
      </c>
      <c r="S92" t="s">
        <v>65</v>
      </c>
      <c r="T92">
        <v>14.7</v>
      </c>
      <c r="U92">
        <v>24.32</v>
      </c>
      <c r="V92" t="b">
        <v>0</v>
      </c>
      <c r="W92" t="s">
        <v>41</v>
      </c>
      <c r="AE92" t="str">
        <f t="shared" si="7"/>
        <v>Yes</v>
      </c>
      <c r="AF92" t="str">
        <f t="shared" si="8"/>
        <v>Low</v>
      </c>
      <c r="AG92" t="str">
        <f t="shared" si="9"/>
        <v>Yes</v>
      </c>
      <c r="AH92" t="str">
        <f t="shared" si="10"/>
        <v>Cross-referenced Multiple AIs</v>
      </c>
      <c r="AJ92" t="str">
        <f t="shared" si="11"/>
        <v>Moderate Trust</v>
      </c>
      <c r="AL92">
        <f t="shared" si="12"/>
        <v>24.3</v>
      </c>
      <c r="AM92" t="str">
        <f t="shared" si="13"/>
        <v>PhD</v>
      </c>
    </row>
    <row r="93" spans="1:39" x14ac:dyDescent="0.25">
      <c r="A93" t="s">
        <v>32</v>
      </c>
      <c r="B93" t="s">
        <v>33</v>
      </c>
      <c r="C93">
        <v>89.01</v>
      </c>
      <c r="D93">
        <v>193</v>
      </c>
      <c r="E93" t="b">
        <v>0</v>
      </c>
      <c r="F93" t="b">
        <v>0</v>
      </c>
      <c r="G93" t="b">
        <v>1</v>
      </c>
      <c r="H93" t="s">
        <v>34</v>
      </c>
      <c r="I93" t="s">
        <v>57</v>
      </c>
      <c r="J93" t="s">
        <v>45</v>
      </c>
      <c r="K93" t="s">
        <v>39</v>
      </c>
      <c r="L93" t="s">
        <v>37</v>
      </c>
      <c r="M93" t="s">
        <v>46</v>
      </c>
      <c r="N93" t="s">
        <v>28</v>
      </c>
      <c r="O93" t="b">
        <v>1</v>
      </c>
      <c r="P93" t="b">
        <v>1</v>
      </c>
      <c r="Q93">
        <v>10</v>
      </c>
      <c r="R93" t="b">
        <v>1</v>
      </c>
      <c r="S93" t="s">
        <v>75</v>
      </c>
      <c r="T93">
        <v>11.6</v>
      </c>
      <c r="U93">
        <v>74.75</v>
      </c>
      <c r="V93" t="b">
        <v>0</v>
      </c>
      <c r="W93" t="s">
        <v>31</v>
      </c>
      <c r="AE93" t="str">
        <f t="shared" si="7"/>
        <v>No</v>
      </c>
      <c r="AF93" t="str">
        <f t="shared" si="8"/>
        <v>Low</v>
      </c>
      <c r="AG93" t="str">
        <f t="shared" si="9"/>
        <v>Yes</v>
      </c>
      <c r="AH93" t="str">
        <f t="shared" si="10"/>
        <v>Asked Colleague</v>
      </c>
      <c r="AJ93" t="str">
        <f t="shared" si="11"/>
        <v>High Trust</v>
      </c>
      <c r="AL93">
        <f t="shared" si="12"/>
        <v>74.8</v>
      </c>
      <c r="AM93" t="str">
        <f t="shared" si="13"/>
        <v>High School</v>
      </c>
    </row>
    <row r="94" spans="1:39" x14ac:dyDescent="0.25">
      <c r="A94" t="s">
        <v>74</v>
      </c>
      <c r="B94" t="s">
        <v>60</v>
      </c>
      <c r="C94">
        <v>61.16</v>
      </c>
      <c r="D94">
        <v>108</v>
      </c>
      <c r="E94" t="b">
        <v>0</v>
      </c>
      <c r="F94" t="b">
        <v>1</v>
      </c>
      <c r="G94" t="b">
        <v>1</v>
      </c>
      <c r="H94" t="s">
        <v>25</v>
      </c>
      <c r="I94" t="s">
        <v>67</v>
      </c>
      <c r="J94" t="s">
        <v>45</v>
      </c>
      <c r="K94" t="s">
        <v>46</v>
      </c>
      <c r="L94" t="s">
        <v>51</v>
      </c>
      <c r="M94" t="s">
        <v>46</v>
      </c>
      <c r="O94" t="b">
        <v>0</v>
      </c>
      <c r="P94" t="b">
        <v>0</v>
      </c>
      <c r="Q94">
        <v>5.5</v>
      </c>
      <c r="R94" t="b">
        <v>0</v>
      </c>
      <c r="T94">
        <v>0</v>
      </c>
      <c r="U94">
        <v>68.37</v>
      </c>
      <c r="V94" t="b">
        <v>1</v>
      </c>
      <c r="W94" t="s">
        <v>41</v>
      </c>
      <c r="AE94" t="str">
        <f t="shared" si="7"/>
        <v>Yes</v>
      </c>
      <c r="AF94" t="str">
        <f t="shared" si="8"/>
        <v>Unknown</v>
      </c>
      <c r="AG94" t="str">
        <f t="shared" si="9"/>
        <v>No</v>
      </c>
      <c r="AH94" t="str">
        <f t="shared" si="10"/>
        <v>Unknown</v>
      </c>
      <c r="AJ94" t="str">
        <f t="shared" si="11"/>
        <v>Moderate Trust</v>
      </c>
      <c r="AL94">
        <f t="shared" si="12"/>
        <v>68.400000000000006</v>
      </c>
      <c r="AM94" t="str">
        <f t="shared" si="13"/>
        <v>High School</v>
      </c>
    </row>
    <row r="95" spans="1:39" x14ac:dyDescent="0.25">
      <c r="A95" t="s">
        <v>61</v>
      </c>
      <c r="B95" t="s">
        <v>24</v>
      </c>
      <c r="C95">
        <v>98</v>
      </c>
      <c r="D95">
        <v>275</v>
      </c>
      <c r="E95" t="b">
        <v>0</v>
      </c>
      <c r="F95" t="b">
        <v>0</v>
      </c>
      <c r="G95" t="b">
        <v>1</v>
      </c>
      <c r="H95" t="s">
        <v>43</v>
      </c>
      <c r="I95" t="s">
        <v>57</v>
      </c>
      <c r="J95" t="s">
        <v>36</v>
      </c>
      <c r="K95" t="s">
        <v>28</v>
      </c>
      <c r="L95" t="s">
        <v>38</v>
      </c>
      <c r="M95" t="s">
        <v>28</v>
      </c>
      <c r="N95" t="s">
        <v>39</v>
      </c>
      <c r="O95" t="b">
        <v>1</v>
      </c>
      <c r="P95" t="b">
        <v>0</v>
      </c>
      <c r="Q95">
        <v>10</v>
      </c>
      <c r="R95" t="b">
        <v>0</v>
      </c>
      <c r="T95">
        <v>0</v>
      </c>
      <c r="U95">
        <v>96.56</v>
      </c>
      <c r="V95" t="b">
        <v>1</v>
      </c>
      <c r="W95" t="s">
        <v>58</v>
      </c>
      <c r="AE95" t="str">
        <f t="shared" si="7"/>
        <v>No</v>
      </c>
      <c r="AF95" t="str">
        <f t="shared" si="8"/>
        <v>High</v>
      </c>
      <c r="AG95" t="str">
        <f t="shared" si="9"/>
        <v>Yes</v>
      </c>
      <c r="AH95" t="str">
        <f t="shared" si="10"/>
        <v>Unknown</v>
      </c>
      <c r="AJ95" t="str">
        <f t="shared" si="11"/>
        <v>High Trust</v>
      </c>
      <c r="AL95">
        <f t="shared" si="12"/>
        <v>96.6</v>
      </c>
      <c r="AM95" t="str">
        <f t="shared" si="13"/>
        <v>PhD</v>
      </c>
    </row>
    <row r="96" spans="1:39" x14ac:dyDescent="0.25">
      <c r="A96" t="s">
        <v>56</v>
      </c>
      <c r="B96" t="s">
        <v>60</v>
      </c>
      <c r="C96">
        <v>46.99</v>
      </c>
      <c r="D96">
        <v>108</v>
      </c>
      <c r="E96" t="b">
        <v>1</v>
      </c>
      <c r="F96" t="b">
        <v>0</v>
      </c>
      <c r="G96" t="b">
        <v>0</v>
      </c>
      <c r="H96" t="s">
        <v>53</v>
      </c>
      <c r="I96" t="s">
        <v>35</v>
      </c>
      <c r="J96" t="s">
        <v>50</v>
      </c>
      <c r="K96" t="s">
        <v>46</v>
      </c>
      <c r="L96" t="s">
        <v>38</v>
      </c>
      <c r="M96" t="s">
        <v>46</v>
      </c>
      <c r="N96" t="s">
        <v>46</v>
      </c>
      <c r="P96" t="b">
        <v>0</v>
      </c>
      <c r="Q96">
        <v>7.5</v>
      </c>
      <c r="R96" t="b">
        <v>1</v>
      </c>
      <c r="S96" t="s">
        <v>52</v>
      </c>
      <c r="T96">
        <v>36.9</v>
      </c>
      <c r="U96">
        <v>33.92</v>
      </c>
      <c r="V96" t="b">
        <v>0</v>
      </c>
      <c r="W96" t="s">
        <v>41</v>
      </c>
      <c r="AE96" t="str">
        <f t="shared" si="7"/>
        <v>No</v>
      </c>
      <c r="AF96" t="str">
        <f t="shared" si="8"/>
        <v>Medium</v>
      </c>
      <c r="AG96" t="str">
        <f t="shared" si="9"/>
        <v>No</v>
      </c>
      <c r="AH96" t="str">
        <f t="shared" si="10"/>
        <v>Checked Official Source</v>
      </c>
      <c r="AJ96" t="str">
        <f t="shared" si="11"/>
        <v>Moderate Trust</v>
      </c>
      <c r="AL96">
        <f t="shared" si="12"/>
        <v>33.9</v>
      </c>
      <c r="AM96" t="str">
        <f t="shared" si="13"/>
        <v>Professional</v>
      </c>
    </row>
    <row r="97" spans="1:39" x14ac:dyDescent="0.25">
      <c r="A97" t="s">
        <v>61</v>
      </c>
      <c r="B97" t="s">
        <v>42</v>
      </c>
      <c r="C97">
        <v>77.239999999999995</v>
      </c>
      <c r="D97">
        <v>642</v>
      </c>
      <c r="E97" t="b">
        <v>1</v>
      </c>
      <c r="F97" t="b">
        <v>1</v>
      </c>
      <c r="G97" t="b">
        <v>1</v>
      </c>
      <c r="H97" t="s">
        <v>25</v>
      </c>
      <c r="I97" t="s">
        <v>67</v>
      </c>
      <c r="J97" t="s">
        <v>27</v>
      </c>
      <c r="K97" t="s">
        <v>37</v>
      </c>
      <c r="L97" t="s">
        <v>69</v>
      </c>
      <c r="M97" t="s">
        <v>47</v>
      </c>
      <c r="N97" t="s">
        <v>39</v>
      </c>
      <c r="O97" t="b">
        <v>1</v>
      </c>
      <c r="P97" t="b">
        <v>1</v>
      </c>
      <c r="Q97">
        <v>9.8000000000000007</v>
      </c>
      <c r="R97" t="b">
        <v>0</v>
      </c>
      <c r="T97">
        <v>0</v>
      </c>
      <c r="U97">
        <v>66.48</v>
      </c>
      <c r="V97" t="b">
        <v>0</v>
      </c>
      <c r="W97" t="s">
        <v>58</v>
      </c>
      <c r="AE97" t="str">
        <f t="shared" si="7"/>
        <v>Yes</v>
      </c>
      <c r="AF97" t="str">
        <f t="shared" si="8"/>
        <v>High</v>
      </c>
      <c r="AG97" t="str">
        <f t="shared" si="9"/>
        <v>Yes</v>
      </c>
      <c r="AH97" t="str">
        <f t="shared" si="10"/>
        <v>Unknown</v>
      </c>
      <c r="AJ97" t="str">
        <f t="shared" si="11"/>
        <v>High Trust</v>
      </c>
      <c r="AL97">
        <f t="shared" si="12"/>
        <v>66.5</v>
      </c>
      <c r="AM97" t="str">
        <f t="shared" si="13"/>
        <v>Bachelors</v>
      </c>
    </row>
    <row r="98" spans="1:39" x14ac:dyDescent="0.25">
      <c r="A98" t="s">
        <v>56</v>
      </c>
      <c r="B98" t="s">
        <v>73</v>
      </c>
      <c r="C98">
        <v>61.57</v>
      </c>
      <c r="D98">
        <v>780</v>
      </c>
      <c r="E98" t="b">
        <v>1</v>
      </c>
      <c r="F98" t="b">
        <v>1</v>
      </c>
      <c r="G98" t="b">
        <v>0</v>
      </c>
      <c r="H98" t="s">
        <v>34</v>
      </c>
      <c r="I98" t="s">
        <v>67</v>
      </c>
      <c r="J98" t="s">
        <v>54</v>
      </c>
      <c r="K98" t="s">
        <v>46</v>
      </c>
      <c r="L98" t="s">
        <v>29</v>
      </c>
      <c r="M98" t="s">
        <v>47</v>
      </c>
      <c r="N98" t="s">
        <v>46</v>
      </c>
      <c r="O98" t="b">
        <v>0</v>
      </c>
      <c r="P98" t="b">
        <v>0</v>
      </c>
      <c r="Q98">
        <v>4.9000000000000004</v>
      </c>
      <c r="R98" t="b">
        <v>1</v>
      </c>
      <c r="S98" t="s">
        <v>52</v>
      </c>
      <c r="T98">
        <v>18.2</v>
      </c>
      <c r="U98">
        <v>75.930000000000007</v>
      </c>
      <c r="V98" t="b">
        <v>0</v>
      </c>
      <c r="W98" t="s">
        <v>72</v>
      </c>
      <c r="AE98" t="str">
        <f t="shared" si="7"/>
        <v>Yes</v>
      </c>
      <c r="AF98" t="str">
        <f t="shared" si="8"/>
        <v>Medium</v>
      </c>
      <c r="AG98" t="str">
        <f t="shared" si="9"/>
        <v>No</v>
      </c>
      <c r="AH98" t="str">
        <f t="shared" si="10"/>
        <v>Checked Official Source</v>
      </c>
      <c r="AJ98" t="str">
        <f t="shared" si="11"/>
        <v>Moderate Trust</v>
      </c>
      <c r="AL98">
        <f t="shared" si="12"/>
        <v>75.900000000000006</v>
      </c>
      <c r="AM98" t="str">
        <f t="shared" si="13"/>
        <v>Masters</v>
      </c>
    </row>
    <row r="99" spans="1:39" x14ac:dyDescent="0.25">
      <c r="A99" t="s">
        <v>74</v>
      </c>
      <c r="B99" t="s">
        <v>24</v>
      </c>
      <c r="C99">
        <v>96.55</v>
      </c>
      <c r="D99">
        <v>723</v>
      </c>
      <c r="E99" t="b">
        <v>0</v>
      </c>
      <c r="F99" t="b">
        <v>0</v>
      </c>
      <c r="G99" t="b">
        <v>0</v>
      </c>
      <c r="H99" t="s">
        <v>53</v>
      </c>
      <c r="I99" t="s">
        <v>35</v>
      </c>
      <c r="J99" t="s">
        <v>27</v>
      </c>
      <c r="K99" t="s">
        <v>37</v>
      </c>
      <c r="L99" t="s">
        <v>51</v>
      </c>
      <c r="M99" t="s">
        <v>28</v>
      </c>
      <c r="N99" t="s">
        <v>28</v>
      </c>
      <c r="O99" t="b">
        <v>1</v>
      </c>
      <c r="P99" t="b">
        <v>0</v>
      </c>
      <c r="Q99">
        <v>10</v>
      </c>
      <c r="R99" t="b">
        <v>1</v>
      </c>
      <c r="S99" t="s">
        <v>40</v>
      </c>
      <c r="T99">
        <v>19.600000000000001</v>
      </c>
      <c r="U99">
        <v>94.05</v>
      </c>
      <c r="V99" t="b">
        <v>1</v>
      </c>
      <c r="W99" t="s">
        <v>31</v>
      </c>
      <c r="AE99" t="str">
        <f t="shared" si="7"/>
        <v>No</v>
      </c>
      <c r="AF99" t="str">
        <f t="shared" si="8"/>
        <v>Low</v>
      </c>
      <c r="AG99" t="str">
        <f t="shared" si="9"/>
        <v>Yes</v>
      </c>
      <c r="AH99" t="str">
        <f t="shared" si="10"/>
        <v>Asked Expert</v>
      </c>
      <c r="AJ99" t="str">
        <f t="shared" si="11"/>
        <v>High Trust</v>
      </c>
      <c r="AL99">
        <f t="shared" si="12"/>
        <v>94.1</v>
      </c>
      <c r="AM99" t="str">
        <f t="shared" si="13"/>
        <v>Bachelors</v>
      </c>
    </row>
    <row r="100" spans="1:39" x14ac:dyDescent="0.25">
      <c r="A100" t="s">
        <v>68</v>
      </c>
      <c r="B100" t="s">
        <v>73</v>
      </c>
      <c r="C100">
        <v>47.62</v>
      </c>
      <c r="D100">
        <v>224</v>
      </c>
      <c r="E100" t="b">
        <v>1</v>
      </c>
      <c r="F100" t="b">
        <v>1</v>
      </c>
      <c r="G100" t="b">
        <v>1</v>
      </c>
      <c r="H100" t="s">
        <v>53</v>
      </c>
      <c r="I100" t="s">
        <v>63</v>
      </c>
      <c r="J100" t="s">
        <v>54</v>
      </c>
      <c r="K100" t="s">
        <v>28</v>
      </c>
      <c r="L100" t="s">
        <v>29</v>
      </c>
      <c r="M100" t="s">
        <v>28</v>
      </c>
      <c r="N100" t="s">
        <v>39</v>
      </c>
      <c r="P100" t="b">
        <v>1</v>
      </c>
      <c r="Q100">
        <v>6.8</v>
      </c>
      <c r="R100" t="b">
        <v>1</v>
      </c>
      <c r="S100" t="s">
        <v>48</v>
      </c>
      <c r="T100">
        <v>2.8</v>
      </c>
      <c r="U100">
        <v>33.5</v>
      </c>
      <c r="V100" t="b">
        <v>0</v>
      </c>
      <c r="W100" t="s">
        <v>41</v>
      </c>
      <c r="AE100" t="str">
        <f t="shared" si="7"/>
        <v>Yes</v>
      </c>
      <c r="AF100" t="str">
        <f t="shared" si="8"/>
        <v>High</v>
      </c>
      <c r="AG100" t="str">
        <f t="shared" si="9"/>
        <v>No</v>
      </c>
      <c r="AH100" t="str">
        <f t="shared" si="10"/>
        <v>Consulted Documentation</v>
      </c>
      <c r="AJ100" t="str">
        <f t="shared" si="11"/>
        <v>Moderate Trust</v>
      </c>
      <c r="AL100">
        <f t="shared" si="12"/>
        <v>33.5</v>
      </c>
      <c r="AM100" t="str">
        <f t="shared" si="13"/>
        <v>Masters</v>
      </c>
    </row>
    <row r="101" spans="1:39" x14ac:dyDescent="0.25">
      <c r="A101" t="s">
        <v>23</v>
      </c>
      <c r="B101" t="s">
        <v>59</v>
      </c>
      <c r="C101">
        <v>78.05</v>
      </c>
      <c r="D101">
        <v>118</v>
      </c>
      <c r="E101" t="b">
        <v>1</v>
      </c>
      <c r="F101" t="b">
        <v>0</v>
      </c>
      <c r="G101" t="b">
        <v>1</v>
      </c>
      <c r="H101" t="s">
        <v>25</v>
      </c>
      <c r="I101" t="s">
        <v>44</v>
      </c>
      <c r="J101" t="s">
        <v>54</v>
      </c>
      <c r="K101" t="s">
        <v>46</v>
      </c>
      <c r="L101" t="s">
        <v>69</v>
      </c>
      <c r="M101" t="s">
        <v>46</v>
      </c>
      <c r="N101" t="s">
        <v>39</v>
      </c>
      <c r="P101" t="b">
        <v>0</v>
      </c>
      <c r="Q101">
        <v>10</v>
      </c>
      <c r="R101" t="b">
        <v>0</v>
      </c>
      <c r="T101">
        <v>0</v>
      </c>
      <c r="U101">
        <v>85.32</v>
      </c>
      <c r="V101" t="b">
        <v>1</v>
      </c>
      <c r="W101" t="s">
        <v>58</v>
      </c>
      <c r="AE101" t="str">
        <f t="shared" si="7"/>
        <v>No</v>
      </c>
      <c r="AF101" t="str">
        <f t="shared" si="8"/>
        <v>High</v>
      </c>
      <c r="AG101" t="str">
        <f t="shared" si="9"/>
        <v>No</v>
      </c>
      <c r="AH101" t="str">
        <f t="shared" si="10"/>
        <v>Unknown</v>
      </c>
      <c r="AJ101" t="str">
        <f t="shared" si="11"/>
        <v>High Trust</v>
      </c>
      <c r="AL101">
        <f t="shared" si="12"/>
        <v>85.3</v>
      </c>
      <c r="AM101" t="str">
        <f t="shared" si="13"/>
        <v>Masters</v>
      </c>
    </row>
    <row r="102" spans="1:39" x14ac:dyDescent="0.25">
      <c r="A102" t="s">
        <v>32</v>
      </c>
      <c r="B102" t="s">
        <v>33</v>
      </c>
      <c r="C102">
        <v>80.099999999999994</v>
      </c>
      <c r="D102">
        <v>492</v>
      </c>
      <c r="E102" t="b">
        <v>1</v>
      </c>
      <c r="F102" t="b">
        <v>1</v>
      </c>
      <c r="G102" t="b">
        <v>0</v>
      </c>
      <c r="H102" t="s">
        <v>25</v>
      </c>
      <c r="I102" t="s">
        <v>44</v>
      </c>
      <c r="J102" t="s">
        <v>45</v>
      </c>
      <c r="K102" t="s">
        <v>37</v>
      </c>
      <c r="L102" t="s">
        <v>29</v>
      </c>
      <c r="M102" t="s">
        <v>46</v>
      </c>
      <c r="O102" t="b">
        <v>0</v>
      </c>
      <c r="P102" t="b">
        <v>0</v>
      </c>
      <c r="Q102">
        <v>7.9</v>
      </c>
      <c r="R102" t="b">
        <v>0</v>
      </c>
      <c r="T102">
        <v>0</v>
      </c>
      <c r="U102">
        <v>69.2</v>
      </c>
      <c r="V102" t="b">
        <v>1</v>
      </c>
      <c r="W102" t="s">
        <v>31</v>
      </c>
      <c r="AE102" t="str">
        <f t="shared" si="7"/>
        <v>Yes</v>
      </c>
      <c r="AF102" t="str">
        <f t="shared" si="8"/>
        <v>Unknown</v>
      </c>
      <c r="AG102" t="str">
        <f t="shared" si="9"/>
        <v>No</v>
      </c>
      <c r="AH102" t="str">
        <f t="shared" si="10"/>
        <v>Unknown</v>
      </c>
      <c r="AJ102" t="str">
        <f t="shared" si="11"/>
        <v>Moderate Trust</v>
      </c>
      <c r="AL102">
        <f t="shared" si="12"/>
        <v>69.2</v>
      </c>
      <c r="AM102" t="str">
        <f t="shared" si="13"/>
        <v>High School</v>
      </c>
    </row>
    <row r="103" spans="1:39" x14ac:dyDescent="0.25">
      <c r="A103" t="s">
        <v>61</v>
      </c>
      <c r="B103" t="s">
        <v>73</v>
      </c>
      <c r="C103">
        <v>47.8</v>
      </c>
      <c r="D103">
        <v>320</v>
      </c>
      <c r="E103" t="b">
        <v>1</v>
      </c>
      <c r="F103" t="b">
        <v>0</v>
      </c>
      <c r="G103" t="b">
        <v>0</v>
      </c>
      <c r="H103" t="s">
        <v>53</v>
      </c>
      <c r="I103" t="s">
        <v>26</v>
      </c>
      <c r="J103" t="s">
        <v>54</v>
      </c>
      <c r="K103" t="s">
        <v>37</v>
      </c>
      <c r="L103" t="s">
        <v>37</v>
      </c>
      <c r="M103" t="s">
        <v>46</v>
      </c>
      <c r="P103" t="b">
        <v>0</v>
      </c>
      <c r="Q103">
        <v>6.2</v>
      </c>
      <c r="R103" t="b">
        <v>1</v>
      </c>
      <c r="S103" t="s">
        <v>75</v>
      </c>
      <c r="T103">
        <v>7.2</v>
      </c>
      <c r="U103">
        <v>37.549999999999997</v>
      </c>
      <c r="V103" t="b">
        <v>0</v>
      </c>
      <c r="W103" t="s">
        <v>41</v>
      </c>
      <c r="AE103" t="str">
        <f t="shared" si="7"/>
        <v>No</v>
      </c>
      <c r="AF103" t="str">
        <f t="shared" si="8"/>
        <v>Unknown</v>
      </c>
      <c r="AG103" t="str">
        <f t="shared" si="9"/>
        <v>No</v>
      </c>
      <c r="AH103" t="str">
        <f t="shared" si="10"/>
        <v>Asked Colleague</v>
      </c>
      <c r="AJ103" t="str">
        <f t="shared" si="11"/>
        <v>Moderate Trust</v>
      </c>
      <c r="AL103">
        <f t="shared" si="12"/>
        <v>37.6</v>
      </c>
      <c r="AM103" t="str">
        <f t="shared" si="13"/>
        <v>Masters</v>
      </c>
    </row>
    <row r="104" spans="1:39" x14ac:dyDescent="0.25">
      <c r="A104" t="s">
        <v>23</v>
      </c>
      <c r="B104" t="s">
        <v>76</v>
      </c>
      <c r="C104">
        <v>70.42</v>
      </c>
      <c r="D104">
        <v>539</v>
      </c>
      <c r="E104" t="b">
        <v>0</v>
      </c>
      <c r="F104" t="b">
        <v>1</v>
      </c>
      <c r="G104" t="b">
        <v>0</v>
      </c>
      <c r="H104" t="s">
        <v>53</v>
      </c>
      <c r="I104" t="s">
        <v>57</v>
      </c>
      <c r="J104" t="s">
        <v>36</v>
      </c>
      <c r="K104" t="s">
        <v>28</v>
      </c>
      <c r="L104" t="s">
        <v>29</v>
      </c>
      <c r="M104" t="s">
        <v>28</v>
      </c>
      <c r="N104" t="s">
        <v>46</v>
      </c>
      <c r="O104" t="b">
        <v>1</v>
      </c>
      <c r="P104" t="b">
        <v>0</v>
      </c>
      <c r="Q104">
        <v>9.6</v>
      </c>
      <c r="R104" t="b">
        <v>1</v>
      </c>
      <c r="S104" t="s">
        <v>52</v>
      </c>
      <c r="T104">
        <v>33.799999999999997</v>
      </c>
      <c r="U104">
        <v>63.12</v>
      </c>
      <c r="V104" t="b">
        <v>0</v>
      </c>
      <c r="W104" t="s">
        <v>31</v>
      </c>
      <c r="AE104" t="str">
        <f t="shared" si="7"/>
        <v>Yes</v>
      </c>
      <c r="AF104" t="str">
        <f t="shared" si="8"/>
        <v>Medium</v>
      </c>
      <c r="AG104" t="str">
        <f t="shared" si="9"/>
        <v>Yes</v>
      </c>
      <c r="AH104" t="str">
        <f t="shared" si="10"/>
        <v>Checked Official Source</v>
      </c>
      <c r="AJ104" t="str">
        <f t="shared" si="11"/>
        <v>High Trust</v>
      </c>
      <c r="AL104">
        <f t="shared" si="12"/>
        <v>63.1</v>
      </c>
      <c r="AM104" t="str">
        <f t="shared" si="13"/>
        <v>PhD</v>
      </c>
    </row>
    <row r="105" spans="1:39" x14ac:dyDescent="0.25">
      <c r="A105" t="s">
        <v>74</v>
      </c>
      <c r="B105" t="s">
        <v>24</v>
      </c>
      <c r="C105">
        <v>87.81</v>
      </c>
      <c r="D105">
        <v>50</v>
      </c>
      <c r="E105" t="b">
        <v>1</v>
      </c>
      <c r="F105" t="b">
        <v>1</v>
      </c>
      <c r="G105" t="b">
        <v>0</v>
      </c>
      <c r="H105" t="s">
        <v>34</v>
      </c>
      <c r="I105" t="s">
        <v>26</v>
      </c>
      <c r="J105" t="s">
        <v>54</v>
      </c>
      <c r="K105" t="s">
        <v>28</v>
      </c>
      <c r="L105" t="s">
        <v>29</v>
      </c>
      <c r="M105" t="s">
        <v>46</v>
      </c>
      <c r="N105" t="s">
        <v>28</v>
      </c>
      <c r="O105" t="b">
        <v>0</v>
      </c>
      <c r="P105" t="b">
        <v>0</v>
      </c>
      <c r="Q105">
        <v>8.5</v>
      </c>
      <c r="R105" t="b">
        <v>0</v>
      </c>
      <c r="T105">
        <v>0</v>
      </c>
      <c r="U105">
        <v>98.22</v>
      </c>
      <c r="V105" t="b">
        <v>1</v>
      </c>
      <c r="W105" t="s">
        <v>58</v>
      </c>
      <c r="AE105" t="str">
        <f t="shared" si="7"/>
        <v>Yes</v>
      </c>
      <c r="AF105" t="str">
        <f t="shared" si="8"/>
        <v>Low</v>
      </c>
      <c r="AG105" t="str">
        <f t="shared" si="9"/>
        <v>No</v>
      </c>
      <c r="AH105" t="str">
        <f t="shared" si="10"/>
        <v>Unknown</v>
      </c>
      <c r="AJ105" t="str">
        <f t="shared" si="11"/>
        <v>High Trust</v>
      </c>
      <c r="AL105">
        <f t="shared" si="12"/>
        <v>98.2</v>
      </c>
      <c r="AM105" t="str">
        <f t="shared" si="13"/>
        <v>Masters</v>
      </c>
    </row>
    <row r="106" spans="1:39" x14ac:dyDescent="0.25">
      <c r="A106" t="s">
        <v>23</v>
      </c>
      <c r="B106" t="s">
        <v>76</v>
      </c>
      <c r="C106">
        <v>73.05</v>
      </c>
      <c r="D106">
        <v>721</v>
      </c>
      <c r="E106" t="b">
        <v>0</v>
      </c>
      <c r="F106" t="b">
        <v>0</v>
      </c>
      <c r="G106" t="b">
        <v>1</v>
      </c>
      <c r="H106" t="s">
        <v>43</v>
      </c>
      <c r="I106" t="s">
        <v>26</v>
      </c>
      <c r="J106" t="s">
        <v>54</v>
      </c>
      <c r="K106" t="s">
        <v>37</v>
      </c>
      <c r="L106" t="s">
        <v>29</v>
      </c>
      <c r="M106" t="s">
        <v>28</v>
      </c>
      <c r="N106" t="s">
        <v>39</v>
      </c>
      <c r="O106" t="b">
        <v>0</v>
      </c>
      <c r="P106" t="b">
        <v>1</v>
      </c>
      <c r="Q106">
        <v>7.2</v>
      </c>
      <c r="R106" t="b">
        <v>1</v>
      </c>
      <c r="S106" t="s">
        <v>64</v>
      </c>
      <c r="T106">
        <v>12.2</v>
      </c>
      <c r="U106">
        <v>82.04</v>
      </c>
      <c r="V106" t="b">
        <v>1</v>
      </c>
      <c r="W106" t="s">
        <v>41</v>
      </c>
      <c r="AE106" t="str">
        <f t="shared" si="7"/>
        <v>No</v>
      </c>
      <c r="AF106" t="str">
        <f t="shared" si="8"/>
        <v>High</v>
      </c>
      <c r="AG106" t="str">
        <f t="shared" si="9"/>
        <v>No</v>
      </c>
      <c r="AH106" t="str">
        <f t="shared" si="10"/>
        <v>Personal Testing</v>
      </c>
      <c r="AJ106" t="str">
        <f t="shared" si="11"/>
        <v>Moderate Trust</v>
      </c>
      <c r="AL106">
        <f t="shared" si="12"/>
        <v>82</v>
      </c>
      <c r="AM106" t="str">
        <f t="shared" si="13"/>
        <v>Masters</v>
      </c>
    </row>
    <row r="107" spans="1:39" x14ac:dyDescent="0.25">
      <c r="A107" t="s">
        <v>74</v>
      </c>
      <c r="B107" t="s">
        <v>42</v>
      </c>
      <c r="C107">
        <v>70.61</v>
      </c>
      <c r="D107">
        <v>220</v>
      </c>
      <c r="E107" t="b">
        <v>1</v>
      </c>
      <c r="F107" t="b">
        <v>1</v>
      </c>
      <c r="G107" t="b">
        <v>0</v>
      </c>
      <c r="H107" t="s">
        <v>43</v>
      </c>
      <c r="I107" t="s">
        <v>26</v>
      </c>
      <c r="J107" t="s">
        <v>54</v>
      </c>
      <c r="K107" t="s">
        <v>37</v>
      </c>
      <c r="L107" t="s">
        <v>29</v>
      </c>
      <c r="M107" t="s">
        <v>28</v>
      </c>
      <c r="N107" t="s">
        <v>39</v>
      </c>
      <c r="O107" t="b">
        <v>0</v>
      </c>
      <c r="P107" t="b">
        <v>0</v>
      </c>
      <c r="Q107">
        <v>6.3</v>
      </c>
      <c r="R107" t="b">
        <v>0</v>
      </c>
      <c r="T107">
        <v>0</v>
      </c>
      <c r="U107">
        <v>69.78</v>
      </c>
      <c r="V107" t="b">
        <v>1</v>
      </c>
      <c r="W107" t="s">
        <v>31</v>
      </c>
      <c r="AE107" t="str">
        <f t="shared" si="7"/>
        <v>Yes</v>
      </c>
      <c r="AF107" t="str">
        <f t="shared" si="8"/>
        <v>High</v>
      </c>
      <c r="AG107" t="str">
        <f t="shared" si="9"/>
        <v>No</v>
      </c>
      <c r="AH107" t="str">
        <f t="shared" si="10"/>
        <v>Unknown</v>
      </c>
      <c r="AJ107" t="str">
        <f t="shared" si="11"/>
        <v>Moderate Trust</v>
      </c>
      <c r="AL107">
        <f t="shared" si="12"/>
        <v>69.8</v>
      </c>
      <c r="AM107" t="str">
        <f t="shared" si="13"/>
        <v>Masters</v>
      </c>
    </row>
    <row r="108" spans="1:39" x14ac:dyDescent="0.25">
      <c r="A108" t="s">
        <v>68</v>
      </c>
      <c r="B108" t="s">
        <v>60</v>
      </c>
      <c r="C108">
        <v>45.34</v>
      </c>
      <c r="D108">
        <v>231</v>
      </c>
      <c r="E108" t="b">
        <v>1</v>
      </c>
      <c r="F108" t="b">
        <v>0</v>
      </c>
      <c r="G108" t="b">
        <v>1</v>
      </c>
      <c r="H108" t="s">
        <v>25</v>
      </c>
      <c r="I108" t="s">
        <v>57</v>
      </c>
      <c r="J108" t="s">
        <v>50</v>
      </c>
      <c r="K108" t="s">
        <v>46</v>
      </c>
      <c r="L108" t="s">
        <v>37</v>
      </c>
      <c r="M108" t="s">
        <v>39</v>
      </c>
      <c r="N108" t="s">
        <v>46</v>
      </c>
      <c r="O108" t="b">
        <v>1</v>
      </c>
      <c r="P108" t="b">
        <v>1</v>
      </c>
      <c r="Q108">
        <v>7.1</v>
      </c>
      <c r="R108" t="b">
        <v>1</v>
      </c>
      <c r="S108" t="s">
        <v>52</v>
      </c>
      <c r="T108">
        <v>11.1</v>
      </c>
      <c r="U108">
        <v>44.75</v>
      </c>
      <c r="V108" t="b">
        <v>0</v>
      </c>
      <c r="W108" t="s">
        <v>41</v>
      </c>
      <c r="AE108" t="str">
        <f t="shared" si="7"/>
        <v>No</v>
      </c>
      <c r="AF108" t="str">
        <f t="shared" si="8"/>
        <v>Medium</v>
      </c>
      <c r="AG108" t="str">
        <f t="shared" si="9"/>
        <v>Yes</v>
      </c>
      <c r="AH108" t="str">
        <f t="shared" si="10"/>
        <v>Checked Official Source</v>
      </c>
      <c r="AJ108" t="str">
        <f t="shared" si="11"/>
        <v>Moderate Trust</v>
      </c>
      <c r="AL108">
        <f t="shared" si="12"/>
        <v>44.8</v>
      </c>
      <c r="AM108" t="str">
        <f t="shared" si="13"/>
        <v>Professional</v>
      </c>
    </row>
    <row r="109" spans="1:39" x14ac:dyDescent="0.25">
      <c r="A109" t="s">
        <v>23</v>
      </c>
      <c r="B109" t="s">
        <v>62</v>
      </c>
      <c r="C109">
        <v>50.15</v>
      </c>
      <c r="D109">
        <v>755</v>
      </c>
      <c r="E109" t="b">
        <v>1</v>
      </c>
      <c r="F109" t="b">
        <v>1</v>
      </c>
      <c r="G109" t="b">
        <v>0</v>
      </c>
      <c r="H109" t="s">
        <v>43</v>
      </c>
      <c r="I109" t="s">
        <v>63</v>
      </c>
      <c r="J109" t="s">
        <v>54</v>
      </c>
      <c r="K109" t="s">
        <v>37</v>
      </c>
      <c r="L109" t="s">
        <v>37</v>
      </c>
      <c r="M109" t="s">
        <v>46</v>
      </c>
      <c r="N109" t="s">
        <v>46</v>
      </c>
      <c r="P109" t="b">
        <v>0</v>
      </c>
      <c r="Q109">
        <v>5.5</v>
      </c>
      <c r="R109" t="b">
        <v>1</v>
      </c>
      <c r="S109" t="s">
        <v>52</v>
      </c>
      <c r="T109">
        <v>9</v>
      </c>
      <c r="U109">
        <v>48.53</v>
      </c>
      <c r="V109" t="b">
        <v>1</v>
      </c>
      <c r="W109" t="s">
        <v>41</v>
      </c>
      <c r="AE109" t="str">
        <f t="shared" si="7"/>
        <v>Yes</v>
      </c>
      <c r="AF109" t="str">
        <f t="shared" si="8"/>
        <v>Medium</v>
      </c>
      <c r="AG109" t="str">
        <f t="shared" si="9"/>
        <v>No</v>
      </c>
      <c r="AH109" t="str">
        <f t="shared" si="10"/>
        <v>Checked Official Source</v>
      </c>
      <c r="AJ109" t="str">
        <f t="shared" si="11"/>
        <v>Moderate Trust</v>
      </c>
      <c r="AL109">
        <f t="shared" si="12"/>
        <v>48.5</v>
      </c>
      <c r="AM109" t="str">
        <f t="shared" si="13"/>
        <v>Masters</v>
      </c>
    </row>
    <row r="110" spans="1:39" x14ac:dyDescent="0.25">
      <c r="A110" t="s">
        <v>74</v>
      </c>
      <c r="B110" t="s">
        <v>70</v>
      </c>
      <c r="C110">
        <v>84.98</v>
      </c>
      <c r="D110">
        <v>132</v>
      </c>
      <c r="E110" t="b">
        <v>0</v>
      </c>
      <c r="F110" t="b">
        <v>1</v>
      </c>
      <c r="G110" t="b">
        <v>0</v>
      </c>
      <c r="H110" t="s">
        <v>43</v>
      </c>
      <c r="I110" t="s">
        <v>26</v>
      </c>
      <c r="J110" t="s">
        <v>36</v>
      </c>
      <c r="K110" t="s">
        <v>46</v>
      </c>
      <c r="L110" t="s">
        <v>38</v>
      </c>
      <c r="M110" t="s">
        <v>28</v>
      </c>
      <c r="O110" t="b">
        <v>1</v>
      </c>
      <c r="P110" t="b">
        <v>1</v>
      </c>
      <c r="Q110">
        <v>10</v>
      </c>
      <c r="R110" t="b">
        <v>1</v>
      </c>
      <c r="S110" t="s">
        <v>48</v>
      </c>
      <c r="T110">
        <v>43.1</v>
      </c>
      <c r="U110">
        <v>87.49</v>
      </c>
      <c r="V110" t="b">
        <v>1</v>
      </c>
      <c r="W110" t="s">
        <v>31</v>
      </c>
      <c r="AE110" t="str">
        <f t="shared" si="7"/>
        <v>Yes</v>
      </c>
      <c r="AF110" t="str">
        <f t="shared" si="8"/>
        <v>Unknown</v>
      </c>
      <c r="AG110" t="str">
        <f t="shared" si="9"/>
        <v>Yes</v>
      </c>
      <c r="AH110" t="str">
        <f t="shared" si="10"/>
        <v>Consulted Documentation</v>
      </c>
      <c r="AJ110" t="str">
        <f t="shared" si="11"/>
        <v>High Trust</v>
      </c>
      <c r="AL110">
        <f t="shared" si="12"/>
        <v>87.5</v>
      </c>
      <c r="AM110" t="str">
        <f t="shared" si="13"/>
        <v>PhD</v>
      </c>
    </row>
    <row r="111" spans="1:39" x14ac:dyDescent="0.25">
      <c r="A111" t="s">
        <v>74</v>
      </c>
      <c r="B111" t="s">
        <v>62</v>
      </c>
      <c r="C111">
        <v>66.040000000000006</v>
      </c>
      <c r="D111">
        <v>238</v>
      </c>
      <c r="E111" t="b">
        <v>0</v>
      </c>
      <c r="F111" t="b">
        <v>1</v>
      </c>
      <c r="G111" t="b">
        <v>1</v>
      </c>
      <c r="H111" t="s">
        <v>53</v>
      </c>
      <c r="I111" t="s">
        <v>63</v>
      </c>
      <c r="J111" t="s">
        <v>27</v>
      </c>
      <c r="K111" t="s">
        <v>46</v>
      </c>
      <c r="L111" t="s">
        <v>38</v>
      </c>
      <c r="M111" t="s">
        <v>28</v>
      </c>
      <c r="N111" t="s">
        <v>39</v>
      </c>
      <c r="O111" t="b">
        <v>1</v>
      </c>
      <c r="P111" t="b">
        <v>1</v>
      </c>
      <c r="Q111">
        <v>9.4</v>
      </c>
      <c r="R111" t="b">
        <v>0</v>
      </c>
      <c r="T111">
        <v>0</v>
      </c>
      <c r="U111">
        <v>65.23</v>
      </c>
      <c r="V111" t="b">
        <v>0</v>
      </c>
      <c r="W111" t="s">
        <v>58</v>
      </c>
      <c r="AE111" t="str">
        <f t="shared" si="7"/>
        <v>Yes</v>
      </c>
      <c r="AF111" t="str">
        <f t="shared" si="8"/>
        <v>High</v>
      </c>
      <c r="AG111" t="str">
        <f t="shared" si="9"/>
        <v>Yes</v>
      </c>
      <c r="AH111" t="str">
        <f t="shared" si="10"/>
        <v>Unknown</v>
      </c>
      <c r="AJ111" t="str">
        <f t="shared" si="11"/>
        <v>High Trust</v>
      </c>
      <c r="AL111">
        <f t="shared" si="12"/>
        <v>65.2</v>
      </c>
      <c r="AM111" t="str">
        <f t="shared" si="13"/>
        <v>Bachelors</v>
      </c>
    </row>
    <row r="112" spans="1:39" x14ac:dyDescent="0.25">
      <c r="A112" t="s">
        <v>74</v>
      </c>
      <c r="B112" t="s">
        <v>76</v>
      </c>
      <c r="C112">
        <v>81.349999999999994</v>
      </c>
      <c r="D112">
        <v>674</v>
      </c>
      <c r="E112" t="b">
        <v>1</v>
      </c>
      <c r="F112" t="b">
        <v>0</v>
      </c>
      <c r="G112" t="b">
        <v>1</v>
      </c>
      <c r="H112" t="s">
        <v>43</v>
      </c>
      <c r="I112" t="s">
        <v>26</v>
      </c>
      <c r="J112" t="s">
        <v>36</v>
      </c>
      <c r="K112" t="s">
        <v>46</v>
      </c>
      <c r="L112" t="s">
        <v>38</v>
      </c>
      <c r="M112" t="s">
        <v>46</v>
      </c>
      <c r="N112" t="s">
        <v>39</v>
      </c>
      <c r="O112" t="b">
        <v>1</v>
      </c>
      <c r="P112" t="b">
        <v>0</v>
      </c>
      <c r="Q112">
        <v>10</v>
      </c>
      <c r="R112" t="b">
        <v>0</v>
      </c>
      <c r="T112">
        <v>0</v>
      </c>
      <c r="U112">
        <v>67.709999999999994</v>
      </c>
      <c r="V112" t="b">
        <v>0</v>
      </c>
      <c r="W112" t="s">
        <v>58</v>
      </c>
      <c r="AE112" t="str">
        <f t="shared" si="7"/>
        <v>No</v>
      </c>
      <c r="AF112" t="str">
        <f t="shared" si="8"/>
        <v>High</v>
      </c>
      <c r="AG112" t="str">
        <f t="shared" si="9"/>
        <v>Yes</v>
      </c>
      <c r="AH112" t="str">
        <f t="shared" si="10"/>
        <v>Unknown</v>
      </c>
      <c r="AJ112" t="str">
        <f t="shared" si="11"/>
        <v>High Trust</v>
      </c>
      <c r="AL112">
        <f t="shared" si="12"/>
        <v>67.7</v>
      </c>
      <c r="AM112" t="str">
        <f t="shared" si="13"/>
        <v>PhD</v>
      </c>
    </row>
    <row r="113" spans="1:39" x14ac:dyDescent="0.25">
      <c r="A113" t="s">
        <v>56</v>
      </c>
      <c r="B113" t="s">
        <v>59</v>
      </c>
      <c r="C113">
        <v>76.91</v>
      </c>
      <c r="D113">
        <v>730</v>
      </c>
      <c r="E113" t="b">
        <v>0</v>
      </c>
      <c r="F113" t="b">
        <v>1</v>
      </c>
      <c r="G113" t="b">
        <v>0</v>
      </c>
      <c r="H113" t="s">
        <v>43</v>
      </c>
      <c r="I113" t="s">
        <v>57</v>
      </c>
      <c r="J113" t="s">
        <v>45</v>
      </c>
      <c r="K113" t="s">
        <v>37</v>
      </c>
      <c r="L113" t="s">
        <v>38</v>
      </c>
      <c r="M113" t="s">
        <v>46</v>
      </c>
      <c r="N113" t="s">
        <v>39</v>
      </c>
      <c r="O113" t="b">
        <v>1</v>
      </c>
      <c r="P113" t="b">
        <v>1</v>
      </c>
      <c r="Q113">
        <v>8.8000000000000007</v>
      </c>
      <c r="R113" t="b">
        <v>0</v>
      </c>
      <c r="T113">
        <v>0</v>
      </c>
      <c r="U113">
        <v>90.58</v>
      </c>
      <c r="V113" t="b">
        <v>1</v>
      </c>
      <c r="W113" t="s">
        <v>58</v>
      </c>
      <c r="AE113" t="str">
        <f t="shared" si="7"/>
        <v>Yes</v>
      </c>
      <c r="AF113" t="str">
        <f t="shared" si="8"/>
        <v>High</v>
      </c>
      <c r="AG113" t="str">
        <f t="shared" si="9"/>
        <v>Yes</v>
      </c>
      <c r="AH113" t="str">
        <f t="shared" si="10"/>
        <v>Unknown</v>
      </c>
      <c r="AJ113" t="str">
        <f t="shared" si="11"/>
        <v>High Trust</v>
      </c>
      <c r="AL113">
        <f t="shared" si="12"/>
        <v>90.6</v>
      </c>
      <c r="AM113" t="str">
        <f t="shared" si="13"/>
        <v>High School</v>
      </c>
    </row>
    <row r="114" spans="1:39" x14ac:dyDescent="0.25">
      <c r="A114" t="s">
        <v>23</v>
      </c>
      <c r="B114" t="s">
        <v>49</v>
      </c>
      <c r="C114">
        <v>78.03</v>
      </c>
      <c r="D114">
        <v>589</v>
      </c>
      <c r="E114" t="b">
        <v>1</v>
      </c>
      <c r="F114" t="b">
        <v>0</v>
      </c>
      <c r="G114" t="b">
        <v>1</v>
      </c>
      <c r="H114" t="s">
        <v>34</v>
      </c>
      <c r="I114" t="s">
        <v>44</v>
      </c>
      <c r="J114" t="s">
        <v>50</v>
      </c>
      <c r="K114" t="s">
        <v>37</v>
      </c>
      <c r="L114" t="s">
        <v>51</v>
      </c>
      <c r="M114" t="s">
        <v>39</v>
      </c>
      <c r="N114" t="s">
        <v>28</v>
      </c>
      <c r="O114" t="b">
        <v>1</v>
      </c>
      <c r="P114" t="b">
        <v>1</v>
      </c>
      <c r="Q114">
        <v>10</v>
      </c>
      <c r="R114" t="b">
        <v>1</v>
      </c>
      <c r="S114" t="s">
        <v>64</v>
      </c>
      <c r="T114">
        <v>14.5</v>
      </c>
      <c r="U114">
        <v>89.62</v>
      </c>
      <c r="V114" t="b">
        <v>1</v>
      </c>
      <c r="W114" t="s">
        <v>31</v>
      </c>
      <c r="AE114" t="str">
        <f t="shared" si="7"/>
        <v>No</v>
      </c>
      <c r="AF114" t="str">
        <f t="shared" si="8"/>
        <v>Low</v>
      </c>
      <c r="AG114" t="str">
        <f t="shared" si="9"/>
        <v>Yes</v>
      </c>
      <c r="AH114" t="str">
        <f t="shared" si="10"/>
        <v>Personal Testing</v>
      </c>
      <c r="AJ114" t="str">
        <f t="shared" si="11"/>
        <v>High Trust</v>
      </c>
      <c r="AL114">
        <f t="shared" si="12"/>
        <v>89.6</v>
      </c>
      <c r="AM114" t="str">
        <f t="shared" si="13"/>
        <v>Professional</v>
      </c>
    </row>
    <row r="115" spans="1:39" x14ac:dyDescent="0.25">
      <c r="A115" t="s">
        <v>74</v>
      </c>
      <c r="B115" t="s">
        <v>42</v>
      </c>
      <c r="C115">
        <v>71.790000000000006</v>
      </c>
      <c r="D115">
        <v>708</v>
      </c>
      <c r="E115" t="b">
        <v>0</v>
      </c>
      <c r="F115" t="b">
        <v>1</v>
      </c>
      <c r="G115" t="b">
        <v>0</v>
      </c>
      <c r="H115" t="s">
        <v>25</v>
      </c>
      <c r="I115" t="s">
        <v>26</v>
      </c>
      <c r="J115" t="s">
        <v>36</v>
      </c>
      <c r="K115" t="s">
        <v>28</v>
      </c>
      <c r="L115" t="s">
        <v>38</v>
      </c>
      <c r="M115" t="s">
        <v>46</v>
      </c>
      <c r="O115" t="b">
        <v>1</v>
      </c>
      <c r="P115" t="b">
        <v>0</v>
      </c>
      <c r="Q115">
        <v>8.5</v>
      </c>
      <c r="R115" t="b">
        <v>1</v>
      </c>
      <c r="S115" t="s">
        <v>75</v>
      </c>
      <c r="T115">
        <v>36.700000000000003</v>
      </c>
      <c r="U115">
        <v>63.14</v>
      </c>
      <c r="V115" t="b">
        <v>0</v>
      </c>
      <c r="W115" t="s">
        <v>31</v>
      </c>
      <c r="AE115" t="str">
        <f t="shared" si="7"/>
        <v>Yes</v>
      </c>
      <c r="AF115" t="str">
        <f t="shared" si="8"/>
        <v>Unknown</v>
      </c>
      <c r="AG115" t="str">
        <f t="shared" si="9"/>
        <v>Yes</v>
      </c>
      <c r="AH115" t="str">
        <f t="shared" si="10"/>
        <v>Asked Colleague</v>
      </c>
      <c r="AJ115" t="str">
        <f t="shared" si="11"/>
        <v>High Trust</v>
      </c>
      <c r="AL115">
        <f t="shared" si="12"/>
        <v>63.1</v>
      </c>
      <c r="AM115" t="str">
        <f t="shared" si="13"/>
        <v>PhD</v>
      </c>
    </row>
    <row r="116" spans="1:39" x14ac:dyDescent="0.25">
      <c r="A116" t="s">
        <v>74</v>
      </c>
      <c r="B116" t="s">
        <v>42</v>
      </c>
      <c r="C116">
        <v>80.48</v>
      </c>
      <c r="D116">
        <v>317</v>
      </c>
      <c r="E116" t="b">
        <v>0</v>
      </c>
      <c r="F116" t="b">
        <v>1</v>
      </c>
      <c r="G116" t="b">
        <v>1</v>
      </c>
      <c r="H116" t="s">
        <v>53</v>
      </c>
      <c r="I116" t="s">
        <v>57</v>
      </c>
      <c r="J116" t="s">
        <v>36</v>
      </c>
      <c r="K116" t="s">
        <v>39</v>
      </c>
      <c r="L116" t="s">
        <v>29</v>
      </c>
      <c r="M116" t="s">
        <v>39</v>
      </c>
      <c r="N116" t="s">
        <v>39</v>
      </c>
      <c r="P116" t="b">
        <v>0</v>
      </c>
      <c r="Q116">
        <v>6.9</v>
      </c>
      <c r="R116" t="b">
        <v>0</v>
      </c>
      <c r="T116">
        <v>0</v>
      </c>
      <c r="U116">
        <v>73.52</v>
      </c>
      <c r="V116" t="b">
        <v>1</v>
      </c>
      <c r="W116" t="s">
        <v>31</v>
      </c>
      <c r="AE116" t="str">
        <f t="shared" si="7"/>
        <v>Yes</v>
      </c>
      <c r="AF116" t="str">
        <f t="shared" si="8"/>
        <v>High</v>
      </c>
      <c r="AG116" t="str">
        <f t="shared" si="9"/>
        <v>No</v>
      </c>
      <c r="AH116" t="str">
        <f t="shared" si="10"/>
        <v>Unknown</v>
      </c>
      <c r="AJ116" t="str">
        <f t="shared" si="11"/>
        <v>Moderate Trust</v>
      </c>
      <c r="AL116">
        <f t="shared" si="12"/>
        <v>73.5</v>
      </c>
      <c r="AM116" t="str">
        <f t="shared" si="13"/>
        <v>PhD</v>
      </c>
    </row>
    <row r="117" spans="1:39" x14ac:dyDescent="0.25">
      <c r="A117" t="s">
        <v>61</v>
      </c>
      <c r="B117" t="s">
        <v>73</v>
      </c>
      <c r="C117">
        <v>55.68</v>
      </c>
      <c r="D117">
        <v>756</v>
      </c>
      <c r="E117" t="b">
        <v>1</v>
      </c>
      <c r="F117" t="b">
        <v>1</v>
      </c>
      <c r="G117" t="b">
        <v>0</v>
      </c>
      <c r="H117" t="s">
        <v>53</v>
      </c>
      <c r="I117" t="s">
        <v>35</v>
      </c>
      <c r="J117" t="s">
        <v>50</v>
      </c>
      <c r="K117" t="s">
        <v>28</v>
      </c>
      <c r="L117" t="s">
        <v>38</v>
      </c>
      <c r="M117" t="s">
        <v>39</v>
      </c>
      <c r="N117" t="s">
        <v>28</v>
      </c>
      <c r="O117" t="b">
        <v>1</v>
      </c>
      <c r="P117" t="b">
        <v>1</v>
      </c>
      <c r="Q117">
        <v>8.1</v>
      </c>
      <c r="R117" t="b">
        <v>1</v>
      </c>
      <c r="S117" t="s">
        <v>48</v>
      </c>
      <c r="T117">
        <v>33</v>
      </c>
      <c r="U117">
        <v>69.88</v>
      </c>
      <c r="V117" t="b">
        <v>1</v>
      </c>
      <c r="W117" t="s">
        <v>31</v>
      </c>
      <c r="AE117" t="str">
        <f t="shared" si="7"/>
        <v>Yes</v>
      </c>
      <c r="AF117" t="str">
        <f t="shared" si="8"/>
        <v>Low</v>
      </c>
      <c r="AG117" t="str">
        <f t="shared" si="9"/>
        <v>Yes</v>
      </c>
      <c r="AH117" t="str">
        <f t="shared" si="10"/>
        <v>Consulted Documentation</v>
      </c>
      <c r="AJ117" t="str">
        <f t="shared" si="11"/>
        <v>High Trust</v>
      </c>
      <c r="AL117">
        <f t="shared" si="12"/>
        <v>69.900000000000006</v>
      </c>
      <c r="AM117" t="str">
        <f t="shared" si="13"/>
        <v>Professional</v>
      </c>
    </row>
    <row r="118" spans="1:39" x14ac:dyDescent="0.25">
      <c r="A118" t="s">
        <v>74</v>
      </c>
      <c r="B118" t="s">
        <v>24</v>
      </c>
      <c r="C118">
        <v>96.49</v>
      </c>
      <c r="D118">
        <v>602</v>
      </c>
      <c r="E118" t="b">
        <v>1</v>
      </c>
      <c r="F118" t="b">
        <v>0</v>
      </c>
      <c r="G118" t="b">
        <v>1</v>
      </c>
      <c r="H118" t="s">
        <v>25</v>
      </c>
      <c r="I118" t="s">
        <v>57</v>
      </c>
      <c r="J118" t="s">
        <v>36</v>
      </c>
      <c r="K118" t="s">
        <v>37</v>
      </c>
      <c r="L118" t="s">
        <v>38</v>
      </c>
      <c r="M118" t="s">
        <v>39</v>
      </c>
      <c r="N118" t="s">
        <v>28</v>
      </c>
      <c r="O118" t="b">
        <v>1</v>
      </c>
      <c r="P118" t="b">
        <v>1</v>
      </c>
      <c r="Q118">
        <v>10</v>
      </c>
      <c r="R118" t="b">
        <v>1</v>
      </c>
      <c r="S118" t="s">
        <v>75</v>
      </c>
      <c r="T118">
        <v>17</v>
      </c>
      <c r="U118">
        <v>100</v>
      </c>
      <c r="V118" t="b">
        <v>1</v>
      </c>
      <c r="W118" t="s">
        <v>31</v>
      </c>
      <c r="AE118" t="str">
        <f t="shared" si="7"/>
        <v>No</v>
      </c>
      <c r="AF118" t="str">
        <f t="shared" si="8"/>
        <v>Low</v>
      </c>
      <c r="AG118" t="str">
        <f t="shared" si="9"/>
        <v>Yes</v>
      </c>
      <c r="AH118" t="str">
        <f t="shared" si="10"/>
        <v>Asked Colleague</v>
      </c>
      <c r="AJ118" t="str">
        <f t="shared" si="11"/>
        <v>High Trust</v>
      </c>
      <c r="AL118">
        <f t="shared" si="12"/>
        <v>100</v>
      </c>
      <c r="AM118" t="str">
        <f t="shared" si="13"/>
        <v>PhD</v>
      </c>
    </row>
    <row r="119" spans="1:39" x14ac:dyDescent="0.25">
      <c r="A119" t="s">
        <v>32</v>
      </c>
      <c r="B119" t="s">
        <v>71</v>
      </c>
      <c r="C119">
        <v>43.96</v>
      </c>
      <c r="D119">
        <v>591</v>
      </c>
      <c r="E119" t="b">
        <v>1</v>
      </c>
      <c r="F119" t="b">
        <v>1</v>
      </c>
      <c r="G119" t="b">
        <v>0</v>
      </c>
      <c r="H119" t="s">
        <v>43</v>
      </c>
      <c r="I119" t="s">
        <v>26</v>
      </c>
      <c r="J119" t="s">
        <v>36</v>
      </c>
      <c r="K119" t="s">
        <v>46</v>
      </c>
      <c r="L119" t="s">
        <v>51</v>
      </c>
      <c r="M119" t="s">
        <v>39</v>
      </c>
      <c r="N119" t="s">
        <v>39</v>
      </c>
      <c r="O119" t="b">
        <v>1</v>
      </c>
      <c r="P119" t="b">
        <v>0</v>
      </c>
      <c r="Q119">
        <v>6.1</v>
      </c>
      <c r="R119" t="b">
        <v>1</v>
      </c>
      <c r="S119" t="s">
        <v>55</v>
      </c>
      <c r="T119">
        <v>35</v>
      </c>
      <c r="U119">
        <v>27.98</v>
      </c>
      <c r="V119" t="b">
        <v>0</v>
      </c>
      <c r="W119" t="s">
        <v>41</v>
      </c>
      <c r="AE119" t="str">
        <f t="shared" si="7"/>
        <v>Yes</v>
      </c>
      <c r="AF119" t="str">
        <f t="shared" si="8"/>
        <v>High</v>
      </c>
      <c r="AG119" t="str">
        <f t="shared" si="9"/>
        <v>Yes</v>
      </c>
      <c r="AH119" t="str">
        <f t="shared" si="10"/>
        <v>Academic Paper</v>
      </c>
      <c r="AJ119" t="str">
        <f t="shared" si="11"/>
        <v>Moderate Trust</v>
      </c>
      <c r="AL119">
        <f t="shared" si="12"/>
        <v>28</v>
      </c>
      <c r="AM119" t="str">
        <f t="shared" si="13"/>
        <v>PhD</v>
      </c>
    </row>
    <row r="120" spans="1:39" x14ac:dyDescent="0.25">
      <c r="A120" t="s">
        <v>68</v>
      </c>
      <c r="B120" t="s">
        <v>60</v>
      </c>
      <c r="C120">
        <v>49.18</v>
      </c>
      <c r="D120">
        <v>689</v>
      </c>
      <c r="E120" t="b">
        <v>0</v>
      </c>
      <c r="F120" t="b">
        <v>1</v>
      </c>
      <c r="G120" t="b">
        <v>0</v>
      </c>
      <c r="H120" t="s">
        <v>34</v>
      </c>
      <c r="I120" t="s">
        <v>26</v>
      </c>
      <c r="J120" t="s">
        <v>36</v>
      </c>
      <c r="K120" t="s">
        <v>39</v>
      </c>
      <c r="L120" t="s">
        <v>69</v>
      </c>
      <c r="M120" t="s">
        <v>39</v>
      </c>
      <c r="N120" t="s">
        <v>28</v>
      </c>
      <c r="O120" t="b">
        <v>1</v>
      </c>
      <c r="P120" t="b">
        <v>1</v>
      </c>
      <c r="Q120">
        <v>6.1</v>
      </c>
      <c r="R120" t="b">
        <v>1</v>
      </c>
      <c r="S120" t="s">
        <v>55</v>
      </c>
      <c r="T120">
        <v>10.4</v>
      </c>
      <c r="U120">
        <v>47.24</v>
      </c>
      <c r="V120" t="b">
        <v>1</v>
      </c>
      <c r="W120" t="s">
        <v>41</v>
      </c>
      <c r="AE120" t="str">
        <f t="shared" si="7"/>
        <v>Yes</v>
      </c>
      <c r="AF120" t="str">
        <f t="shared" si="8"/>
        <v>Low</v>
      </c>
      <c r="AG120" t="str">
        <f t="shared" si="9"/>
        <v>Yes</v>
      </c>
      <c r="AH120" t="str">
        <f t="shared" si="10"/>
        <v>Academic Paper</v>
      </c>
      <c r="AJ120" t="str">
        <f t="shared" si="11"/>
        <v>Moderate Trust</v>
      </c>
      <c r="AL120">
        <f t="shared" si="12"/>
        <v>47.2</v>
      </c>
      <c r="AM120" t="str">
        <f t="shared" si="13"/>
        <v>PhD</v>
      </c>
    </row>
    <row r="121" spans="1:39" x14ac:dyDescent="0.25">
      <c r="A121" t="s">
        <v>74</v>
      </c>
      <c r="B121" t="s">
        <v>70</v>
      </c>
      <c r="C121">
        <v>93.81</v>
      </c>
      <c r="D121">
        <v>760</v>
      </c>
      <c r="E121" t="b">
        <v>0</v>
      </c>
      <c r="F121" t="b">
        <v>1</v>
      </c>
      <c r="G121" t="b">
        <v>0</v>
      </c>
      <c r="H121" t="s">
        <v>43</v>
      </c>
      <c r="I121" t="s">
        <v>35</v>
      </c>
      <c r="J121" t="s">
        <v>36</v>
      </c>
      <c r="K121" t="s">
        <v>28</v>
      </c>
      <c r="L121" t="s">
        <v>29</v>
      </c>
      <c r="M121" t="s">
        <v>28</v>
      </c>
      <c r="N121" t="s">
        <v>28</v>
      </c>
      <c r="O121" t="b">
        <v>1</v>
      </c>
      <c r="P121" t="b">
        <v>1</v>
      </c>
      <c r="Q121">
        <v>10</v>
      </c>
      <c r="R121" t="b">
        <v>0</v>
      </c>
      <c r="T121">
        <v>0</v>
      </c>
      <c r="U121">
        <v>100</v>
      </c>
      <c r="V121" t="b">
        <v>1</v>
      </c>
      <c r="W121" t="s">
        <v>58</v>
      </c>
      <c r="AE121" t="str">
        <f t="shared" si="7"/>
        <v>Yes</v>
      </c>
      <c r="AF121" t="str">
        <f t="shared" si="8"/>
        <v>Low</v>
      </c>
      <c r="AG121" t="str">
        <f t="shared" si="9"/>
        <v>Yes</v>
      </c>
      <c r="AH121" t="str">
        <f t="shared" si="10"/>
        <v>Unknown</v>
      </c>
      <c r="AJ121" t="str">
        <f t="shared" si="11"/>
        <v>High Trust</v>
      </c>
      <c r="AL121">
        <f t="shared" si="12"/>
        <v>100</v>
      </c>
      <c r="AM121" t="str">
        <f t="shared" si="13"/>
        <v>PhD</v>
      </c>
    </row>
    <row r="122" spans="1:39" x14ac:dyDescent="0.25">
      <c r="A122" t="s">
        <v>32</v>
      </c>
      <c r="B122" t="s">
        <v>62</v>
      </c>
      <c r="C122">
        <v>70.67</v>
      </c>
      <c r="D122">
        <v>566</v>
      </c>
      <c r="E122" t="b">
        <v>1</v>
      </c>
      <c r="F122" t="b">
        <v>1</v>
      </c>
      <c r="G122" t="b">
        <v>1</v>
      </c>
      <c r="H122" t="s">
        <v>53</v>
      </c>
      <c r="I122" t="s">
        <v>44</v>
      </c>
      <c r="J122" t="s">
        <v>36</v>
      </c>
      <c r="K122" t="s">
        <v>28</v>
      </c>
      <c r="L122" t="s">
        <v>51</v>
      </c>
      <c r="M122" t="s">
        <v>39</v>
      </c>
      <c r="N122" t="s">
        <v>46</v>
      </c>
      <c r="O122" t="b">
        <v>1</v>
      </c>
      <c r="P122" t="b">
        <v>0</v>
      </c>
      <c r="Q122">
        <v>8.4</v>
      </c>
      <c r="R122" t="b">
        <v>1</v>
      </c>
      <c r="S122" t="s">
        <v>48</v>
      </c>
      <c r="T122">
        <v>23.1</v>
      </c>
      <c r="U122">
        <v>83.72</v>
      </c>
      <c r="V122" t="b">
        <v>1</v>
      </c>
      <c r="W122" t="s">
        <v>31</v>
      </c>
      <c r="AE122" t="str">
        <f t="shared" si="7"/>
        <v>Yes</v>
      </c>
      <c r="AF122" t="str">
        <f t="shared" si="8"/>
        <v>Medium</v>
      </c>
      <c r="AG122" t="str">
        <f t="shared" si="9"/>
        <v>Yes</v>
      </c>
      <c r="AH122" t="str">
        <f t="shared" si="10"/>
        <v>Consulted Documentation</v>
      </c>
      <c r="AJ122" t="str">
        <f t="shared" si="11"/>
        <v>High Trust</v>
      </c>
      <c r="AL122">
        <f t="shared" si="12"/>
        <v>83.7</v>
      </c>
      <c r="AM122" t="str">
        <f t="shared" si="13"/>
        <v>PhD</v>
      </c>
    </row>
    <row r="123" spans="1:39" x14ac:dyDescent="0.25">
      <c r="A123" t="s">
        <v>56</v>
      </c>
      <c r="B123" t="s">
        <v>33</v>
      </c>
      <c r="C123">
        <v>82.39</v>
      </c>
      <c r="D123">
        <v>62</v>
      </c>
      <c r="E123" t="b">
        <v>1</v>
      </c>
      <c r="F123" t="b">
        <v>0</v>
      </c>
      <c r="G123" t="b">
        <v>0</v>
      </c>
      <c r="H123" t="s">
        <v>34</v>
      </c>
      <c r="I123" t="s">
        <v>63</v>
      </c>
      <c r="J123" t="s">
        <v>45</v>
      </c>
      <c r="K123" t="s">
        <v>28</v>
      </c>
      <c r="L123" t="s">
        <v>29</v>
      </c>
      <c r="M123" t="s">
        <v>47</v>
      </c>
      <c r="O123" t="b">
        <v>0</v>
      </c>
      <c r="P123" t="b">
        <v>0</v>
      </c>
      <c r="Q123">
        <v>7.7</v>
      </c>
      <c r="R123" t="b">
        <v>1</v>
      </c>
      <c r="S123" t="s">
        <v>48</v>
      </c>
      <c r="T123">
        <v>34.1</v>
      </c>
      <c r="U123">
        <v>95.29</v>
      </c>
      <c r="V123" t="b">
        <v>1</v>
      </c>
      <c r="W123" t="s">
        <v>41</v>
      </c>
      <c r="AE123" t="str">
        <f t="shared" si="7"/>
        <v>No</v>
      </c>
      <c r="AF123" t="str">
        <f t="shared" si="8"/>
        <v>Unknown</v>
      </c>
      <c r="AG123" t="str">
        <f t="shared" si="9"/>
        <v>No</v>
      </c>
      <c r="AH123" t="str">
        <f t="shared" si="10"/>
        <v>Consulted Documentation</v>
      </c>
      <c r="AJ123" t="str">
        <f t="shared" si="11"/>
        <v>Moderate Trust</v>
      </c>
      <c r="AL123">
        <f t="shared" si="12"/>
        <v>95.3</v>
      </c>
      <c r="AM123" t="str">
        <f t="shared" si="13"/>
        <v>High School</v>
      </c>
    </row>
    <row r="124" spans="1:39" x14ac:dyDescent="0.25">
      <c r="A124" t="s">
        <v>32</v>
      </c>
      <c r="B124" t="s">
        <v>33</v>
      </c>
      <c r="C124">
        <v>75.22</v>
      </c>
      <c r="D124">
        <v>132</v>
      </c>
      <c r="E124" t="b">
        <v>1</v>
      </c>
      <c r="F124" t="b">
        <v>1</v>
      </c>
      <c r="G124" t="b">
        <v>1</v>
      </c>
      <c r="H124" t="s">
        <v>53</v>
      </c>
      <c r="I124" t="s">
        <v>35</v>
      </c>
      <c r="J124" t="s">
        <v>36</v>
      </c>
      <c r="K124" t="s">
        <v>46</v>
      </c>
      <c r="L124" t="s">
        <v>37</v>
      </c>
      <c r="M124" t="s">
        <v>47</v>
      </c>
      <c r="O124" t="b">
        <v>0</v>
      </c>
      <c r="P124" t="b">
        <v>1</v>
      </c>
      <c r="Q124">
        <v>6.1</v>
      </c>
      <c r="R124" t="b">
        <v>1</v>
      </c>
      <c r="S124" t="s">
        <v>55</v>
      </c>
      <c r="T124">
        <v>34.299999999999997</v>
      </c>
      <c r="U124">
        <v>87.09</v>
      </c>
      <c r="V124" t="b">
        <v>0</v>
      </c>
      <c r="W124" t="s">
        <v>41</v>
      </c>
      <c r="AE124" t="str">
        <f t="shared" si="7"/>
        <v>Yes</v>
      </c>
      <c r="AF124" t="str">
        <f t="shared" si="8"/>
        <v>Unknown</v>
      </c>
      <c r="AG124" t="str">
        <f t="shared" si="9"/>
        <v>No</v>
      </c>
      <c r="AH124" t="str">
        <f t="shared" si="10"/>
        <v>Academic Paper</v>
      </c>
      <c r="AJ124" t="str">
        <f t="shared" si="11"/>
        <v>Moderate Trust</v>
      </c>
      <c r="AL124">
        <f t="shared" si="12"/>
        <v>87.1</v>
      </c>
      <c r="AM124" t="str">
        <f t="shared" si="13"/>
        <v>PhD</v>
      </c>
    </row>
    <row r="125" spans="1:39" x14ac:dyDescent="0.25">
      <c r="A125" t="s">
        <v>68</v>
      </c>
      <c r="B125" t="s">
        <v>42</v>
      </c>
      <c r="C125">
        <v>76.5</v>
      </c>
      <c r="D125">
        <v>755</v>
      </c>
      <c r="E125" t="b">
        <v>1</v>
      </c>
      <c r="F125" t="b">
        <v>0</v>
      </c>
      <c r="G125" t="b">
        <v>1</v>
      </c>
      <c r="H125" t="s">
        <v>34</v>
      </c>
      <c r="I125" t="s">
        <v>44</v>
      </c>
      <c r="J125" t="s">
        <v>50</v>
      </c>
      <c r="K125" t="s">
        <v>46</v>
      </c>
      <c r="L125" t="s">
        <v>51</v>
      </c>
      <c r="M125" t="s">
        <v>47</v>
      </c>
      <c r="N125" t="s">
        <v>39</v>
      </c>
      <c r="P125" t="b">
        <v>0</v>
      </c>
      <c r="Q125">
        <v>7.8</v>
      </c>
      <c r="R125" t="b">
        <v>0</v>
      </c>
      <c r="T125">
        <v>0</v>
      </c>
      <c r="U125">
        <v>69.89</v>
      </c>
      <c r="V125" t="b">
        <v>1</v>
      </c>
      <c r="W125" t="s">
        <v>31</v>
      </c>
      <c r="AE125" t="str">
        <f t="shared" si="7"/>
        <v>No</v>
      </c>
      <c r="AF125" t="str">
        <f t="shared" si="8"/>
        <v>High</v>
      </c>
      <c r="AG125" t="str">
        <f t="shared" si="9"/>
        <v>No</v>
      </c>
      <c r="AH125" t="str">
        <f t="shared" si="10"/>
        <v>Unknown</v>
      </c>
      <c r="AJ125" t="str">
        <f t="shared" si="11"/>
        <v>Moderate Trust</v>
      </c>
      <c r="AL125">
        <f t="shared" si="12"/>
        <v>69.900000000000006</v>
      </c>
      <c r="AM125" t="str">
        <f t="shared" si="13"/>
        <v>Professional</v>
      </c>
    </row>
    <row r="126" spans="1:39" x14ac:dyDescent="0.25">
      <c r="A126" t="s">
        <v>56</v>
      </c>
      <c r="B126" t="s">
        <v>71</v>
      </c>
      <c r="C126">
        <v>58.06</v>
      </c>
      <c r="D126">
        <v>532</v>
      </c>
      <c r="E126" t="b">
        <v>1</v>
      </c>
      <c r="F126" t="b">
        <v>0</v>
      </c>
      <c r="G126" t="b">
        <v>0</v>
      </c>
      <c r="H126" t="s">
        <v>43</v>
      </c>
      <c r="I126" t="s">
        <v>63</v>
      </c>
      <c r="J126" t="s">
        <v>50</v>
      </c>
      <c r="K126" t="s">
        <v>37</v>
      </c>
      <c r="L126" t="s">
        <v>37</v>
      </c>
      <c r="M126" t="s">
        <v>46</v>
      </c>
      <c r="O126" t="b">
        <v>0</v>
      </c>
      <c r="P126" t="b">
        <v>1</v>
      </c>
      <c r="Q126">
        <v>5.4</v>
      </c>
      <c r="R126" t="b">
        <v>1</v>
      </c>
      <c r="S126" t="s">
        <v>65</v>
      </c>
      <c r="T126">
        <v>2.2999999999999998</v>
      </c>
      <c r="U126">
        <v>62.24</v>
      </c>
      <c r="V126" t="b">
        <v>1</v>
      </c>
      <c r="W126" t="s">
        <v>41</v>
      </c>
      <c r="AE126" t="str">
        <f t="shared" si="7"/>
        <v>No</v>
      </c>
      <c r="AF126" t="str">
        <f t="shared" si="8"/>
        <v>Unknown</v>
      </c>
      <c r="AG126" t="str">
        <f t="shared" si="9"/>
        <v>No</v>
      </c>
      <c r="AH126" t="str">
        <f t="shared" si="10"/>
        <v>Cross-referenced Multiple AIs</v>
      </c>
      <c r="AJ126" t="str">
        <f t="shared" si="11"/>
        <v>Moderate Trust</v>
      </c>
      <c r="AL126">
        <f t="shared" si="12"/>
        <v>62.2</v>
      </c>
      <c r="AM126" t="str">
        <f t="shared" si="13"/>
        <v>Professional</v>
      </c>
    </row>
    <row r="127" spans="1:39" x14ac:dyDescent="0.25">
      <c r="A127" t="s">
        <v>61</v>
      </c>
      <c r="B127" t="s">
        <v>76</v>
      </c>
      <c r="C127">
        <v>85.31</v>
      </c>
      <c r="D127">
        <v>481</v>
      </c>
      <c r="E127" t="b">
        <v>1</v>
      </c>
      <c r="F127" t="b">
        <v>0</v>
      </c>
      <c r="G127" t="b">
        <v>1</v>
      </c>
      <c r="H127" t="s">
        <v>34</v>
      </c>
      <c r="I127" t="s">
        <v>63</v>
      </c>
      <c r="J127" t="s">
        <v>45</v>
      </c>
      <c r="K127" t="s">
        <v>39</v>
      </c>
      <c r="L127" t="s">
        <v>37</v>
      </c>
      <c r="M127" t="s">
        <v>39</v>
      </c>
      <c r="N127" t="s">
        <v>28</v>
      </c>
      <c r="P127" t="b">
        <v>0</v>
      </c>
      <c r="Q127">
        <v>8.8000000000000007</v>
      </c>
      <c r="R127" t="b">
        <v>1</v>
      </c>
      <c r="S127" t="s">
        <v>75</v>
      </c>
      <c r="T127">
        <v>39.200000000000003</v>
      </c>
      <c r="U127">
        <v>92.09</v>
      </c>
      <c r="V127" t="b">
        <v>1</v>
      </c>
      <c r="W127" t="s">
        <v>31</v>
      </c>
      <c r="AE127" t="str">
        <f t="shared" si="7"/>
        <v>No</v>
      </c>
      <c r="AF127" t="str">
        <f t="shared" si="8"/>
        <v>Low</v>
      </c>
      <c r="AG127" t="str">
        <f t="shared" si="9"/>
        <v>No</v>
      </c>
      <c r="AH127" t="str">
        <f t="shared" si="10"/>
        <v>Asked Colleague</v>
      </c>
      <c r="AJ127" t="str">
        <f t="shared" si="11"/>
        <v>High Trust</v>
      </c>
      <c r="AL127">
        <f t="shared" si="12"/>
        <v>92.1</v>
      </c>
      <c r="AM127" t="str">
        <f t="shared" si="13"/>
        <v>High School</v>
      </c>
    </row>
    <row r="128" spans="1:39" x14ac:dyDescent="0.25">
      <c r="A128" t="s">
        <v>74</v>
      </c>
      <c r="B128" t="s">
        <v>49</v>
      </c>
      <c r="C128">
        <v>72.650000000000006</v>
      </c>
      <c r="D128">
        <v>92</v>
      </c>
      <c r="E128" t="b">
        <v>0</v>
      </c>
      <c r="F128" t="b">
        <v>0</v>
      </c>
      <c r="G128" t="b">
        <v>0</v>
      </c>
      <c r="H128" t="s">
        <v>53</v>
      </c>
      <c r="I128" t="s">
        <v>26</v>
      </c>
      <c r="J128" t="s">
        <v>50</v>
      </c>
      <c r="K128" t="s">
        <v>28</v>
      </c>
      <c r="L128" t="s">
        <v>37</v>
      </c>
      <c r="M128" t="s">
        <v>39</v>
      </c>
      <c r="N128" t="s">
        <v>46</v>
      </c>
      <c r="O128" t="b">
        <v>1</v>
      </c>
      <c r="P128" t="b">
        <v>0</v>
      </c>
      <c r="Q128">
        <v>8.6</v>
      </c>
      <c r="R128" t="b">
        <v>1</v>
      </c>
      <c r="S128" t="s">
        <v>65</v>
      </c>
      <c r="T128">
        <v>44.4</v>
      </c>
      <c r="U128">
        <v>81.650000000000006</v>
      </c>
      <c r="V128" t="b">
        <v>1</v>
      </c>
      <c r="W128" t="s">
        <v>31</v>
      </c>
      <c r="AE128" t="str">
        <f t="shared" si="7"/>
        <v>No</v>
      </c>
      <c r="AF128" t="str">
        <f t="shared" si="8"/>
        <v>Medium</v>
      </c>
      <c r="AG128" t="str">
        <f t="shared" si="9"/>
        <v>Yes</v>
      </c>
      <c r="AH128" t="str">
        <f t="shared" si="10"/>
        <v>Cross-referenced Multiple AIs</v>
      </c>
      <c r="AJ128" t="str">
        <f t="shared" si="11"/>
        <v>High Trust</v>
      </c>
      <c r="AL128">
        <f t="shared" si="12"/>
        <v>81.7</v>
      </c>
      <c r="AM128" t="str">
        <f t="shared" si="13"/>
        <v>Professional</v>
      </c>
    </row>
    <row r="129" spans="1:39" x14ac:dyDescent="0.25">
      <c r="A129" t="s">
        <v>74</v>
      </c>
      <c r="B129" t="s">
        <v>66</v>
      </c>
      <c r="C129">
        <v>77.8</v>
      </c>
      <c r="D129">
        <v>762</v>
      </c>
      <c r="E129" t="b">
        <v>1</v>
      </c>
      <c r="F129" t="b">
        <v>1</v>
      </c>
      <c r="G129" t="b">
        <v>0</v>
      </c>
      <c r="H129" t="s">
        <v>43</v>
      </c>
      <c r="I129" t="s">
        <v>57</v>
      </c>
      <c r="J129" t="s">
        <v>27</v>
      </c>
      <c r="K129" t="s">
        <v>37</v>
      </c>
      <c r="L129" t="s">
        <v>37</v>
      </c>
      <c r="M129" t="s">
        <v>28</v>
      </c>
      <c r="N129" t="s">
        <v>39</v>
      </c>
      <c r="P129" t="b">
        <v>1</v>
      </c>
      <c r="Q129">
        <v>8.8000000000000007</v>
      </c>
      <c r="R129" t="b">
        <v>1</v>
      </c>
      <c r="S129" t="s">
        <v>52</v>
      </c>
      <c r="T129">
        <v>43.1</v>
      </c>
      <c r="U129">
        <v>80.59</v>
      </c>
      <c r="V129" t="b">
        <v>1</v>
      </c>
      <c r="W129" t="s">
        <v>31</v>
      </c>
      <c r="AE129" t="str">
        <f t="shared" si="7"/>
        <v>Yes</v>
      </c>
      <c r="AF129" t="str">
        <f t="shared" si="8"/>
        <v>High</v>
      </c>
      <c r="AG129" t="str">
        <f t="shared" si="9"/>
        <v>No</v>
      </c>
      <c r="AH129" t="str">
        <f t="shared" si="10"/>
        <v>Checked Official Source</v>
      </c>
      <c r="AJ129" t="str">
        <f t="shared" si="11"/>
        <v>High Trust</v>
      </c>
      <c r="AL129">
        <f t="shared" si="12"/>
        <v>80.599999999999994</v>
      </c>
      <c r="AM129" t="str">
        <f t="shared" si="13"/>
        <v>Bachelors</v>
      </c>
    </row>
    <row r="130" spans="1:39" x14ac:dyDescent="0.25">
      <c r="A130" t="s">
        <v>32</v>
      </c>
      <c r="B130" t="s">
        <v>66</v>
      </c>
      <c r="C130">
        <v>61.88</v>
      </c>
      <c r="D130">
        <v>673</v>
      </c>
      <c r="E130" t="b">
        <v>0</v>
      </c>
      <c r="F130" t="b">
        <v>1</v>
      </c>
      <c r="G130" t="b">
        <v>1</v>
      </c>
      <c r="H130" t="s">
        <v>34</v>
      </c>
      <c r="I130" t="s">
        <v>44</v>
      </c>
      <c r="J130" t="s">
        <v>36</v>
      </c>
      <c r="K130" t="s">
        <v>46</v>
      </c>
      <c r="L130" t="s">
        <v>51</v>
      </c>
      <c r="M130" t="s">
        <v>46</v>
      </c>
      <c r="N130" t="s">
        <v>46</v>
      </c>
      <c r="O130" t="b">
        <v>1</v>
      </c>
      <c r="P130" t="b">
        <v>1</v>
      </c>
      <c r="Q130">
        <v>8.5</v>
      </c>
      <c r="R130" t="b">
        <v>1</v>
      </c>
      <c r="S130" t="s">
        <v>55</v>
      </c>
      <c r="T130">
        <v>35.200000000000003</v>
      </c>
      <c r="U130">
        <v>41.11</v>
      </c>
      <c r="V130" t="b">
        <v>0</v>
      </c>
      <c r="W130" t="s">
        <v>31</v>
      </c>
      <c r="AE130" t="str">
        <f t="shared" si="7"/>
        <v>Yes</v>
      </c>
      <c r="AF130" t="str">
        <f t="shared" si="8"/>
        <v>Medium</v>
      </c>
      <c r="AG130" t="str">
        <f t="shared" si="9"/>
        <v>Yes</v>
      </c>
      <c r="AH130" t="str">
        <f t="shared" si="10"/>
        <v>Academic Paper</v>
      </c>
      <c r="AJ130" t="str">
        <f t="shared" si="11"/>
        <v>High Trust</v>
      </c>
      <c r="AL130">
        <f t="shared" si="12"/>
        <v>41.1</v>
      </c>
      <c r="AM130" t="str">
        <f t="shared" si="13"/>
        <v>PhD</v>
      </c>
    </row>
    <row r="131" spans="1:39" x14ac:dyDescent="0.25">
      <c r="A131" t="s">
        <v>74</v>
      </c>
      <c r="B131" t="s">
        <v>70</v>
      </c>
      <c r="C131">
        <v>74.22</v>
      </c>
      <c r="D131">
        <v>259</v>
      </c>
      <c r="E131" t="b">
        <v>1</v>
      </c>
      <c r="F131" t="b">
        <v>0</v>
      </c>
      <c r="G131" t="b">
        <v>1</v>
      </c>
      <c r="H131" t="s">
        <v>43</v>
      </c>
      <c r="I131" t="s">
        <v>26</v>
      </c>
      <c r="J131" t="s">
        <v>54</v>
      </c>
      <c r="K131" t="s">
        <v>28</v>
      </c>
      <c r="L131" t="s">
        <v>38</v>
      </c>
      <c r="M131" t="s">
        <v>39</v>
      </c>
      <c r="N131" t="s">
        <v>28</v>
      </c>
      <c r="O131" t="b">
        <v>1</v>
      </c>
      <c r="P131" t="b">
        <v>1</v>
      </c>
      <c r="Q131">
        <v>9.9</v>
      </c>
      <c r="R131" t="b">
        <v>1</v>
      </c>
      <c r="S131" t="s">
        <v>65</v>
      </c>
      <c r="T131">
        <v>16.7</v>
      </c>
      <c r="U131">
        <v>77.62</v>
      </c>
      <c r="V131" t="b">
        <v>0</v>
      </c>
      <c r="W131" t="s">
        <v>31</v>
      </c>
      <c r="AE131" t="str">
        <f t="shared" ref="AE131:AE194" si="14">IF(F131=TRUE,"Yes","No")</f>
        <v>No</v>
      </c>
      <c r="AF131" t="str">
        <f t="shared" ref="AF131:AF194" si="15">IF(ISBLANK(N131),"Unknown",N131)</f>
        <v>Low</v>
      </c>
      <c r="AG131" t="str">
        <f t="shared" ref="AG131:AG194" si="16">IF(O131=TRUE,"Yes","No")</f>
        <v>Yes</v>
      </c>
      <c r="AH131" t="str">
        <f t="shared" ref="AH131:AH194" si="17">IF(ISBLANK(S131),"Unknown",S131)</f>
        <v>Cross-referenced Multiple AIs</v>
      </c>
      <c r="AJ131" t="str">
        <f t="shared" ref="AJ131:AJ194" si="18">IF(Q131&gt;=8,"High Trust",
IF(Q132&gt;=5,"Moderate Trust","Low Trust"))</f>
        <v>High Trust</v>
      </c>
      <c r="AL131">
        <f t="shared" ref="AL131:AL194" si="19">ROUND(U131,1)</f>
        <v>77.599999999999994</v>
      </c>
      <c r="AM131" t="str">
        <f t="shared" ref="AM131:AM194" si="20">TRIM(J131)</f>
        <v>Masters</v>
      </c>
    </row>
    <row r="132" spans="1:39" x14ac:dyDescent="0.25">
      <c r="A132" t="s">
        <v>68</v>
      </c>
      <c r="B132" t="s">
        <v>24</v>
      </c>
      <c r="C132">
        <v>87.35</v>
      </c>
      <c r="D132">
        <v>429</v>
      </c>
      <c r="E132" t="b">
        <v>1</v>
      </c>
      <c r="F132" t="b">
        <v>0</v>
      </c>
      <c r="G132" t="b">
        <v>0</v>
      </c>
      <c r="H132" t="s">
        <v>34</v>
      </c>
      <c r="I132" t="s">
        <v>67</v>
      </c>
      <c r="J132" t="s">
        <v>36</v>
      </c>
      <c r="K132" t="s">
        <v>37</v>
      </c>
      <c r="L132" t="s">
        <v>38</v>
      </c>
      <c r="M132" t="s">
        <v>28</v>
      </c>
      <c r="N132" t="s">
        <v>46</v>
      </c>
      <c r="P132" t="b">
        <v>0</v>
      </c>
      <c r="Q132">
        <v>10</v>
      </c>
      <c r="R132" t="b">
        <v>1</v>
      </c>
      <c r="S132" t="s">
        <v>64</v>
      </c>
      <c r="T132">
        <v>2.6</v>
      </c>
      <c r="U132">
        <v>79.13</v>
      </c>
      <c r="V132" t="b">
        <v>0</v>
      </c>
      <c r="W132" t="s">
        <v>31</v>
      </c>
      <c r="AE132" t="str">
        <f t="shared" si="14"/>
        <v>No</v>
      </c>
      <c r="AF132" t="str">
        <f t="shared" si="15"/>
        <v>Medium</v>
      </c>
      <c r="AG132" t="str">
        <f t="shared" si="16"/>
        <v>No</v>
      </c>
      <c r="AH132" t="str">
        <f t="shared" si="17"/>
        <v>Personal Testing</v>
      </c>
      <c r="AJ132" t="str">
        <f t="shared" si="18"/>
        <v>High Trust</v>
      </c>
      <c r="AL132">
        <f t="shared" si="19"/>
        <v>79.099999999999994</v>
      </c>
      <c r="AM132" t="str">
        <f t="shared" si="20"/>
        <v>PhD</v>
      </c>
    </row>
    <row r="133" spans="1:39" x14ac:dyDescent="0.25">
      <c r="A133" t="s">
        <v>32</v>
      </c>
      <c r="B133" t="s">
        <v>70</v>
      </c>
      <c r="C133">
        <v>76.959999999999994</v>
      </c>
      <c r="D133">
        <v>321</v>
      </c>
      <c r="E133" t="b">
        <v>1</v>
      </c>
      <c r="F133" t="b">
        <v>0</v>
      </c>
      <c r="G133" t="b">
        <v>0</v>
      </c>
      <c r="H133" t="s">
        <v>43</v>
      </c>
      <c r="I133" t="s">
        <v>57</v>
      </c>
      <c r="J133" t="s">
        <v>45</v>
      </c>
      <c r="K133" t="s">
        <v>39</v>
      </c>
      <c r="L133" t="s">
        <v>29</v>
      </c>
      <c r="M133" t="s">
        <v>39</v>
      </c>
      <c r="P133" t="b">
        <v>0</v>
      </c>
      <c r="Q133">
        <v>8.3000000000000007</v>
      </c>
      <c r="R133" t="b">
        <v>1</v>
      </c>
      <c r="S133" t="s">
        <v>40</v>
      </c>
      <c r="T133">
        <v>45</v>
      </c>
      <c r="U133">
        <v>91.3</v>
      </c>
      <c r="V133" t="b">
        <v>1</v>
      </c>
      <c r="W133" t="s">
        <v>31</v>
      </c>
      <c r="AE133" t="str">
        <f t="shared" si="14"/>
        <v>No</v>
      </c>
      <c r="AF133" t="str">
        <f t="shared" si="15"/>
        <v>Unknown</v>
      </c>
      <c r="AG133" t="str">
        <f t="shared" si="16"/>
        <v>No</v>
      </c>
      <c r="AH133" t="str">
        <f t="shared" si="17"/>
        <v>Asked Expert</v>
      </c>
      <c r="AJ133" t="str">
        <f t="shared" si="18"/>
        <v>High Trust</v>
      </c>
      <c r="AL133">
        <f t="shared" si="19"/>
        <v>91.3</v>
      </c>
      <c r="AM133" t="str">
        <f t="shared" si="20"/>
        <v>High School</v>
      </c>
    </row>
    <row r="134" spans="1:39" x14ac:dyDescent="0.25">
      <c r="A134" t="s">
        <v>32</v>
      </c>
      <c r="B134" t="s">
        <v>71</v>
      </c>
      <c r="C134">
        <v>54.88</v>
      </c>
      <c r="D134">
        <v>209</v>
      </c>
      <c r="E134" t="b">
        <v>0</v>
      </c>
      <c r="F134" t="b">
        <v>1</v>
      </c>
      <c r="G134" t="b">
        <v>1</v>
      </c>
      <c r="H134" t="s">
        <v>43</v>
      </c>
      <c r="I134" t="s">
        <v>57</v>
      </c>
      <c r="J134" t="s">
        <v>36</v>
      </c>
      <c r="K134" t="s">
        <v>39</v>
      </c>
      <c r="L134" t="s">
        <v>69</v>
      </c>
      <c r="M134" t="s">
        <v>46</v>
      </c>
      <c r="N134" t="s">
        <v>28</v>
      </c>
      <c r="P134" t="b">
        <v>0</v>
      </c>
      <c r="Q134">
        <v>5.7</v>
      </c>
      <c r="R134" t="b">
        <v>1</v>
      </c>
      <c r="S134" t="s">
        <v>65</v>
      </c>
      <c r="T134">
        <v>44.8</v>
      </c>
      <c r="U134">
        <v>59.57</v>
      </c>
      <c r="V134" t="b">
        <v>1</v>
      </c>
      <c r="W134" t="s">
        <v>41</v>
      </c>
      <c r="AE134" t="str">
        <f t="shared" si="14"/>
        <v>Yes</v>
      </c>
      <c r="AF134" t="str">
        <f t="shared" si="15"/>
        <v>Low</v>
      </c>
      <c r="AG134" t="str">
        <f t="shared" si="16"/>
        <v>No</v>
      </c>
      <c r="AH134" t="str">
        <f t="shared" si="17"/>
        <v>Cross-referenced Multiple AIs</v>
      </c>
      <c r="AJ134" t="str">
        <f t="shared" si="18"/>
        <v>Moderate Trust</v>
      </c>
      <c r="AL134">
        <f t="shared" si="19"/>
        <v>59.6</v>
      </c>
      <c r="AM134" t="str">
        <f t="shared" si="20"/>
        <v>PhD</v>
      </c>
    </row>
    <row r="135" spans="1:39" x14ac:dyDescent="0.25">
      <c r="A135" t="s">
        <v>61</v>
      </c>
      <c r="B135" t="s">
        <v>24</v>
      </c>
      <c r="C135">
        <v>91.13</v>
      </c>
      <c r="D135">
        <v>574</v>
      </c>
      <c r="E135" t="b">
        <v>0</v>
      </c>
      <c r="F135" t="b">
        <v>0</v>
      </c>
      <c r="G135" t="b">
        <v>1</v>
      </c>
      <c r="H135" t="s">
        <v>25</v>
      </c>
      <c r="I135" t="s">
        <v>57</v>
      </c>
      <c r="J135" t="s">
        <v>45</v>
      </c>
      <c r="K135" t="s">
        <v>28</v>
      </c>
      <c r="L135" t="s">
        <v>38</v>
      </c>
      <c r="M135" t="s">
        <v>39</v>
      </c>
      <c r="N135" t="s">
        <v>46</v>
      </c>
      <c r="P135" t="b">
        <v>0</v>
      </c>
      <c r="Q135">
        <v>10</v>
      </c>
      <c r="R135" t="b">
        <v>1</v>
      </c>
      <c r="S135" t="s">
        <v>52</v>
      </c>
      <c r="T135">
        <v>40.4</v>
      </c>
      <c r="U135">
        <v>88.94</v>
      </c>
      <c r="V135" t="b">
        <v>1</v>
      </c>
      <c r="W135" t="s">
        <v>31</v>
      </c>
      <c r="AE135" t="str">
        <f t="shared" si="14"/>
        <v>No</v>
      </c>
      <c r="AF135" t="str">
        <f t="shared" si="15"/>
        <v>Medium</v>
      </c>
      <c r="AG135" t="str">
        <f t="shared" si="16"/>
        <v>No</v>
      </c>
      <c r="AH135" t="str">
        <f t="shared" si="17"/>
        <v>Checked Official Source</v>
      </c>
      <c r="AJ135" t="str">
        <f t="shared" si="18"/>
        <v>High Trust</v>
      </c>
      <c r="AL135">
        <f t="shared" si="19"/>
        <v>88.9</v>
      </c>
      <c r="AM135" t="str">
        <f t="shared" si="20"/>
        <v>High School</v>
      </c>
    </row>
    <row r="136" spans="1:39" x14ac:dyDescent="0.25">
      <c r="A136" t="s">
        <v>56</v>
      </c>
      <c r="B136" t="s">
        <v>49</v>
      </c>
      <c r="C136">
        <v>70.260000000000005</v>
      </c>
      <c r="D136">
        <v>385</v>
      </c>
      <c r="E136" t="b">
        <v>1</v>
      </c>
      <c r="F136" t="b">
        <v>1</v>
      </c>
      <c r="G136" t="b">
        <v>1</v>
      </c>
      <c r="H136" t="s">
        <v>53</v>
      </c>
      <c r="I136" t="s">
        <v>44</v>
      </c>
      <c r="J136" t="s">
        <v>36</v>
      </c>
      <c r="K136" t="s">
        <v>39</v>
      </c>
      <c r="L136" t="s">
        <v>51</v>
      </c>
      <c r="M136" t="s">
        <v>39</v>
      </c>
      <c r="N136" t="s">
        <v>28</v>
      </c>
      <c r="O136" t="b">
        <v>0</v>
      </c>
      <c r="P136" t="b">
        <v>0</v>
      </c>
      <c r="Q136">
        <v>6.8</v>
      </c>
      <c r="R136" t="b">
        <v>1</v>
      </c>
      <c r="S136" t="s">
        <v>48</v>
      </c>
      <c r="T136">
        <v>7.9</v>
      </c>
      <c r="U136">
        <v>80.02</v>
      </c>
      <c r="V136" t="b">
        <v>1</v>
      </c>
      <c r="W136" t="s">
        <v>41</v>
      </c>
      <c r="AE136" t="str">
        <f t="shared" si="14"/>
        <v>Yes</v>
      </c>
      <c r="AF136" t="str">
        <f t="shared" si="15"/>
        <v>Low</v>
      </c>
      <c r="AG136" t="str">
        <f t="shared" si="16"/>
        <v>No</v>
      </c>
      <c r="AH136" t="str">
        <f t="shared" si="17"/>
        <v>Consulted Documentation</v>
      </c>
      <c r="AJ136" t="str">
        <f t="shared" si="18"/>
        <v>Moderate Trust</v>
      </c>
      <c r="AL136">
        <f t="shared" si="19"/>
        <v>80</v>
      </c>
      <c r="AM136" t="str">
        <f t="shared" si="20"/>
        <v>PhD</v>
      </c>
    </row>
    <row r="137" spans="1:39" x14ac:dyDescent="0.25">
      <c r="A137" t="s">
        <v>68</v>
      </c>
      <c r="B137" t="s">
        <v>73</v>
      </c>
      <c r="C137">
        <v>52.04</v>
      </c>
      <c r="D137">
        <v>337</v>
      </c>
      <c r="E137" t="b">
        <v>1</v>
      </c>
      <c r="F137" t="b">
        <v>0</v>
      </c>
      <c r="G137" t="b">
        <v>0</v>
      </c>
      <c r="H137" t="s">
        <v>25</v>
      </c>
      <c r="I137" t="s">
        <v>67</v>
      </c>
      <c r="J137" t="s">
        <v>54</v>
      </c>
      <c r="K137" t="s">
        <v>39</v>
      </c>
      <c r="L137" t="s">
        <v>69</v>
      </c>
      <c r="M137" t="s">
        <v>47</v>
      </c>
      <c r="N137" t="s">
        <v>39</v>
      </c>
      <c r="P137" t="b">
        <v>0</v>
      </c>
      <c r="Q137">
        <v>6</v>
      </c>
      <c r="R137" t="b">
        <v>1</v>
      </c>
      <c r="S137" t="s">
        <v>52</v>
      </c>
      <c r="T137">
        <v>13.6</v>
      </c>
      <c r="U137">
        <v>45.32</v>
      </c>
      <c r="V137" t="b">
        <v>1</v>
      </c>
      <c r="W137" t="s">
        <v>41</v>
      </c>
      <c r="AE137" t="str">
        <f t="shared" si="14"/>
        <v>No</v>
      </c>
      <c r="AF137" t="str">
        <f t="shared" si="15"/>
        <v>High</v>
      </c>
      <c r="AG137" t="str">
        <f t="shared" si="16"/>
        <v>No</v>
      </c>
      <c r="AH137" t="str">
        <f t="shared" si="17"/>
        <v>Checked Official Source</v>
      </c>
      <c r="AJ137" t="str">
        <f t="shared" si="18"/>
        <v>Moderate Trust</v>
      </c>
      <c r="AL137">
        <f t="shared" si="19"/>
        <v>45.3</v>
      </c>
      <c r="AM137" t="str">
        <f t="shared" si="20"/>
        <v>Masters</v>
      </c>
    </row>
    <row r="138" spans="1:39" x14ac:dyDescent="0.25">
      <c r="A138" t="s">
        <v>74</v>
      </c>
      <c r="B138" t="s">
        <v>62</v>
      </c>
      <c r="C138">
        <v>73.61</v>
      </c>
      <c r="D138">
        <v>580</v>
      </c>
      <c r="E138" t="b">
        <v>1</v>
      </c>
      <c r="F138" t="b">
        <v>1</v>
      </c>
      <c r="G138" t="b">
        <v>1</v>
      </c>
      <c r="H138" t="s">
        <v>53</v>
      </c>
      <c r="I138" t="s">
        <v>63</v>
      </c>
      <c r="J138" t="s">
        <v>45</v>
      </c>
      <c r="K138" t="s">
        <v>39</v>
      </c>
      <c r="L138" t="s">
        <v>29</v>
      </c>
      <c r="M138" t="s">
        <v>39</v>
      </c>
      <c r="N138" t="s">
        <v>28</v>
      </c>
      <c r="P138" t="b">
        <v>1</v>
      </c>
      <c r="Q138">
        <v>7</v>
      </c>
      <c r="R138" t="b">
        <v>1</v>
      </c>
      <c r="S138" t="s">
        <v>55</v>
      </c>
      <c r="T138">
        <v>38.1</v>
      </c>
      <c r="U138">
        <v>87.82</v>
      </c>
      <c r="V138" t="b">
        <v>1</v>
      </c>
      <c r="W138" t="s">
        <v>41</v>
      </c>
      <c r="AE138" t="str">
        <f t="shared" si="14"/>
        <v>Yes</v>
      </c>
      <c r="AF138" t="str">
        <f t="shared" si="15"/>
        <v>Low</v>
      </c>
      <c r="AG138" t="str">
        <f t="shared" si="16"/>
        <v>No</v>
      </c>
      <c r="AH138" t="str">
        <f t="shared" si="17"/>
        <v>Academic Paper</v>
      </c>
      <c r="AJ138" t="str">
        <f t="shared" si="18"/>
        <v>Moderate Trust</v>
      </c>
      <c r="AL138">
        <f t="shared" si="19"/>
        <v>87.8</v>
      </c>
      <c r="AM138" t="str">
        <f t="shared" si="20"/>
        <v>High School</v>
      </c>
    </row>
    <row r="139" spans="1:39" x14ac:dyDescent="0.25">
      <c r="A139" t="s">
        <v>32</v>
      </c>
      <c r="B139" t="s">
        <v>76</v>
      </c>
      <c r="C139">
        <v>85.7</v>
      </c>
      <c r="D139">
        <v>383</v>
      </c>
      <c r="E139" t="b">
        <v>1</v>
      </c>
      <c r="F139" t="b">
        <v>1</v>
      </c>
      <c r="G139" t="b">
        <v>0</v>
      </c>
      <c r="H139" t="s">
        <v>43</v>
      </c>
      <c r="I139" t="s">
        <v>57</v>
      </c>
      <c r="J139" t="s">
        <v>54</v>
      </c>
      <c r="K139" t="s">
        <v>46</v>
      </c>
      <c r="L139" t="s">
        <v>37</v>
      </c>
      <c r="M139" t="s">
        <v>39</v>
      </c>
      <c r="N139" t="s">
        <v>46</v>
      </c>
      <c r="O139" t="b">
        <v>0</v>
      </c>
      <c r="P139" t="b">
        <v>0</v>
      </c>
      <c r="Q139">
        <v>8</v>
      </c>
      <c r="R139" t="b">
        <v>0</v>
      </c>
      <c r="T139">
        <v>0</v>
      </c>
      <c r="U139">
        <v>90.57</v>
      </c>
      <c r="V139" t="b">
        <v>1</v>
      </c>
      <c r="W139" t="s">
        <v>58</v>
      </c>
      <c r="AE139" t="str">
        <f t="shared" si="14"/>
        <v>Yes</v>
      </c>
      <c r="AF139" t="str">
        <f t="shared" si="15"/>
        <v>Medium</v>
      </c>
      <c r="AG139" t="str">
        <f t="shared" si="16"/>
        <v>No</v>
      </c>
      <c r="AH139" t="str">
        <f t="shared" si="17"/>
        <v>Unknown</v>
      </c>
      <c r="AJ139" t="str">
        <f t="shared" si="18"/>
        <v>High Trust</v>
      </c>
      <c r="AL139">
        <f t="shared" si="19"/>
        <v>90.6</v>
      </c>
      <c r="AM139" t="str">
        <f t="shared" si="20"/>
        <v>Masters</v>
      </c>
    </row>
    <row r="140" spans="1:39" x14ac:dyDescent="0.25">
      <c r="A140" t="s">
        <v>68</v>
      </c>
      <c r="B140" t="s">
        <v>60</v>
      </c>
      <c r="C140">
        <v>53.61</v>
      </c>
      <c r="D140">
        <v>761</v>
      </c>
      <c r="E140" t="b">
        <v>0</v>
      </c>
      <c r="F140" t="b">
        <v>0</v>
      </c>
      <c r="G140" t="b">
        <v>0</v>
      </c>
      <c r="H140" t="s">
        <v>43</v>
      </c>
      <c r="I140" t="s">
        <v>44</v>
      </c>
      <c r="J140" t="s">
        <v>54</v>
      </c>
      <c r="K140" t="s">
        <v>39</v>
      </c>
      <c r="L140" t="s">
        <v>29</v>
      </c>
      <c r="M140" t="s">
        <v>28</v>
      </c>
      <c r="N140" t="s">
        <v>39</v>
      </c>
      <c r="P140" t="b">
        <v>1</v>
      </c>
      <c r="Q140">
        <v>5.9</v>
      </c>
      <c r="R140" t="b">
        <v>0</v>
      </c>
      <c r="T140">
        <v>0</v>
      </c>
      <c r="U140">
        <v>64.58</v>
      </c>
      <c r="V140" t="b">
        <v>1</v>
      </c>
      <c r="W140" t="s">
        <v>41</v>
      </c>
      <c r="AE140" t="str">
        <f t="shared" si="14"/>
        <v>No</v>
      </c>
      <c r="AF140" t="str">
        <f t="shared" si="15"/>
        <v>High</v>
      </c>
      <c r="AG140" t="str">
        <f t="shared" si="16"/>
        <v>No</v>
      </c>
      <c r="AH140" t="str">
        <f t="shared" si="17"/>
        <v>Unknown</v>
      </c>
      <c r="AJ140" t="str">
        <f t="shared" si="18"/>
        <v>Moderate Trust</v>
      </c>
      <c r="AL140">
        <f t="shared" si="19"/>
        <v>64.599999999999994</v>
      </c>
      <c r="AM140" t="str">
        <f t="shared" si="20"/>
        <v>Masters</v>
      </c>
    </row>
    <row r="141" spans="1:39" x14ac:dyDescent="0.25">
      <c r="A141" t="s">
        <v>68</v>
      </c>
      <c r="B141" t="s">
        <v>66</v>
      </c>
      <c r="C141">
        <v>74.739999999999995</v>
      </c>
      <c r="D141">
        <v>365</v>
      </c>
      <c r="E141" t="b">
        <v>0</v>
      </c>
      <c r="F141" t="b">
        <v>0</v>
      </c>
      <c r="G141" t="b">
        <v>1</v>
      </c>
      <c r="H141" t="s">
        <v>53</v>
      </c>
      <c r="I141" t="s">
        <v>63</v>
      </c>
      <c r="J141" t="s">
        <v>54</v>
      </c>
      <c r="K141" t="s">
        <v>37</v>
      </c>
      <c r="L141" t="s">
        <v>38</v>
      </c>
      <c r="M141" t="s">
        <v>47</v>
      </c>
      <c r="N141" t="s">
        <v>46</v>
      </c>
      <c r="O141" t="b">
        <v>1</v>
      </c>
      <c r="P141" t="b">
        <v>1</v>
      </c>
      <c r="Q141">
        <v>9.4</v>
      </c>
      <c r="R141" t="b">
        <v>1</v>
      </c>
      <c r="S141" t="s">
        <v>40</v>
      </c>
      <c r="T141">
        <v>28</v>
      </c>
      <c r="U141">
        <v>65.099999999999994</v>
      </c>
      <c r="V141" t="b">
        <v>0</v>
      </c>
      <c r="W141" t="s">
        <v>31</v>
      </c>
      <c r="AE141" t="str">
        <f t="shared" si="14"/>
        <v>No</v>
      </c>
      <c r="AF141" t="str">
        <f t="shared" si="15"/>
        <v>Medium</v>
      </c>
      <c r="AG141" t="str">
        <f t="shared" si="16"/>
        <v>Yes</v>
      </c>
      <c r="AH141" t="str">
        <f t="shared" si="17"/>
        <v>Asked Expert</v>
      </c>
      <c r="AJ141" t="str">
        <f t="shared" si="18"/>
        <v>High Trust</v>
      </c>
      <c r="AL141">
        <f t="shared" si="19"/>
        <v>65.099999999999994</v>
      </c>
      <c r="AM141" t="str">
        <f t="shared" si="20"/>
        <v>Masters</v>
      </c>
    </row>
    <row r="142" spans="1:39" x14ac:dyDescent="0.25">
      <c r="A142" t="s">
        <v>74</v>
      </c>
      <c r="B142" t="s">
        <v>33</v>
      </c>
      <c r="C142">
        <v>84.23</v>
      </c>
      <c r="D142">
        <v>512</v>
      </c>
      <c r="E142" t="b">
        <v>1</v>
      </c>
      <c r="F142" t="b">
        <v>1</v>
      </c>
      <c r="G142" t="b">
        <v>0</v>
      </c>
      <c r="H142" t="s">
        <v>43</v>
      </c>
      <c r="I142" t="s">
        <v>26</v>
      </c>
      <c r="J142" t="s">
        <v>50</v>
      </c>
      <c r="K142" t="s">
        <v>46</v>
      </c>
      <c r="L142" t="s">
        <v>51</v>
      </c>
      <c r="M142" t="s">
        <v>28</v>
      </c>
      <c r="N142" t="s">
        <v>46</v>
      </c>
      <c r="O142" t="b">
        <v>1</v>
      </c>
      <c r="P142" t="b">
        <v>0</v>
      </c>
      <c r="Q142">
        <v>10</v>
      </c>
      <c r="R142" t="b">
        <v>1</v>
      </c>
      <c r="S142" t="s">
        <v>48</v>
      </c>
      <c r="T142">
        <v>16.899999999999999</v>
      </c>
      <c r="U142">
        <v>80.709999999999994</v>
      </c>
      <c r="V142" t="b">
        <v>1</v>
      </c>
      <c r="W142" t="s">
        <v>31</v>
      </c>
      <c r="AE142" t="str">
        <f t="shared" si="14"/>
        <v>Yes</v>
      </c>
      <c r="AF142" t="str">
        <f t="shared" si="15"/>
        <v>Medium</v>
      </c>
      <c r="AG142" t="str">
        <f t="shared" si="16"/>
        <v>Yes</v>
      </c>
      <c r="AH142" t="str">
        <f t="shared" si="17"/>
        <v>Consulted Documentation</v>
      </c>
      <c r="AJ142" t="str">
        <f t="shared" si="18"/>
        <v>High Trust</v>
      </c>
      <c r="AL142">
        <f t="shared" si="19"/>
        <v>80.7</v>
      </c>
      <c r="AM142" t="str">
        <f t="shared" si="20"/>
        <v>Professional</v>
      </c>
    </row>
    <row r="143" spans="1:39" x14ac:dyDescent="0.25">
      <c r="A143" t="s">
        <v>74</v>
      </c>
      <c r="B143" t="s">
        <v>66</v>
      </c>
      <c r="C143">
        <v>58.22</v>
      </c>
      <c r="D143">
        <v>544</v>
      </c>
      <c r="E143" t="b">
        <v>1</v>
      </c>
      <c r="F143" t="b">
        <v>0</v>
      </c>
      <c r="G143" t="b">
        <v>1</v>
      </c>
      <c r="H143" t="s">
        <v>34</v>
      </c>
      <c r="I143" t="s">
        <v>57</v>
      </c>
      <c r="J143" t="s">
        <v>50</v>
      </c>
      <c r="K143" t="s">
        <v>46</v>
      </c>
      <c r="L143" t="s">
        <v>37</v>
      </c>
      <c r="M143" t="s">
        <v>39</v>
      </c>
      <c r="O143" t="b">
        <v>0</v>
      </c>
      <c r="P143" t="b">
        <v>0</v>
      </c>
      <c r="Q143">
        <v>5.3</v>
      </c>
      <c r="R143" t="b">
        <v>1</v>
      </c>
      <c r="S143" t="s">
        <v>75</v>
      </c>
      <c r="T143">
        <v>40.799999999999997</v>
      </c>
      <c r="U143">
        <v>41.87</v>
      </c>
      <c r="V143" t="b">
        <v>1</v>
      </c>
      <c r="W143" t="s">
        <v>41</v>
      </c>
      <c r="AE143" t="str">
        <f t="shared" si="14"/>
        <v>No</v>
      </c>
      <c r="AF143" t="str">
        <f t="shared" si="15"/>
        <v>Unknown</v>
      </c>
      <c r="AG143" t="str">
        <f t="shared" si="16"/>
        <v>No</v>
      </c>
      <c r="AH143" t="str">
        <f t="shared" si="17"/>
        <v>Asked Colleague</v>
      </c>
      <c r="AJ143" t="str">
        <f t="shared" si="18"/>
        <v>Moderate Trust</v>
      </c>
      <c r="AL143">
        <f t="shared" si="19"/>
        <v>41.9</v>
      </c>
      <c r="AM143" t="str">
        <f t="shared" si="20"/>
        <v>Professional</v>
      </c>
    </row>
    <row r="144" spans="1:39" x14ac:dyDescent="0.25">
      <c r="A144" t="s">
        <v>32</v>
      </c>
      <c r="B144" t="s">
        <v>33</v>
      </c>
      <c r="C144">
        <v>84.3</v>
      </c>
      <c r="D144">
        <v>207</v>
      </c>
      <c r="E144" t="b">
        <v>0</v>
      </c>
      <c r="F144" t="b">
        <v>1</v>
      </c>
      <c r="G144" t="b">
        <v>1</v>
      </c>
      <c r="H144" t="s">
        <v>53</v>
      </c>
      <c r="I144" t="s">
        <v>57</v>
      </c>
      <c r="J144" t="s">
        <v>54</v>
      </c>
      <c r="K144" t="s">
        <v>37</v>
      </c>
      <c r="L144" t="s">
        <v>37</v>
      </c>
      <c r="M144" t="s">
        <v>47</v>
      </c>
      <c r="N144" t="s">
        <v>28</v>
      </c>
      <c r="O144" t="b">
        <v>1</v>
      </c>
      <c r="P144" t="b">
        <v>0</v>
      </c>
      <c r="Q144">
        <v>7.8</v>
      </c>
      <c r="R144" t="b">
        <v>1</v>
      </c>
      <c r="S144" t="s">
        <v>30</v>
      </c>
      <c r="T144">
        <v>3.1</v>
      </c>
      <c r="U144">
        <v>96.97</v>
      </c>
      <c r="V144" t="b">
        <v>1</v>
      </c>
      <c r="W144" t="s">
        <v>41</v>
      </c>
      <c r="AE144" t="str">
        <f t="shared" si="14"/>
        <v>Yes</v>
      </c>
      <c r="AF144" t="str">
        <f t="shared" si="15"/>
        <v>Low</v>
      </c>
      <c r="AG144" t="str">
        <f t="shared" si="16"/>
        <v>Yes</v>
      </c>
      <c r="AH144" t="str">
        <f t="shared" si="17"/>
        <v>Google Search</v>
      </c>
      <c r="AJ144" t="str">
        <f t="shared" si="18"/>
        <v>Moderate Trust</v>
      </c>
      <c r="AL144">
        <f t="shared" si="19"/>
        <v>97</v>
      </c>
      <c r="AM144" t="str">
        <f t="shared" si="20"/>
        <v>Masters</v>
      </c>
    </row>
    <row r="145" spans="1:39" x14ac:dyDescent="0.25">
      <c r="A145" t="s">
        <v>68</v>
      </c>
      <c r="B145" t="s">
        <v>76</v>
      </c>
      <c r="C145">
        <v>73.61</v>
      </c>
      <c r="D145">
        <v>739</v>
      </c>
      <c r="E145" t="b">
        <v>1</v>
      </c>
      <c r="F145" t="b">
        <v>1</v>
      </c>
      <c r="G145" t="b">
        <v>0</v>
      </c>
      <c r="H145" t="s">
        <v>34</v>
      </c>
      <c r="I145" t="s">
        <v>63</v>
      </c>
      <c r="J145" t="s">
        <v>36</v>
      </c>
      <c r="K145" t="s">
        <v>37</v>
      </c>
      <c r="L145" t="s">
        <v>38</v>
      </c>
      <c r="M145" t="s">
        <v>47</v>
      </c>
      <c r="O145" t="b">
        <v>0</v>
      </c>
      <c r="P145" t="b">
        <v>1</v>
      </c>
      <c r="Q145">
        <v>7.1</v>
      </c>
      <c r="R145" t="b">
        <v>1</v>
      </c>
      <c r="S145" t="s">
        <v>40</v>
      </c>
      <c r="T145">
        <v>6.1</v>
      </c>
      <c r="U145">
        <v>73.239999999999995</v>
      </c>
      <c r="V145" t="b">
        <v>1</v>
      </c>
      <c r="W145" t="s">
        <v>41</v>
      </c>
      <c r="AE145" t="str">
        <f t="shared" si="14"/>
        <v>Yes</v>
      </c>
      <c r="AF145" t="str">
        <f t="shared" si="15"/>
        <v>Unknown</v>
      </c>
      <c r="AG145" t="str">
        <f t="shared" si="16"/>
        <v>No</v>
      </c>
      <c r="AH145" t="str">
        <f t="shared" si="17"/>
        <v>Asked Expert</v>
      </c>
      <c r="AJ145" t="str">
        <f t="shared" si="18"/>
        <v>Moderate Trust</v>
      </c>
      <c r="AL145">
        <f t="shared" si="19"/>
        <v>73.2</v>
      </c>
      <c r="AM145" t="str">
        <f t="shared" si="20"/>
        <v>PhD</v>
      </c>
    </row>
    <row r="146" spans="1:39" x14ac:dyDescent="0.25">
      <c r="A146" t="s">
        <v>61</v>
      </c>
      <c r="B146" t="s">
        <v>24</v>
      </c>
      <c r="C146">
        <v>97.58</v>
      </c>
      <c r="D146">
        <v>420</v>
      </c>
      <c r="E146" t="b">
        <v>1</v>
      </c>
      <c r="F146" t="b">
        <v>1</v>
      </c>
      <c r="G146" t="b">
        <v>0</v>
      </c>
      <c r="H146" t="s">
        <v>43</v>
      </c>
      <c r="I146" t="s">
        <v>26</v>
      </c>
      <c r="J146" t="s">
        <v>36</v>
      </c>
      <c r="K146" t="s">
        <v>46</v>
      </c>
      <c r="L146" t="s">
        <v>29</v>
      </c>
      <c r="M146" t="s">
        <v>47</v>
      </c>
      <c r="N146" t="s">
        <v>28</v>
      </c>
      <c r="O146" t="b">
        <v>1</v>
      </c>
      <c r="P146" t="b">
        <v>1</v>
      </c>
      <c r="Q146">
        <v>10</v>
      </c>
      <c r="R146" t="b">
        <v>0</v>
      </c>
      <c r="T146">
        <v>0</v>
      </c>
      <c r="U146">
        <v>94.03</v>
      </c>
      <c r="V146" t="b">
        <v>1</v>
      </c>
      <c r="W146" t="s">
        <v>58</v>
      </c>
      <c r="AE146" t="str">
        <f t="shared" si="14"/>
        <v>Yes</v>
      </c>
      <c r="AF146" t="str">
        <f t="shared" si="15"/>
        <v>Low</v>
      </c>
      <c r="AG146" t="str">
        <f t="shared" si="16"/>
        <v>Yes</v>
      </c>
      <c r="AH146" t="str">
        <f t="shared" si="17"/>
        <v>Unknown</v>
      </c>
      <c r="AJ146" t="str">
        <f t="shared" si="18"/>
        <v>High Trust</v>
      </c>
      <c r="AL146">
        <f t="shared" si="19"/>
        <v>94</v>
      </c>
      <c r="AM146" t="str">
        <f t="shared" si="20"/>
        <v>PhD</v>
      </c>
    </row>
    <row r="147" spans="1:39" x14ac:dyDescent="0.25">
      <c r="A147" t="s">
        <v>68</v>
      </c>
      <c r="B147" t="s">
        <v>42</v>
      </c>
      <c r="C147">
        <v>81.36</v>
      </c>
      <c r="D147">
        <v>64</v>
      </c>
      <c r="E147" t="b">
        <v>1</v>
      </c>
      <c r="F147" t="b">
        <v>0</v>
      </c>
      <c r="G147" t="b">
        <v>1</v>
      </c>
      <c r="H147" t="s">
        <v>25</v>
      </c>
      <c r="I147" t="s">
        <v>57</v>
      </c>
      <c r="J147" t="s">
        <v>45</v>
      </c>
      <c r="K147" t="s">
        <v>46</v>
      </c>
      <c r="L147" t="s">
        <v>51</v>
      </c>
      <c r="M147" t="s">
        <v>46</v>
      </c>
      <c r="O147" t="b">
        <v>0</v>
      </c>
      <c r="P147" t="b">
        <v>1</v>
      </c>
      <c r="Q147">
        <v>8.6999999999999993</v>
      </c>
      <c r="R147" t="b">
        <v>0</v>
      </c>
      <c r="T147">
        <v>0</v>
      </c>
      <c r="U147">
        <v>78.41</v>
      </c>
      <c r="V147" t="b">
        <v>1</v>
      </c>
      <c r="W147" t="s">
        <v>58</v>
      </c>
      <c r="AE147" t="str">
        <f t="shared" si="14"/>
        <v>No</v>
      </c>
      <c r="AF147" t="str">
        <f t="shared" si="15"/>
        <v>Unknown</v>
      </c>
      <c r="AG147" t="str">
        <f t="shared" si="16"/>
        <v>No</v>
      </c>
      <c r="AH147" t="str">
        <f t="shared" si="17"/>
        <v>Unknown</v>
      </c>
      <c r="AJ147" t="str">
        <f t="shared" si="18"/>
        <v>High Trust</v>
      </c>
      <c r="AL147">
        <f t="shared" si="19"/>
        <v>78.400000000000006</v>
      </c>
      <c r="AM147" t="str">
        <f t="shared" si="20"/>
        <v>High School</v>
      </c>
    </row>
    <row r="148" spans="1:39" x14ac:dyDescent="0.25">
      <c r="A148" t="s">
        <v>56</v>
      </c>
      <c r="B148" t="s">
        <v>24</v>
      </c>
      <c r="C148">
        <v>92.45</v>
      </c>
      <c r="D148">
        <v>519</v>
      </c>
      <c r="E148" t="b">
        <v>1</v>
      </c>
      <c r="F148" t="b">
        <v>0</v>
      </c>
      <c r="G148" t="b">
        <v>0</v>
      </c>
      <c r="H148" t="s">
        <v>53</v>
      </c>
      <c r="I148" t="s">
        <v>57</v>
      </c>
      <c r="J148" t="s">
        <v>54</v>
      </c>
      <c r="K148" t="s">
        <v>39</v>
      </c>
      <c r="L148" t="s">
        <v>51</v>
      </c>
      <c r="M148" t="s">
        <v>28</v>
      </c>
      <c r="N148" t="s">
        <v>39</v>
      </c>
      <c r="P148" t="b">
        <v>1</v>
      </c>
      <c r="Q148">
        <v>10</v>
      </c>
      <c r="R148" t="b">
        <v>0</v>
      </c>
      <c r="T148">
        <v>0</v>
      </c>
      <c r="U148">
        <v>79.89</v>
      </c>
      <c r="V148" t="b">
        <v>0</v>
      </c>
      <c r="W148" t="s">
        <v>58</v>
      </c>
      <c r="AE148" t="str">
        <f t="shared" si="14"/>
        <v>No</v>
      </c>
      <c r="AF148" t="str">
        <f t="shared" si="15"/>
        <v>High</v>
      </c>
      <c r="AG148" t="str">
        <f t="shared" si="16"/>
        <v>No</v>
      </c>
      <c r="AH148" t="str">
        <f t="shared" si="17"/>
        <v>Unknown</v>
      </c>
      <c r="AJ148" t="str">
        <f t="shared" si="18"/>
        <v>High Trust</v>
      </c>
      <c r="AL148">
        <f t="shared" si="19"/>
        <v>79.900000000000006</v>
      </c>
      <c r="AM148" t="str">
        <f t="shared" si="20"/>
        <v>Masters</v>
      </c>
    </row>
    <row r="149" spans="1:39" x14ac:dyDescent="0.25">
      <c r="A149" t="s">
        <v>56</v>
      </c>
      <c r="B149" t="s">
        <v>73</v>
      </c>
      <c r="C149">
        <v>57.5</v>
      </c>
      <c r="D149">
        <v>662</v>
      </c>
      <c r="E149" t="b">
        <v>0</v>
      </c>
      <c r="F149" t="b">
        <v>0</v>
      </c>
      <c r="G149" t="b">
        <v>0</v>
      </c>
      <c r="H149" t="s">
        <v>25</v>
      </c>
      <c r="I149" t="s">
        <v>44</v>
      </c>
      <c r="J149" t="s">
        <v>50</v>
      </c>
      <c r="K149" t="s">
        <v>37</v>
      </c>
      <c r="L149" t="s">
        <v>38</v>
      </c>
      <c r="M149" t="s">
        <v>28</v>
      </c>
      <c r="N149" t="s">
        <v>39</v>
      </c>
      <c r="O149" t="b">
        <v>1</v>
      </c>
      <c r="P149" t="b">
        <v>0</v>
      </c>
      <c r="Q149">
        <v>8</v>
      </c>
      <c r="R149" t="b">
        <v>1</v>
      </c>
      <c r="S149" t="s">
        <v>65</v>
      </c>
      <c r="T149">
        <v>31.3</v>
      </c>
      <c r="U149">
        <v>66.09</v>
      </c>
      <c r="V149" t="b">
        <v>1</v>
      </c>
      <c r="W149" t="s">
        <v>31</v>
      </c>
      <c r="AE149" t="str">
        <f t="shared" si="14"/>
        <v>No</v>
      </c>
      <c r="AF149" t="str">
        <f t="shared" si="15"/>
        <v>High</v>
      </c>
      <c r="AG149" t="str">
        <f t="shared" si="16"/>
        <v>Yes</v>
      </c>
      <c r="AH149" t="str">
        <f t="shared" si="17"/>
        <v>Cross-referenced Multiple AIs</v>
      </c>
      <c r="AJ149" t="str">
        <f t="shared" si="18"/>
        <v>High Trust</v>
      </c>
      <c r="AL149">
        <f t="shared" si="19"/>
        <v>66.099999999999994</v>
      </c>
      <c r="AM149" t="str">
        <f t="shared" si="20"/>
        <v>Professional</v>
      </c>
    </row>
    <row r="150" spans="1:39" x14ac:dyDescent="0.25">
      <c r="A150" t="s">
        <v>56</v>
      </c>
      <c r="B150" t="s">
        <v>76</v>
      </c>
      <c r="C150">
        <v>70.45</v>
      </c>
      <c r="D150">
        <v>797</v>
      </c>
      <c r="E150" t="b">
        <v>1</v>
      </c>
      <c r="F150" t="b">
        <v>0</v>
      </c>
      <c r="G150" t="b">
        <v>1</v>
      </c>
      <c r="H150" t="s">
        <v>25</v>
      </c>
      <c r="I150" t="s">
        <v>35</v>
      </c>
      <c r="J150" t="s">
        <v>45</v>
      </c>
      <c r="K150" t="s">
        <v>28</v>
      </c>
      <c r="L150" t="s">
        <v>69</v>
      </c>
      <c r="M150" t="s">
        <v>39</v>
      </c>
      <c r="O150" t="b">
        <v>1</v>
      </c>
      <c r="P150" t="b">
        <v>1</v>
      </c>
      <c r="Q150">
        <v>10</v>
      </c>
      <c r="R150" t="b">
        <v>1</v>
      </c>
      <c r="S150" t="s">
        <v>64</v>
      </c>
      <c r="T150">
        <v>16.600000000000001</v>
      </c>
      <c r="U150">
        <v>83.19</v>
      </c>
      <c r="V150" t="b">
        <v>1</v>
      </c>
      <c r="W150" t="s">
        <v>31</v>
      </c>
      <c r="AE150" t="str">
        <f t="shared" si="14"/>
        <v>No</v>
      </c>
      <c r="AF150" t="str">
        <f t="shared" si="15"/>
        <v>Unknown</v>
      </c>
      <c r="AG150" t="str">
        <f t="shared" si="16"/>
        <v>Yes</v>
      </c>
      <c r="AH150" t="str">
        <f t="shared" si="17"/>
        <v>Personal Testing</v>
      </c>
      <c r="AJ150" t="str">
        <f t="shared" si="18"/>
        <v>High Trust</v>
      </c>
      <c r="AL150">
        <f t="shared" si="19"/>
        <v>83.2</v>
      </c>
      <c r="AM150" t="str">
        <f t="shared" si="20"/>
        <v>High School</v>
      </c>
    </row>
    <row r="151" spans="1:39" x14ac:dyDescent="0.25">
      <c r="A151" t="s">
        <v>68</v>
      </c>
      <c r="B151" t="s">
        <v>24</v>
      </c>
      <c r="C151">
        <v>86.5</v>
      </c>
      <c r="D151">
        <v>263</v>
      </c>
      <c r="E151" t="b">
        <v>1</v>
      </c>
      <c r="F151" t="b">
        <v>1</v>
      </c>
      <c r="G151" t="b">
        <v>0</v>
      </c>
      <c r="H151" t="s">
        <v>53</v>
      </c>
      <c r="I151" t="s">
        <v>35</v>
      </c>
      <c r="J151" t="s">
        <v>45</v>
      </c>
      <c r="K151" t="s">
        <v>37</v>
      </c>
      <c r="L151" t="s">
        <v>38</v>
      </c>
      <c r="M151" t="s">
        <v>39</v>
      </c>
      <c r="N151" t="s">
        <v>39</v>
      </c>
      <c r="O151" t="b">
        <v>1</v>
      </c>
      <c r="P151" t="b">
        <v>1</v>
      </c>
      <c r="Q151">
        <v>10</v>
      </c>
      <c r="R151" t="b">
        <v>1</v>
      </c>
      <c r="S151" t="s">
        <v>75</v>
      </c>
      <c r="T151">
        <v>21.8</v>
      </c>
      <c r="U151">
        <v>77.239999999999995</v>
      </c>
      <c r="V151" t="b">
        <v>0</v>
      </c>
      <c r="W151" t="s">
        <v>31</v>
      </c>
      <c r="AE151" t="str">
        <f t="shared" si="14"/>
        <v>Yes</v>
      </c>
      <c r="AF151" t="str">
        <f t="shared" si="15"/>
        <v>High</v>
      </c>
      <c r="AG151" t="str">
        <f t="shared" si="16"/>
        <v>Yes</v>
      </c>
      <c r="AH151" t="str">
        <f t="shared" si="17"/>
        <v>Asked Colleague</v>
      </c>
      <c r="AJ151" t="str">
        <f t="shared" si="18"/>
        <v>High Trust</v>
      </c>
      <c r="AL151">
        <f t="shared" si="19"/>
        <v>77.2</v>
      </c>
      <c r="AM151" t="str">
        <f t="shared" si="20"/>
        <v>High School</v>
      </c>
    </row>
    <row r="152" spans="1:39" x14ac:dyDescent="0.25">
      <c r="A152" t="s">
        <v>68</v>
      </c>
      <c r="B152" t="s">
        <v>60</v>
      </c>
      <c r="C152">
        <v>44.51</v>
      </c>
      <c r="D152">
        <v>536</v>
      </c>
      <c r="E152" t="b">
        <v>1</v>
      </c>
      <c r="F152" t="b">
        <v>1</v>
      </c>
      <c r="G152" t="b">
        <v>0</v>
      </c>
      <c r="H152" t="s">
        <v>34</v>
      </c>
      <c r="I152" t="s">
        <v>44</v>
      </c>
      <c r="J152" t="s">
        <v>54</v>
      </c>
      <c r="K152" t="s">
        <v>39</v>
      </c>
      <c r="L152" t="s">
        <v>38</v>
      </c>
      <c r="M152" t="s">
        <v>46</v>
      </c>
      <c r="N152" t="s">
        <v>46</v>
      </c>
      <c r="O152" t="b">
        <v>1</v>
      </c>
      <c r="P152" t="b">
        <v>0</v>
      </c>
      <c r="Q152">
        <v>7.2</v>
      </c>
      <c r="R152" t="b">
        <v>1</v>
      </c>
      <c r="S152" t="s">
        <v>40</v>
      </c>
      <c r="T152">
        <v>9.8000000000000007</v>
      </c>
      <c r="U152">
        <v>45.19</v>
      </c>
      <c r="V152" t="b">
        <v>0</v>
      </c>
      <c r="W152" t="s">
        <v>41</v>
      </c>
      <c r="AE152" t="str">
        <f t="shared" si="14"/>
        <v>Yes</v>
      </c>
      <c r="AF152" t="str">
        <f t="shared" si="15"/>
        <v>Medium</v>
      </c>
      <c r="AG152" t="str">
        <f t="shared" si="16"/>
        <v>Yes</v>
      </c>
      <c r="AH152" t="str">
        <f t="shared" si="17"/>
        <v>Asked Expert</v>
      </c>
      <c r="AJ152" t="str">
        <f t="shared" si="18"/>
        <v>Moderate Trust</v>
      </c>
      <c r="AL152">
        <f t="shared" si="19"/>
        <v>45.2</v>
      </c>
      <c r="AM152" t="str">
        <f t="shared" si="20"/>
        <v>Masters</v>
      </c>
    </row>
    <row r="153" spans="1:39" x14ac:dyDescent="0.25">
      <c r="A153" t="s">
        <v>61</v>
      </c>
      <c r="B153" t="s">
        <v>33</v>
      </c>
      <c r="C153">
        <v>79.67</v>
      </c>
      <c r="D153">
        <v>326</v>
      </c>
      <c r="E153" t="b">
        <v>0</v>
      </c>
      <c r="F153" t="b">
        <v>0</v>
      </c>
      <c r="G153" t="b">
        <v>0</v>
      </c>
      <c r="H153" t="s">
        <v>43</v>
      </c>
      <c r="I153" t="s">
        <v>26</v>
      </c>
      <c r="J153" t="s">
        <v>27</v>
      </c>
      <c r="K153" t="s">
        <v>46</v>
      </c>
      <c r="L153" t="s">
        <v>51</v>
      </c>
      <c r="M153" t="s">
        <v>28</v>
      </c>
      <c r="N153" t="s">
        <v>39</v>
      </c>
      <c r="O153" t="b">
        <v>0</v>
      </c>
      <c r="P153" t="b">
        <v>0</v>
      </c>
      <c r="Q153">
        <v>8.4</v>
      </c>
      <c r="R153" t="b">
        <v>1</v>
      </c>
      <c r="S153" t="s">
        <v>30</v>
      </c>
      <c r="T153">
        <v>16.100000000000001</v>
      </c>
      <c r="U153">
        <v>64.959999999999994</v>
      </c>
      <c r="V153" t="b">
        <v>1</v>
      </c>
      <c r="W153" t="s">
        <v>31</v>
      </c>
      <c r="AE153" t="str">
        <f t="shared" si="14"/>
        <v>No</v>
      </c>
      <c r="AF153" t="str">
        <f t="shared" si="15"/>
        <v>High</v>
      </c>
      <c r="AG153" t="str">
        <f t="shared" si="16"/>
        <v>No</v>
      </c>
      <c r="AH153" t="str">
        <f t="shared" si="17"/>
        <v>Google Search</v>
      </c>
      <c r="AJ153" t="str">
        <f t="shared" si="18"/>
        <v>High Trust</v>
      </c>
      <c r="AL153">
        <f t="shared" si="19"/>
        <v>65</v>
      </c>
      <c r="AM153" t="str">
        <f t="shared" si="20"/>
        <v>Bachelors</v>
      </c>
    </row>
    <row r="154" spans="1:39" x14ac:dyDescent="0.25">
      <c r="A154" t="s">
        <v>32</v>
      </c>
      <c r="B154" t="s">
        <v>73</v>
      </c>
      <c r="C154">
        <v>47.3</v>
      </c>
      <c r="D154">
        <v>797</v>
      </c>
      <c r="E154" t="b">
        <v>1</v>
      </c>
      <c r="F154" t="b">
        <v>1</v>
      </c>
      <c r="G154" t="b">
        <v>1</v>
      </c>
      <c r="H154" t="s">
        <v>34</v>
      </c>
      <c r="I154" t="s">
        <v>63</v>
      </c>
      <c r="J154" t="s">
        <v>54</v>
      </c>
      <c r="K154" t="s">
        <v>46</v>
      </c>
      <c r="L154" t="s">
        <v>37</v>
      </c>
      <c r="M154" t="s">
        <v>47</v>
      </c>
      <c r="O154" t="b">
        <v>0</v>
      </c>
      <c r="P154" t="b">
        <v>1</v>
      </c>
      <c r="Q154">
        <v>2.8</v>
      </c>
      <c r="R154" t="b">
        <v>1</v>
      </c>
      <c r="S154" t="s">
        <v>52</v>
      </c>
      <c r="T154">
        <v>23</v>
      </c>
      <c r="U154">
        <v>41.65</v>
      </c>
      <c r="V154" t="b">
        <v>1</v>
      </c>
      <c r="W154" t="s">
        <v>72</v>
      </c>
      <c r="AE154" t="str">
        <f t="shared" si="14"/>
        <v>Yes</v>
      </c>
      <c r="AF154" t="str">
        <f t="shared" si="15"/>
        <v>Unknown</v>
      </c>
      <c r="AG154" t="str">
        <f t="shared" si="16"/>
        <v>No</v>
      </c>
      <c r="AH154" t="str">
        <f t="shared" si="17"/>
        <v>Checked Official Source</v>
      </c>
      <c r="AJ154" t="str">
        <f t="shared" si="18"/>
        <v>Moderate Trust</v>
      </c>
      <c r="AL154">
        <f t="shared" si="19"/>
        <v>41.7</v>
      </c>
      <c r="AM154" t="str">
        <f t="shared" si="20"/>
        <v>Masters</v>
      </c>
    </row>
    <row r="155" spans="1:39" x14ac:dyDescent="0.25">
      <c r="A155" t="s">
        <v>23</v>
      </c>
      <c r="B155" t="s">
        <v>73</v>
      </c>
      <c r="C155">
        <v>50.96</v>
      </c>
      <c r="D155">
        <v>366</v>
      </c>
      <c r="E155" t="b">
        <v>1</v>
      </c>
      <c r="F155" t="b">
        <v>1</v>
      </c>
      <c r="G155" t="b">
        <v>1</v>
      </c>
      <c r="H155" t="s">
        <v>34</v>
      </c>
      <c r="I155" t="s">
        <v>44</v>
      </c>
      <c r="J155" t="s">
        <v>54</v>
      </c>
      <c r="K155" t="s">
        <v>28</v>
      </c>
      <c r="L155" t="s">
        <v>69</v>
      </c>
      <c r="M155" t="s">
        <v>47</v>
      </c>
      <c r="N155" t="s">
        <v>28</v>
      </c>
      <c r="O155" t="b">
        <v>1</v>
      </c>
      <c r="P155" t="b">
        <v>1</v>
      </c>
      <c r="Q155">
        <v>7.9</v>
      </c>
      <c r="R155" t="b">
        <v>1</v>
      </c>
      <c r="S155" t="s">
        <v>48</v>
      </c>
      <c r="T155">
        <v>27.7</v>
      </c>
      <c r="U155">
        <v>59.56</v>
      </c>
      <c r="V155" t="b">
        <v>1</v>
      </c>
      <c r="W155" t="s">
        <v>41</v>
      </c>
      <c r="AE155" t="str">
        <f t="shared" si="14"/>
        <v>Yes</v>
      </c>
      <c r="AF155" t="str">
        <f t="shared" si="15"/>
        <v>Low</v>
      </c>
      <c r="AG155" t="str">
        <f t="shared" si="16"/>
        <v>Yes</v>
      </c>
      <c r="AH155" t="str">
        <f t="shared" si="17"/>
        <v>Consulted Documentation</v>
      </c>
      <c r="AJ155" t="str">
        <f t="shared" si="18"/>
        <v>Moderate Trust</v>
      </c>
      <c r="AL155">
        <f t="shared" si="19"/>
        <v>59.6</v>
      </c>
      <c r="AM155" t="str">
        <f t="shared" si="20"/>
        <v>Masters</v>
      </c>
    </row>
    <row r="156" spans="1:39" x14ac:dyDescent="0.25">
      <c r="A156" t="s">
        <v>23</v>
      </c>
      <c r="B156" t="s">
        <v>49</v>
      </c>
      <c r="C156">
        <v>61.4</v>
      </c>
      <c r="D156">
        <v>799</v>
      </c>
      <c r="E156" t="b">
        <v>0</v>
      </c>
      <c r="F156" t="b">
        <v>0</v>
      </c>
      <c r="G156" t="b">
        <v>0</v>
      </c>
      <c r="H156" t="s">
        <v>34</v>
      </c>
      <c r="I156" t="s">
        <v>57</v>
      </c>
      <c r="J156" t="s">
        <v>36</v>
      </c>
      <c r="K156" t="s">
        <v>28</v>
      </c>
      <c r="L156" t="s">
        <v>37</v>
      </c>
      <c r="M156" t="s">
        <v>46</v>
      </c>
      <c r="P156" t="b">
        <v>1</v>
      </c>
      <c r="Q156">
        <v>6.5</v>
      </c>
      <c r="R156" t="b">
        <v>1</v>
      </c>
      <c r="S156" t="s">
        <v>65</v>
      </c>
      <c r="T156">
        <v>39.299999999999997</v>
      </c>
      <c r="U156">
        <v>67.11</v>
      </c>
      <c r="V156" t="b">
        <v>1</v>
      </c>
      <c r="W156" t="s">
        <v>41</v>
      </c>
      <c r="AE156" t="str">
        <f t="shared" si="14"/>
        <v>No</v>
      </c>
      <c r="AF156" t="str">
        <f t="shared" si="15"/>
        <v>Unknown</v>
      </c>
      <c r="AG156" t="str">
        <f t="shared" si="16"/>
        <v>No</v>
      </c>
      <c r="AH156" t="str">
        <f t="shared" si="17"/>
        <v>Cross-referenced Multiple AIs</v>
      </c>
      <c r="AJ156" t="str">
        <f t="shared" si="18"/>
        <v>Moderate Trust</v>
      </c>
      <c r="AL156">
        <f t="shared" si="19"/>
        <v>67.099999999999994</v>
      </c>
      <c r="AM156" t="str">
        <f t="shared" si="20"/>
        <v>PhD</v>
      </c>
    </row>
    <row r="157" spans="1:39" x14ac:dyDescent="0.25">
      <c r="A157" t="s">
        <v>74</v>
      </c>
      <c r="B157" t="s">
        <v>66</v>
      </c>
      <c r="C157">
        <v>72.95</v>
      </c>
      <c r="D157">
        <v>183</v>
      </c>
      <c r="E157" t="b">
        <v>0</v>
      </c>
      <c r="F157" t="b">
        <v>0</v>
      </c>
      <c r="G157" t="b">
        <v>0</v>
      </c>
      <c r="H157" t="s">
        <v>34</v>
      </c>
      <c r="I157" t="s">
        <v>26</v>
      </c>
      <c r="J157" t="s">
        <v>27</v>
      </c>
      <c r="K157" t="s">
        <v>39</v>
      </c>
      <c r="L157" t="s">
        <v>69</v>
      </c>
      <c r="M157" t="s">
        <v>39</v>
      </c>
      <c r="N157" t="s">
        <v>28</v>
      </c>
      <c r="O157" t="b">
        <v>1</v>
      </c>
      <c r="P157" t="b">
        <v>1</v>
      </c>
      <c r="Q157">
        <v>8.9</v>
      </c>
      <c r="R157" t="b">
        <v>1</v>
      </c>
      <c r="S157" t="s">
        <v>30</v>
      </c>
      <c r="T157">
        <v>42.7</v>
      </c>
      <c r="U157">
        <v>48.76</v>
      </c>
      <c r="V157" t="b">
        <v>0</v>
      </c>
      <c r="W157" t="s">
        <v>31</v>
      </c>
      <c r="AE157" t="str">
        <f t="shared" si="14"/>
        <v>No</v>
      </c>
      <c r="AF157" t="str">
        <f t="shared" si="15"/>
        <v>Low</v>
      </c>
      <c r="AG157" t="str">
        <f t="shared" si="16"/>
        <v>Yes</v>
      </c>
      <c r="AH157" t="str">
        <f t="shared" si="17"/>
        <v>Google Search</v>
      </c>
      <c r="AJ157" t="str">
        <f t="shared" si="18"/>
        <v>High Trust</v>
      </c>
      <c r="AL157">
        <f t="shared" si="19"/>
        <v>48.8</v>
      </c>
      <c r="AM157" t="str">
        <f t="shared" si="20"/>
        <v>Bachelors</v>
      </c>
    </row>
    <row r="158" spans="1:39" x14ac:dyDescent="0.25">
      <c r="A158" t="s">
        <v>23</v>
      </c>
      <c r="B158" t="s">
        <v>71</v>
      </c>
      <c r="C158">
        <v>48.1</v>
      </c>
      <c r="D158">
        <v>368</v>
      </c>
      <c r="E158" t="b">
        <v>1</v>
      </c>
      <c r="F158" t="b">
        <v>1</v>
      </c>
      <c r="G158" t="b">
        <v>1</v>
      </c>
      <c r="H158" t="s">
        <v>34</v>
      </c>
      <c r="I158" t="s">
        <v>44</v>
      </c>
      <c r="J158" t="s">
        <v>54</v>
      </c>
      <c r="K158" t="s">
        <v>39</v>
      </c>
      <c r="L158" t="s">
        <v>37</v>
      </c>
      <c r="M158" t="s">
        <v>28</v>
      </c>
      <c r="N158" t="s">
        <v>39</v>
      </c>
      <c r="O158" t="b">
        <v>0</v>
      </c>
      <c r="P158" t="b">
        <v>0</v>
      </c>
      <c r="Q158">
        <v>5.2</v>
      </c>
      <c r="R158" t="b">
        <v>0</v>
      </c>
      <c r="T158">
        <v>0</v>
      </c>
      <c r="U158">
        <v>39.85</v>
      </c>
      <c r="V158" t="b">
        <v>1</v>
      </c>
      <c r="W158" t="s">
        <v>41</v>
      </c>
      <c r="AE158" t="str">
        <f t="shared" si="14"/>
        <v>Yes</v>
      </c>
      <c r="AF158" t="str">
        <f t="shared" si="15"/>
        <v>High</v>
      </c>
      <c r="AG158" t="str">
        <f t="shared" si="16"/>
        <v>No</v>
      </c>
      <c r="AH158" t="str">
        <f t="shared" si="17"/>
        <v>Unknown</v>
      </c>
      <c r="AJ158" t="str">
        <f t="shared" si="18"/>
        <v>Moderate Trust</v>
      </c>
      <c r="AL158">
        <f t="shared" si="19"/>
        <v>39.9</v>
      </c>
      <c r="AM158" t="str">
        <f t="shared" si="20"/>
        <v>Masters</v>
      </c>
    </row>
    <row r="159" spans="1:39" x14ac:dyDescent="0.25">
      <c r="A159" t="s">
        <v>74</v>
      </c>
      <c r="B159" t="s">
        <v>73</v>
      </c>
      <c r="C159">
        <v>63.12</v>
      </c>
      <c r="D159">
        <v>668</v>
      </c>
      <c r="E159" t="b">
        <v>1</v>
      </c>
      <c r="F159" t="b">
        <v>0</v>
      </c>
      <c r="G159" t="b">
        <v>0</v>
      </c>
      <c r="H159" t="s">
        <v>34</v>
      </c>
      <c r="I159" t="s">
        <v>26</v>
      </c>
      <c r="J159" t="s">
        <v>27</v>
      </c>
      <c r="K159" t="s">
        <v>28</v>
      </c>
      <c r="L159" t="s">
        <v>29</v>
      </c>
      <c r="M159" t="s">
        <v>47</v>
      </c>
      <c r="O159" t="b">
        <v>1</v>
      </c>
      <c r="P159" t="b">
        <v>0</v>
      </c>
      <c r="Q159">
        <v>8.1999999999999993</v>
      </c>
      <c r="R159" t="b">
        <v>1</v>
      </c>
      <c r="S159" t="s">
        <v>75</v>
      </c>
      <c r="T159">
        <v>38.5</v>
      </c>
      <c r="U159">
        <v>57.93</v>
      </c>
      <c r="V159" t="b">
        <v>0</v>
      </c>
      <c r="W159" t="s">
        <v>31</v>
      </c>
      <c r="AE159" t="str">
        <f t="shared" si="14"/>
        <v>No</v>
      </c>
      <c r="AF159" t="str">
        <f t="shared" si="15"/>
        <v>Unknown</v>
      </c>
      <c r="AG159" t="str">
        <f t="shared" si="16"/>
        <v>Yes</v>
      </c>
      <c r="AH159" t="str">
        <f t="shared" si="17"/>
        <v>Asked Colleague</v>
      </c>
      <c r="AJ159" t="str">
        <f t="shared" si="18"/>
        <v>High Trust</v>
      </c>
      <c r="AL159">
        <f t="shared" si="19"/>
        <v>57.9</v>
      </c>
      <c r="AM159" t="str">
        <f t="shared" si="20"/>
        <v>Bachelors</v>
      </c>
    </row>
    <row r="160" spans="1:39" x14ac:dyDescent="0.25">
      <c r="A160" t="s">
        <v>32</v>
      </c>
      <c r="B160" t="s">
        <v>24</v>
      </c>
      <c r="C160">
        <v>86.22</v>
      </c>
      <c r="D160">
        <v>428</v>
      </c>
      <c r="E160" t="b">
        <v>1</v>
      </c>
      <c r="F160" t="b">
        <v>0</v>
      </c>
      <c r="G160" t="b">
        <v>0</v>
      </c>
      <c r="H160" t="s">
        <v>34</v>
      </c>
      <c r="I160" t="s">
        <v>63</v>
      </c>
      <c r="J160" t="s">
        <v>54</v>
      </c>
      <c r="K160" t="s">
        <v>39</v>
      </c>
      <c r="L160" t="s">
        <v>37</v>
      </c>
      <c r="M160" t="s">
        <v>39</v>
      </c>
      <c r="N160" t="s">
        <v>46</v>
      </c>
      <c r="P160" t="b">
        <v>0</v>
      </c>
      <c r="Q160">
        <v>9.4</v>
      </c>
      <c r="R160" t="b">
        <v>0</v>
      </c>
      <c r="T160">
        <v>0</v>
      </c>
      <c r="U160">
        <v>78.88</v>
      </c>
      <c r="V160" t="b">
        <v>1</v>
      </c>
      <c r="W160" t="s">
        <v>58</v>
      </c>
      <c r="AE160" t="str">
        <f t="shared" si="14"/>
        <v>No</v>
      </c>
      <c r="AF160" t="str">
        <f t="shared" si="15"/>
        <v>Medium</v>
      </c>
      <c r="AG160" t="str">
        <f t="shared" si="16"/>
        <v>No</v>
      </c>
      <c r="AH160" t="str">
        <f t="shared" si="17"/>
        <v>Unknown</v>
      </c>
      <c r="AJ160" t="str">
        <f t="shared" si="18"/>
        <v>High Trust</v>
      </c>
      <c r="AL160">
        <f t="shared" si="19"/>
        <v>78.900000000000006</v>
      </c>
      <c r="AM160" t="str">
        <f t="shared" si="20"/>
        <v>Masters</v>
      </c>
    </row>
    <row r="161" spans="1:39" x14ac:dyDescent="0.25">
      <c r="A161" t="s">
        <v>56</v>
      </c>
      <c r="B161" t="s">
        <v>71</v>
      </c>
      <c r="C161">
        <v>42.98</v>
      </c>
      <c r="D161">
        <v>508</v>
      </c>
      <c r="E161" t="b">
        <v>1</v>
      </c>
      <c r="F161" t="b">
        <v>0</v>
      </c>
      <c r="G161" t="b">
        <v>1</v>
      </c>
      <c r="H161" t="s">
        <v>34</v>
      </c>
      <c r="I161" t="s">
        <v>67</v>
      </c>
      <c r="J161" t="s">
        <v>27</v>
      </c>
      <c r="K161" t="s">
        <v>28</v>
      </c>
      <c r="L161" t="s">
        <v>38</v>
      </c>
      <c r="M161" t="s">
        <v>46</v>
      </c>
      <c r="P161" t="b">
        <v>1</v>
      </c>
      <c r="Q161">
        <v>7.4</v>
      </c>
      <c r="R161" t="b">
        <v>1</v>
      </c>
      <c r="S161" t="s">
        <v>65</v>
      </c>
      <c r="T161">
        <v>20.3</v>
      </c>
      <c r="U161">
        <v>30.59</v>
      </c>
      <c r="V161" t="b">
        <v>0</v>
      </c>
      <c r="W161" t="s">
        <v>41</v>
      </c>
      <c r="AE161" t="str">
        <f t="shared" si="14"/>
        <v>No</v>
      </c>
      <c r="AF161" t="str">
        <f t="shared" si="15"/>
        <v>Unknown</v>
      </c>
      <c r="AG161" t="str">
        <f t="shared" si="16"/>
        <v>No</v>
      </c>
      <c r="AH161" t="str">
        <f t="shared" si="17"/>
        <v>Cross-referenced Multiple AIs</v>
      </c>
      <c r="AJ161" t="str">
        <f t="shared" si="18"/>
        <v>Low Trust</v>
      </c>
      <c r="AL161">
        <f t="shared" si="19"/>
        <v>30.6</v>
      </c>
      <c r="AM161" t="str">
        <f t="shared" si="20"/>
        <v>Bachelors</v>
      </c>
    </row>
    <row r="162" spans="1:39" x14ac:dyDescent="0.25">
      <c r="A162" t="s">
        <v>68</v>
      </c>
      <c r="B162" t="s">
        <v>71</v>
      </c>
      <c r="C162">
        <v>56.67</v>
      </c>
      <c r="D162">
        <v>650</v>
      </c>
      <c r="E162" t="b">
        <v>1</v>
      </c>
      <c r="F162" t="b">
        <v>1</v>
      </c>
      <c r="G162" t="b">
        <v>0</v>
      </c>
      <c r="H162" t="s">
        <v>43</v>
      </c>
      <c r="I162" t="s">
        <v>57</v>
      </c>
      <c r="J162" t="s">
        <v>50</v>
      </c>
      <c r="K162" t="s">
        <v>39</v>
      </c>
      <c r="L162" t="s">
        <v>29</v>
      </c>
      <c r="M162" t="s">
        <v>47</v>
      </c>
      <c r="N162" t="s">
        <v>28</v>
      </c>
      <c r="O162" t="b">
        <v>0</v>
      </c>
      <c r="P162" t="b">
        <v>1</v>
      </c>
      <c r="Q162">
        <v>4.5999999999999996</v>
      </c>
      <c r="R162" t="b">
        <v>1</v>
      </c>
      <c r="S162" t="s">
        <v>65</v>
      </c>
      <c r="T162">
        <v>10.199999999999999</v>
      </c>
      <c r="U162">
        <v>33.65</v>
      </c>
      <c r="V162" t="b">
        <v>1</v>
      </c>
      <c r="W162" t="s">
        <v>72</v>
      </c>
      <c r="AE162" t="str">
        <f t="shared" si="14"/>
        <v>Yes</v>
      </c>
      <c r="AF162" t="str">
        <f t="shared" si="15"/>
        <v>Low</v>
      </c>
      <c r="AG162" t="str">
        <f t="shared" si="16"/>
        <v>No</v>
      </c>
      <c r="AH162" t="str">
        <f t="shared" si="17"/>
        <v>Cross-referenced Multiple AIs</v>
      </c>
      <c r="AJ162" t="str">
        <f t="shared" si="18"/>
        <v>Moderate Trust</v>
      </c>
      <c r="AL162">
        <f t="shared" si="19"/>
        <v>33.700000000000003</v>
      </c>
      <c r="AM162" t="str">
        <f t="shared" si="20"/>
        <v>Professional</v>
      </c>
    </row>
    <row r="163" spans="1:39" x14ac:dyDescent="0.25">
      <c r="A163" t="s">
        <v>74</v>
      </c>
      <c r="B163" t="s">
        <v>24</v>
      </c>
      <c r="C163">
        <v>91.07</v>
      </c>
      <c r="D163">
        <v>193</v>
      </c>
      <c r="E163" t="b">
        <v>1</v>
      </c>
      <c r="F163" t="b">
        <v>0</v>
      </c>
      <c r="G163" t="b">
        <v>0</v>
      </c>
      <c r="H163" t="s">
        <v>43</v>
      </c>
      <c r="I163" t="s">
        <v>63</v>
      </c>
      <c r="J163" t="s">
        <v>36</v>
      </c>
      <c r="K163" t="s">
        <v>37</v>
      </c>
      <c r="L163" t="s">
        <v>51</v>
      </c>
      <c r="M163" t="s">
        <v>46</v>
      </c>
      <c r="N163" t="s">
        <v>28</v>
      </c>
      <c r="O163" t="b">
        <v>0</v>
      </c>
      <c r="P163" t="b">
        <v>0</v>
      </c>
      <c r="Q163">
        <v>9.6999999999999993</v>
      </c>
      <c r="R163" t="b">
        <v>0</v>
      </c>
      <c r="T163">
        <v>0</v>
      </c>
      <c r="U163">
        <v>100</v>
      </c>
      <c r="V163" t="b">
        <v>1</v>
      </c>
      <c r="W163" t="s">
        <v>58</v>
      </c>
      <c r="AE163" t="str">
        <f t="shared" si="14"/>
        <v>No</v>
      </c>
      <c r="AF163" t="str">
        <f t="shared" si="15"/>
        <v>Low</v>
      </c>
      <c r="AG163" t="str">
        <f t="shared" si="16"/>
        <v>No</v>
      </c>
      <c r="AH163" t="str">
        <f t="shared" si="17"/>
        <v>Unknown</v>
      </c>
      <c r="AJ163" t="str">
        <f t="shared" si="18"/>
        <v>High Trust</v>
      </c>
      <c r="AL163">
        <f t="shared" si="19"/>
        <v>100</v>
      </c>
      <c r="AM163" t="str">
        <f t="shared" si="20"/>
        <v>PhD</v>
      </c>
    </row>
    <row r="164" spans="1:39" x14ac:dyDescent="0.25">
      <c r="A164" t="s">
        <v>32</v>
      </c>
      <c r="B164" t="s">
        <v>33</v>
      </c>
      <c r="C164">
        <v>89.41</v>
      </c>
      <c r="D164">
        <v>418</v>
      </c>
      <c r="E164" t="b">
        <v>1</v>
      </c>
      <c r="F164" t="b">
        <v>1</v>
      </c>
      <c r="G164" t="b">
        <v>1</v>
      </c>
      <c r="H164" t="s">
        <v>43</v>
      </c>
      <c r="I164" t="s">
        <v>26</v>
      </c>
      <c r="J164" t="s">
        <v>50</v>
      </c>
      <c r="K164" t="s">
        <v>39</v>
      </c>
      <c r="L164" t="s">
        <v>69</v>
      </c>
      <c r="M164" t="s">
        <v>39</v>
      </c>
      <c r="N164" t="s">
        <v>39</v>
      </c>
      <c r="O164" t="b">
        <v>0</v>
      </c>
      <c r="P164" t="b">
        <v>0</v>
      </c>
      <c r="Q164">
        <v>9</v>
      </c>
      <c r="R164" t="b">
        <v>0</v>
      </c>
      <c r="T164">
        <v>0</v>
      </c>
      <c r="U164">
        <v>79.94</v>
      </c>
      <c r="V164" t="b">
        <v>1</v>
      </c>
      <c r="W164" t="s">
        <v>58</v>
      </c>
      <c r="AE164" t="str">
        <f t="shared" si="14"/>
        <v>Yes</v>
      </c>
      <c r="AF164" t="str">
        <f t="shared" si="15"/>
        <v>High</v>
      </c>
      <c r="AG164" t="str">
        <f t="shared" si="16"/>
        <v>No</v>
      </c>
      <c r="AH164" t="str">
        <f t="shared" si="17"/>
        <v>Unknown</v>
      </c>
      <c r="AJ164" t="str">
        <f t="shared" si="18"/>
        <v>High Trust</v>
      </c>
      <c r="AL164">
        <f t="shared" si="19"/>
        <v>79.900000000000006</v>
      </c>
      <c r="AM164" t="str">
        <f t="shared" si="20"/>
        <v>Professional</v>
      </c>
    </row>
    <row r="165" spans="1:39" x14ac:dyDescent="0.25">
      <c r="A165" t="s">
        <v>32</v>
      </c>
      <c r="B165" t="s">
        <v>62</v>
      </c>
      <c r="C165">
        <v>65.77</v>
      </c>
      <c r="D165">
        <v>351</v>
      </c>
      <c r="E165" t="b">
        <v>1</v>
      </c>
      <c r="F165" t="b">
        <v>0</v>
      </c>
      <c r="G165" t="b">
        <v>1</v>
      </c>
      <c r="H165" t="s">
        <v>34</v>
      </c>
      <c r="I165" t="s">
        <v>57</v>
      </c>
      <c r="J165" t="s">
        <v>50</v>
      </c>
      <c r="K165" t="s">
        <v>46</v>
      </c>
      <c r="L165" t="s">
        <v>37</v>
      </c>
      <c r="M165" t="s">
        <v>46</v>
      </c>
      <c r="N165" t="s">
        <v>46</v>
      </c>
      <c r="O165" t="b">
        <v>1</v>
      </c>
      <c r="P165" t="b">
        <v>0</v>
      </c>
      <c r="Q165">
        <v>9.3000000000000007</v>
      </c>
      <c r="R165" t="b">
        <v>0</v>
      </c>
      <c r="T165">
        <v>0</v>
      </c>
      <c r="U165">
        <v>65.06</v>
      </c>
      <c r="V165" t="b">
        <v>0</v>
      </c>
      <c r="W165" t="s">
        <v>58</v>
      </c>
      <c r="AE165" t="str">
        <f t="shared" si="14"/>
        <v>No</v>
      </c>
      <c r="AF165" t="str">
        <f t="shared" si="15"/>
        <v>Medium</v>
      </c>
      <c r="AG165" t="str">
        <f t="shared" si="16"/>
        <v>Yes</v>
      </c>
      <c r="AH165" t="str">
        <f t="shared" si="17"/>
        <v>Unknown</v>
      </c>
      <c r="AJ165" t="str">
        <f t="shared" si="18"/>
        <v>High Trust</v>
      </c>
      <c r="AL165">
        <f t="shared" si="19"/>
        <v>65.099999999999994</v>
      </c>
      <c r="AM165" t="str">
        <f t="shared" si="20"/>
        <v>Professional</v>
      </c>
    </row>
    <row r="166" spans="1:39" x14ac:dyDescent="0.25">
      <c r="A166" t="s">
        <v>23</v>
      </c>
      <c r="B166" t="s">
        <v>60</v>
      </c>
      <c r="C166">
        <v>62.99</v>
      </c>
      <c r="D166">
        <v>431</v>
      </c>
      <c r="E166" t="b">
        <v>0</v>
      </c>
      <c r="F166" t="b">
        <v>0</v>
      </c>
      <c r="G166" t="b">
        <v>1</v>
      </c>
      <c r="H166" t="s">
        <v>53</v>
      </c>
      <c r="I166" t="s">
        <v>26</v>
      </c>
      <c r="J166" t="s">
        <v>50</v>
      </c>
      <c r="K166" t="s">
        <v>28</v>
      </c>
      <c r="L166" t="s">
        <v>51</v>
      </c>
      <c r="M166" t="s">
        <v>46</v>
      </c>
      <c r="P166" t="b">
        <v>1</v>
      </c>
      <c r="Q166">
        <v>7.3</v>
      </c>
      <c r="R166" t="b">
        <v>1</v>
      </c>
      <c r="S166" t="s">
        <v>40</v>
      </c>
      <c r="T166">
        <v>38.4</v>
      </c>
      <c r="U166">
        <v>63.77</v>
      </c>
      <c r="V166" t="b">
        <v>1</v>
      </c>
      <c r="W166" t="s">
        <v>41</v>
      </c>
      <c r="AE166" t="str">
        <f t="shared" si="14"/>
        <v>No</v>
      </c>
      <c r="AF166" t="str">
        <f t="shared" si="15"/>
        <v>Unknown</v>
      </c>
      <c r="AG166" t="str">
        <f t="shared" si="16"/>
        <v>No</v>
      </c>
      <c r="AH166" t="str">
        <f t="shared" si="17"/>
        <v>Asked Expert</v>
      </c>
      <c r="AJ166" t="str">
        <f t="shared" si="18"/>
        <v>Low Trust</v>
      </c>
      <c r="AL166">
        <f t="shared" si="19"/>
        <v>63.8</v>
      </c>
      <c r="AM166" t="str">
        <f t="shared" si="20"/>
        <v>Professional</v>
      </c>
    </row>
    <row r="167" spans="1:39" x14ac:dyDescent="0.25">
      <c r="A167" t="s">
        <v>68</v>
      </c>
      <c r="B167" t="s">
        <v>73</v>
      </c>
      <c r="C167">
        <v>48.25</v>
      </c>
      <c r="D167">
        <v>416</v>
      </c>
      <c r="E167" t="b">
        <v>0</v>
      </c>
      <c r="F167" t="b">
        <v>1</v>
      </c>
      <c r="G167" t="b">
        <v>0</v>
      </c>
      <c r="H167" t="s">
        <v>43</v>
      </c>
      <c r="I167" t="s">
        <v>57</v>
      </c>
      <c r="J167" t="s">
        <v>45</v>
      </c>
      <c r="K167" t="s">
        <v>37</v>
      </c>
      <c r="L167" t="s">
        <v>37</v>
      </c>
      <c r="M167" t="s">
        <v>28</v>
      </c>
      <c r="N167" t="s">
        <v>39</v>
      </c>
      <c r="O167" t="b">
        <v>0</v>
      </c>
      <c r="P167" t="b">
        <v>0</v>
      </c>
      <c r="Q167">
        <v>3.6</v>
      </c>
      <c r="R167" t="b">
        <v>1</v>
      </c>
      <c r="S167" t="s">
        <v>30</v>
      </c>
      <c r="T167">
        <v>9.5</v>
      </c>
      <c r="U167">
        <v>52.65</v>
      </c>
      <c r="V167" t="b">
        <v>1</v>
      </c>
      <c r="W167" t="s">
        <v>72</v>
      </c>
      <c r="AE167" t="str">
        <f t="shared" si="14"/>
        <v>Yes</v>
      </c>
      <c r="AF167" t="str">
        <f t="shared" si="15"/>
        <v>High</v>
      </c>
      <c r="AG167" t="str">
        <f t="shared" si="16"/>
        <v>No</v>
      </c>
      <c r="AH167" t="str">
        <f t="shared" si="17"/>
        <v>Google Search</v>
      </c>
      <c r="AJ167" t="str">
        <f t="shared" si="18"/>
        <v>Moderate Trust</v>
      </c>
      <c r="AL167">
        <f t="shared" si="19"/>
        <v>52.7</v>
      </c>
      <c r="AM167" t="str">
        <f t="shared" si="20"/>
        <v>High School</v>
      </c>
    </row>
    <row r="168" spans="1:39" x14ac:dyDescent="0.25">
      <c r="A168" t="s">
        <v>68</v>
      </c>
      <c r="B168" t="s">
        <v>59</v>
      </c>
      <c r="C168">
        <v>82.85</v>
      </c>
      <c r="D168">
        <v>153</v>
      </c>
      <c r="E168" t="b">
        <v>0</v>
      </c>
      <c r="F168" t="b">
        <v>0</v>
      </c>
      <c r="G168" t="b">
        <v>0</v>
      </c>
      <c r="H168" t="s">
        <v>53</v>
      </c>
      <c r="I168" t="s">
        <v>57</v>
      </c>
      <c r="J168" t="s">
        <v>54</v>
      </c>
      <c r="K168" t="s">
        <v>28</v>
      </c>
      <c r="L168" t="s">
        <v>29</v>
      </c>
      <c r="M168" t="s">
        <v>39</v>
      </c>
      <c r="N168" t="s">
        <v>39</v>
      </c>
      <c r="O168" t="b">
        <v>0</v>
      </c>
      <c r="P168" t="b">
        <v>0</v>
      </c>
      <c r="Q168">
        <v>7.5</v>
      </c>
      <c r="R168" t="b">
        <v>1</v>
      </c>
      <c r="S168" t="s">
        <v>40</v>
      </c>
      <c r="T168">
        <v>6.1</v>
      </c>
      <c r="U168">
        <v>85.39</v>
      </c>
      <c r="V168" t="b">
        <v>1</v>
      </c>
      <c r="W168" t="s">
        <v>41</v>
      </c>
      <c r="AE168" t="str">
        <f t="shared" si="14"/>
        <v>No</v>
      </c>
      <c r="AF168" t="str">
        <f t="shared" si="15"/>
        <v>High</v>
      </c>
      <c r="AG168" t="str">
        <f t="shared" si="16"/>
        <v>No</v>
      </c>
      <c r="AH168" t="str">
        <f t="shared" si="17"/>
        <v>Asked Expert</v>
      </c>
      <c r="AJ168" t="str">
        <f t="shared" si="18"/>
        <v>Moderate Trust</v>
      </c>
      <c r="AL168">
        <f t="shared" si="19"/>
        <v>85.4</v>
      </c>
      <c r="AM168" t="str">
        <f t="shared" si="20"/>
        <v>Masters</v>
      </c>
    </row>
    <row r="169" spans="1:39" x14ac:dyDescent="0.25">
      <c r="A169" t="s">
        <v>23</v>
      </c>
      <c r="B169" t="s">
        <v>73</v>
      </c>
      <c r="C169">
        <v>46.3</v>
      </c>
      <c r="D169">
        <v>396</v>
      </c>
      <c r="E169" t="b">
        <v>0</v>
      </c>
      <c r="F169" t="b">
        <v>1</v>
      </c>
      <c r="G169" t="b">
        <v>1</v>
      </c>
      <c r="H169" t="s">
        <v>43</v>
      </c>
      <c r="I169" t="s">
        <v>26</v>
      </c>
      <c r="J169" t="s">
        <v>50</v>
      </c>
      <c r="K169" t="s">
        <v>46</v>
      </c>
      <c r="L169" t="s">
        <v>38</v>
      </c>
      <c r="M169" t="s">
        <v>46</v>
      </c>
      <c r="P169" t="b">
        <v>1</v>
      </c>
      <c r="Q169">
        <v>5.9</v>
      </c>
      <c r="R169" t="b">
        <v>1</v>
      </c>
      <c r="S169" t="s">
        <v>30</v>
      </c>
      <c r="T169">
        <v>38</v>
      </c>
      <c r="U169">
        <v>53.91</v>
      </c>
      <c r="V169" t="b">
        <v>1</v>
      </c>
      <c r="W169" t="s">
        <v>41</v>
      </c>
      <c r="AE169" t="str">
        <f t="shared" si="14"/>
        <v>Yes</v>
      </c>
      <c r="AF169" t="str">
        <f t="shared" si="15"/>
        <v>Unknown</v>
      </c>
      <c r="AG169" t="str">
        <f t="shared" si="16"/>
        <v>No</v>
      </c>
      <c r="AH169" t="str">
        <f t="shared" si="17"/>
        <v>Google Search</v>
      </c>
      <c r="AJ169" t="str">
        <f t="shared" si="18"/>
        <v>Moderate Trust</v>
      </c>
      <c r="AL169">
        <f t="shared" si="19"/>
        <v>53.9</v>
      </c>
      <c r="AM169" t="str">
        <f t="shared" si="20"/>
        <v>Professional</v>
      </c>
    </row>
    <row r="170" spans="1:39" x14ac:dyDescent="0.25">
      <c r="A170" t="s">
        <v>56</v>
      </c>
      <c r="B170" t="s">
        <v>66</v>
      </c>
      <c r="C170">
        <v>70.12</v>
      </c>
      <c r="D170">
        <v>562</v>
      </c>
      <c r="E170" t="b">
        <v>0</v>
      </c>
      <c r="F170" t="b">
        <v>1</v>
      </c>
      <c r="G170" t="b">
        <v>0</v>
      </c>
      <c r="H170" t="s">
        <v>43</v>
      </c>
      <c r="I170" t="s">
        <v>67</v>
      </c>
      <c r="J170" t="s">
        <v>54</v>
      </c>
      <c r="K170" t="s">
        <v>46</v>
      </c>
      <c r="L170" t="s">
        <v>69</v>
      </c>
      <c r="M170" t="s">
        <v>47</v>
      </c>
      <c r="N170" t="s">
        <v>28</v>
      </c>
      <c r="O170" t="b">
        <v>1</v>
      </c>
      <c r="P170" t="b">
        <v>1</v>
      </c>
      <c r="Q170">
        <v>8</v>
      </c>
      <c r="R170" t="b">
        <v>0</v>
      </c>
      <c r="T170">
        <v>0</v>
      </c>
      <c r="U170">
        <v>52.75</v>
      </c>
      <c r="V170" t="b">
        <v>0</v>
      </c>
      <c r="W170" t="s">
        <v>58</v>
      </c>
      <c r="AE170" t="str">
        <f t="shared" si="14"/>
        <v>Yes</v>
      </c>
      <c r="AF170" t="str">
        <f t="shared" si="15"/>
        <v>Low</v>
      </c>
      <c r="AG170" t="str">
        <f t="shared" si="16"/>
        <v>Yes</v>
      </c>
      <c r="AH170" t="str">
        <f t="shared" si="17"/>
        <v>Unknown</v>
      </c>
      <c r="AJ170" t="str">
        <f t="shared" si="18"/>
        <v>High Trust</v>
      </c>
      <c r="AL170">
        <f t="shared" si="19"/>
        <v>52.8</v>
      </c>
      <c r="AM170" t="str">
        <f t="shared" si="20"/>
        <v>Masters</v>
      </c>
    </row>
    <row r="171" spans="1:39" x14ac:dyDescent="0.25">
      <c r="A171" t="s">
        <v>23</v>
      </c>
      <c r="B171" t="s">
        <v>42</v>
      </c>
      <c r="C171">
        <v>71.290000000000006</v>
      </c>
      <c r="D171">
        <v>229</v>
      </c>
      <c r="E171" t="b">
        <v>1</v>
      </c>
      <c r="F171" t="b">
        <v>1</v>
      </c>
      <c r="G171" t="b">
        <v>1</v>
      </c>
      <c r="H171" t="s">
        <v>43</v>
      </c>
      <c r="I171" t="s">
        <v>44</v>
      </c>
      <c r="J171" t="s">
        <v>50</v>
      </c>
      <c r="K171" t="s">
        <v>46</v>
      </c>
      <c r="L171" t="s">
        <v>37</v>
      </c>
      <c r="M171" t="s">
        <v>46</v>
      </c>
      <c r="N171" t="s">
        <v>28</v>
      </c>
      <c r="P171" t="b">
        <v>0</v>
      </c>
      <c r="Q171">
        <v>8.5</v>
      </c>
      <c r="R171" t="b">
        <v>1</v>
      </c>
      <c r="S171" t="s">
        <v>40</v>
      </c>
      <c r="T171">
        <v>44.5</v>
      </c>
      <c r="U171">
        <v>64.87</v>
      </c>
      <c r="V171" t="b">
        <v>0</v>
      </c>
      <c r="W171" t="s">
        <v>31</v>
      </c>
      <c r="AE171" t="str">
        <f t="shared" si="14"/>
        <v>Yes</v>
      </c>
      <c r="AF171" t="str">
        <f t="shared" si="15"/>
        <v>Low</v>
      </c>
      <c r="AG171" t="str">
        <f t="shared" si="16"/>
        <v>No</v>
      </c>
      <c r="AH171" t="str">
        <f t="shared" si="17"/>
        <v>Asked Expert</v>
      </c>
      <c r="AJ171" t="str">
        <f t="shared" si="18"/>
        <v>High Trust</v>
      </c>
      <c r="AL171">
        <f t="shared" si="19"/>
        <v>64.900000000000006</v>
      </c>
      <c r="AM171" t="str">
        <f t="shared" si="20"/>
        <v>Professional</v>
      </c>
    </row>
    <row r="172" spans="1:39" x14ac:dyDescent="0.25">
      <c r="A172" t="s">
        <v>23</v>
      </c>
      <c r="B172" t="s">
        <v>42</v>
      </c>
      <c r="C172">
        <v>67.83</v>
      </c>
      <c r="D172">
        <v>712</v>
      </c>
      <c r="E172" t="b">
        <v>1</v>
      </c>
      <c r="F172" t="b">
        <v>1</v>
      </c>
      <c r="G172" t="b">
        <v>0</v>
      </c>
      <c r="H172" t="s">
        <v>53</v>
      </c>
      <c r="I172" t="s">
        <v>67</v>
      </c>
      <c r="J172" t="s">
        <v>45</v>
      </c>
      <c r="K172" t="s">
        <v>39</v>
      </c>
      <c r="L172" t="s">
        <v>38</v>
      </c>
      <c r="M172" t="s">
        <v>39</v>
      </c>
      <c r="N172" t="s">
        <v>39</v>
      </c>
      <c r="P172" t="b">
        <v>1</v>
      </c>
      <c r="Q172">
        <v>7.8</v>
      </c>
      <c r="R172" t="b">
        <v>0</v>
      </c>
      <c r="T172">
        <v>0</v>
      </c>
      <c r="U172">
        <v>53.64</v>
      </c>
      <c r="V172" t="b">
        <v>0</v>
      </c>
      <c r="W172" t="s">
        <v>31</v>
      </c>
      <c r="AE172" t="str">
        <f t="shared" si="14"/>
        <v>Yes</v>
      </c>
      <c r="AF172" t="str">
        <f t="shared" si="15"/>
        <v>High</v>
      </c>
      <c r="AG172" t="str">
        <f t="shared" si="16"/>
        <v>No</v>
      </c>
      <c r="AH172" t="str">
        <f t="shared" si="17"/>
        <v>Unknown</v>
      </c>
      <c r="AJ172" t="str">
        <f t="shared" si="18"/>
        <v>Moderate Trust</v>
      </c>
      <c r="AL172">
        <f t="shared" si="19"/>
        <v>53.6</v>
      </c>
      <c r="AM172" t="str">
        <f t="shared" si="20"/>
        <v>High School</v>
      </c>
    </row>
    <row r="173" spans="1:39" x14ac:dyDescent="0.25">
      <c r="A173" t="s">
        <v>74</v>
      </c>
      <c r="B173" t="s">
        <v>62</v>
      </c>
      <c r="C173">
        <v>66.81</v>
      </c>
      <c r="D173">
        <v>311</v>
      </c>
      <c r="E173" t="b">
        <v>0</v>
      </c>
      <c r="F173" t="b">
        <v>1</v>
      </c>
      <c r="G173" t="b">
        <v>0</v>
      </c>
      <c r="H173" t="s">
        <v>34</v>
      </c>
      <c r="I173" t="s">
        <v>26</v>
      </c>
      <c r="J173" t="s">
        <v>54</v>
      </c>
      <c r="K173" t="s">
        <v>28</v>
      </c>
      <c r="L173" t="s">
        <v>37</v>
      </c>
      <c r="M173" t="s">
        <v>46</v>
      </c>
      <c r="O173" t="b">
        <v>1</v>
      </c>
      <c r="P173" t="b">
        <v>0</v>
      </c>
      <c r="Q173">
        <v>7.9</v>
      </c>
      <c r="R173" t="b">
        <v>1</v>
      </c>
      <c r="S173" t="s">
        <v>48</v>
      </c>
      <c r="T173">
        <v>22.7</v>
      </c>
      <c r="U173">
        <v>81.52</v>
      </c>
      <c r="V173" t="b">
        <v>1</v>
      </c>
      <c r="W173" t="s">
        <v>41</v>
      </c>
      <c r="AE173" t="str">
        <f t="shared" si="14"/>
        <v>Yes</v>
      </c>
      <c r="AF173" t="str">
        <f t="shared" si="15"/>
        <v>Unknown</v>
      </c>
      <c r="AG173" t="str">
        <f t="shared" si="16"/>
        <v>Yes</v>
      </c>
      <c r="AH173" t="str">
        <f t="shared" si="17"/>
        <v>Consulted Documentation</v>
      </c>
      <c r="AJ173" t="str">
        <f t="shared" si="18"/>
        <v>Moderate Trust</v>
      </c>
      <c r="AL173">
        <f t="shared" si="19"/>
        <v>81.5</v>
      </c>
      <c r="AM173" t="str">
        <f t="shared" si="20"/>
        <v>Masters</v>
      </c>
    </row>
    <row r="174" spans="1:39" x14ac:dyDescent="0.25">
      <c r="A174" t="s">
        <v>56</v>
      </c>
      <c r="B174" t="s">
        <v>59</v>
      </c>
      <c r="C174">
        <v>83.08</v>
      </c>
      <c r="D174">
        <v>629</v>
      </c>
      <c r="E174" t="b">
        <v>0</v>
      </c>
      <c r="F174" t="b">
        <v>0</v>
      </c>
      <c r="G174" t="b">
        <v>1</v>
      </c>
      <c r="H174" t="s">
        <v>25</v>
      </c>
      <c r="I174" t="s">
        <v>44</v>
      </c>
      <c r="J174" t="s">
        <v>50</v>
      </c>
      <c r="K174" t="s">
        <v>37</v>
      </c>
      <c r="L174" t="s">
        <v>38</v>
      </c>
      <c r="M174" t="s">
        <v>28</v>
      </c>
      <c r="N174" t="s">
        <v>28</v>
      </c>
      <c r="P174" t="b">
        <v>0</v>
      </c>
      <c r="Q174">
        <v>9.6999999999999993</v>
      </c>
      <c r="R174" t="b">
        <v>0</v>
      </c>
      <c r="T174">
        <v>0</v>
      </c>
      <c r="U174">
        <v>87.75</v>
      </c>
      <c r="V174" t="b">
        <v>1</v>
      </c>
      <c r="W174" t="s">
        <v>58</v>
      </c>
      <c r="AE174" t="str">
        <f t="shared" si="14"/>
        <v>No</v>
      </c>
      <c r="AF174" t="str">
        <f t="shared" si="15"/>
        <v>Low</v>
      </c>
      <c r="AG174" t="str">
        <f t="shared" si="16"/>
        <v>No</v>
      </c>
      <c r="AH174" t="str">
        <f t="shared" si="17"/>
        <v>Unknown</v>
      </c>
      <c r="AJ174" t="str">
        <f t="shared" si="18"/>
        <v>High Trust</v>
      </c>
      <c r="AL174">
        <f t="shared" si="19"/>
        <v>87.8</v>
      </c>
      <c r="AM174" t="str">
        <f t="shared" si="20"/>
        <v>Professional</v>
      </c>
    </row>
    <row r="175" spans="1:39" x14ac:dyDescent="0.25">
      <c r="A175" t="s">
        <v>74</v>
      </c>
      <c r="B175" t="s">
        <v>62</v>
      </c>
      <c r="C175">
        <v>51.58</v>
      </c>
      <c r="D175">
        <v>619</v>
      </c>
      <c r="E175" t="b">
        <v>1</v>
      </c>
      <c r="F175" t="b">
        <v>0</v>
      </c>
      <c r="G175" t="b">
        <v>0</v>
      </c>
      <c r="H175" t="s">
        <v>34</v>
      </c>
      <c r="I175" t="s">
        <v>26</v>
      </c>
      <c r="J175" t="s">
        <v>45</v>
      </c>
      <c r="K175" t="s">
        <v>46</v>
      </c>
      <c r="L175" t="s">
        <v>37</v>
      </c>
      <c r="M175" t="s">
        <v>46</v>
      </c>
      <c r="N175" t="s">
        <v>39</v>
      </c>
      <c r="P175" t="b">
        <v>0</v>
      </c>
      <c r="Q175">
        <v>6.5</v>
      </c>
      <c r="R175" t="b">
        <v>1</v>
      </c>
      <c r="S175" t="s">
        <v>55</v>
      </c>
      <c r="T175">
        <v>25</v>
      </c>
      <c r="U175">
        <v>60.41</v>
      </c>
      <c r="V175" t="b">
        <v>1</v>
      </c>
      <c r="W175" t="s">
        <v>41</v>
      </c>
      <c r="AE175" t="str">
        <f t="shared" si="14"/>
        <v>No</v>
      </c>
      <c r="AF175" t="str">
        <f t="shared" si="15"/>
        <v>High</v>
      </c>
      <c r="AG175" t="str">
        <f t="shared" si="16"/>
        <v>No</v>
      </c>
      <c r="AH175" t="str">
        <f t="shared" si="17"/>
        <v>Academic Paper</v>
      </c>
      <c r="AJ175" t="str">
        <f t="shared" si="18"/>
        <v>Moderate Trust</v>
      </c>
      <c r="AL175">
        <f t="shared" si="19"/>
        <v>60.4</v>
      </c>
      <c r="AM175" t="str">
        <f t="shared" si="20"/>
        <v>High School</v>
      </c>
    </row>
    <row r="176" spans="1:39" x14ac:dyDescent="0.25">
      <c r="A176" t="s">
        <v>56</v>
      </c>
      <c r="B176" t="s">
        <v>66</v>
      </c>
      <c r="C176">
        <v>77.58</v>
      </c>
      <c r="D176">
        <v>254</v>
      </c>
      <c r="E176" t="b">
        <v>1</v>
      </c>
      <c r="F176" t="b">
        <v>0</v>
      </c>
      <c r="G176" t="b">
        <v>1</v>
      </c>
      <c r="H176" t="s">
        <v>25</v>
      </c>
      <c r="I176" t="s">
        <v>35</v>
      </c>
      <c r="J176" t="s">
        <v>54</v>
      </c>
      <c r="K176" t="s">
        <v>28</v>
      </c>
      <c r="L176" t="s">
        <v>69</v>
      </c>
      <c r="M176" t="s">
        <v>46</v>
      </c>
      <c r="N176" t="s">
        <v>39</v>
      </c>
      <c r="O176" t="b">
        <v>0</v>
      </c>
      <c r="P176" t="b">
        <v>0</v>
      </c>
      <c r="Q176">
        <v>9.8000000000000007</v>
      </c>
      <c r="R176" t="b">
        <v>0</v>
      </c>
      <c r="T176">
        <v>0</v>
      </c>
      <c r="U176">
        <v>81.22</v>
      </c>
      <c r="V176" t="b">
        <v>1</v>
      </c>
      <c r="W176" t="s">
        <v>58</v>
      </c>
      <c r="AE176" t="str">
        <f t="shared" si="14"/>
        <v>No</v>
      </c>
      <c r="AF176" t="str">
        <f t="shared" si="15"/>
        <v>High</v>
      </c>
      <c r="AG176" t="str">
        <f t="shared" si="16"/>
        <v>No</v>
      </c>
      <c r="AH176" t="str">
        <f t="shared" si="17"/>
        <v>Unknown</v>
      </c>
      <c r="AJ176" t="str">
        <f t="shared" si="18"/>
        <v>High Trust</v>
      </c>
      <c r="AL176">
        <f t="shared" si="19"/>
        <v>81.2</v>
      </c>
      <c r="AM176" t="str">
        <f t="shared" si="20"/>
        <v>Masters</v>
      </c>
    </row>
    <row r="177" spans="1:39" x14ac:dyDescent="0.25">
      <c r="A177" t="s">
        <v>56</v>
      </c>
      <c r="B177" t="s">
        <v>71</v>
      </c>
      <c r="C177">
        <v>52.36</v>
      </c>
      <c r="D177">
        <v>679</v>
      </c>
      <c r="E177" t="b">
        <v>0</v>
      </c>
      <c r="F177" t="b">
        <v>1</v>
      </c>
      <c r="G177" t="b">
        <v>1</v>
      </c>
      <c r="H177" t="s">
        <v>25</v>
      </c>
      <c r="I177" t="s">
        <v>35</v>
      </c>
      <c r="J177" t="s">
        <v>36</v>
      </c>
      <c r="K177" t="s">
        <v>37</v>
      </c>
      <c r="L177" t="s">
        <v>37</v>
      </c>
      <c r="M177" t="s">
        <v>39</v>
      </c>
      <c r="N177" t="s">
        <v>39</v>
      </c>
      <c r="O177" t="b">
        <v>1</v>
      </c>
      <c r="P177" t="b">
        <v>0</v>
      </c>
      <c r="Q177">
        <v>5.5</v>
      </c>
      <c r="R177" t="b">
        <v>1</v>
      </c>
      <c r="S177" t="s">
        <v>75</v>
      </c>
      <c r="T177">
        <v>6.7</v>
      </c>
      <c r="U177">
        <v>44.02</v>
      </c>
      <c r="V177" t="b">
        <v>1</v>
      </c>
      <c r="W177" t="s">
        <v>41</v>
      </c>
      <c r="AE177" t="str">
        <f t="shared" si="14"/>
        <v>Yes</v>
      </c>
      <c r="AF177" t="str">
        <f t="shared" si="15"/>
        <v>High</v>
      </c>
      <c r="AG177" t="str">
        <f t="shared" si="16"/>
        <v>Yes</v>
      </c>
      <c r="AH177" t="str">
        <f t="shared" si="17"/>
        <v>Asked Colleague</v>
      </c>
      <c r="AJ177" t="str">
        <f t="shared" si="18"/>
        <v>Moderate Trust</v>
      </c>
      <c r="AL177">
        <f t="shared" si="19"/>
        <v>44</v>
      </c>
      <c r="AM177" t="str">
        <f t="shared" si="20"/>
        <v>PhD</v>
      </c>
    </row>
    <row r="178" spans="1:39" x14ac:dyDescent="0.25">
      <c r="A178" t="s">
        <v>56</v>
      </c>
      <c r="B178" t="s">
        <v>24</v>
      </c>
      <c r="C178">
        <v>86.7</v>
      </c>
      <c r="D178">
        <v>696</v>
      </c>
      <c r="E178" t="b">
        <v>0</v>
      </c>
      <c r="F178" t="b">
        <v>1</v>
      </c>
      <c r="G178" t="b">
        <v>0</v>
      </c>
      <c r="H178" t="s">
        <v>25</v>
      </c>
      <c r="I178" t="s">
        <v>44</v>
      </c>
      <c r="J178" t="s">
        <v>36</v>
      </c>
      <c r="K178" t="s">
        <v>37</v>
      </c>
      <c r="L178" t="s">
        <v>38</v>
      </c>
      <c r="M178" t="s">
        <v>46</v>
      </c>
      <c r="P178" t="b">
        <v>1</v>
      </c>
      <c r="Q178">
        <v>9.1</v>
      </c>
      <c r="R178" t="b">
        <v>1</v>
      </c>
      <c r="S178" t="s">
        <v>52</v>
      </c>
      <c r="T178">
        <v>7.8</v>
      </c>
      <c r="U178">
        <v>81.41</v>
      </c>
      <c r="V178" t="b">
        <v>1</v>
      </c>
      <c r="W178" t="s">
        <v>31</v>
      </c>
      <c r="AE178" t="str">
        <f t="shared" si="14"/>
        <v>Yes</v>
      </c>
      <c r="AF178" t="str">
        <f t="shared" si="15"/>
        <v>Unknown</v>
      </c>
      <c r="AG178" t="str">
        <f t="shared" si="16"/>
        <v>No</v>
      </c>
      <c r="AH178" t="str">
        <f t="shared" si="17"/>
        <v>Checked Official Source</v>
      </c>
      <c r="AJ178" t="str">
        <f t="shared" si="18"/>
        <v>High Trust</v>
      </c>
      <c r="AL178">
        <f t="shared" si="19"/>
        <v>81.400000000000006</v>
      </c>
      <c r="AM178" t="str">
        <f t="shared" si="20"/>
        <v>PhD</v>
      </c>
    </row>
    <row r="179" spans="1:39" x14ac:dyDescent="0.25">
      <c r="A179" t="s">
        <v>74</v>
      </c>
      <c r="B179" t="s">
        <v>76</v>
      </c>
      <c r="C179">
        <v>82.44</v>
      </c>
      <c r="D179">
        <v>232</v>
      </c>
      <c r="E179" t="b">
        <v>1</v>
      </c>
      <c r="F179" t="b">
        <v>0</v>
      </c>
      <c r="G179" t="b">
        <v>1</v>
      </c>
      <c r="H179" t="s">
        <v>25</v>
      </c>
      <c r="I179" t="s">
        <v>63</v>
      </c>
      <c r="J179" t="s">
        <v>50</v>
      </c>
      <c r="K179" t="s">
        <v>39</v>
      </c>
      <c r="L179" t="s">
        <v>29</v>
      </c>
      <c r="M179" t="s">
        <v>39</v>
      </c>
      <c r="N179" t="s">
        <v>46</v>
      </c>
      <c r="P179" t="b">
        <v>1</v>
      </c>
      <c r="Q179">
        <v>9</v>
      </c>
      <c r="R179" t="b">
        <v>1</v>
      </c>
      <c r="S179" t="s">
        <v>55</v>
      </c>
      <c r="T179">
        <v>30.3</v>
      </c>
      <c r="U179">
        <v>67.569999999999993</v>
      </c>
      <c r="V179" t="b">
        <v>0</v>
      </c>
      <c r="W179" t="s">
        <v>31</v>
      </c>
      <c r="AE179" t="str">
        <f t="shared" si="14"/>
        <v>No</v>
      </c>
      <c r="AF179" t="str">
        <f t="shared" si="15"/>
        <v>Medium</v>
      </c>
      <c r="AG179" t="str">
        <f t="shared" si="16"/>
        <v>No</v>
      </c>
      <c r="AH179" t="str">
        <f t="shared" si="17"/>
        <v>Academic Paper</v>
      </c>
      <c r="AJ179" t="str">
        <f t="shared" si="18"/>
        <v>High Trust</v>
      </c>
      <c r="AL179">
        <f t="shared" si="19"/>
        <v>67.599999999999994</v>
      </c>
      <c r="AM179" t="str">
        <f t="shared" si="20"/>
        <v>Professional</v>
      </c>
    </row>
    <row r="180" spans="1:39" x14ac:dyDescent="0.25">
      <c r="A180" t="s">
        <v>74</v>
      </c>
      <c r="B180" t="s">
        <v>76</v>
      </c>
      <c r="C180">
        <v>83.48</v>
      </c>
      <c r="D180">
        <v>131</v>
      </c>
      <c r="E180" t="b">
        <v>1</v>
      </c>
      <c r="F180" t="b">
        <v>0</v>
      </c>
      <c r="G180" t="b">
        <v>1</v>
      </c>
      <c r="H180" t="s">
        <v>25</v>
      </c>
      <c r="I180" t="s">
        <v>67</v>
      </c>
      <c r="J180" t="s">
        <v>50</v>
      </c>
      <c r="K180" t="s">
        <v>37</v>
      </c>
      <c r="L180" t="s">
        <v>69</v>
      </c>
      <c r="M180" t="s">
        <v>47</v>
      </c>
      <c r="N180" t="s">
        <v>39</v>
      </c>
      <c r="O180" t="b">
        <v>0</v>
      </c>
      <c r="P180" t="b">
        <v>1</v>
      </c>
      <c r="Q180">
        <v>8.4</v>
      </c>
      <c r="R180" t="b">
        <v>1</v>
      </c>
      <c r="S180" t="s">
        <v>75</v>
      </c>
      <c r="T180">
        <v>35.9</v>
      </c>
      <c r="U180">
        <v>72.27</v>
      </c>
      <c r="V180" t="b">
        <v>1</v>
      </c>
      <c r="W180" t="s">
        <v>31</v>
      </c>
      <c r="AE180" t="str">
        <f t="shared" si="14"/>
        <v>No</v>
      </c>
      <c r="AF180" t="str">
        <f t="shared" si="15"/>
        <v>High</v>
      </c>
      <c r="AG180" t="str">
        <f t="shared" si="16"/>
        <v>No</v>
      </c>
      <c r="AH180" t="str">
        <f t="shared" si="17"/>
        <v>Asked Colleague</v>
      </c>
      <c r="AJ180" t="str">
        <f t="shared" si="18"/>
        <v>High Trust</v>
      </c>
      <c r="AL180">
        <f t="shared" si="19"/>
        <v>72.3</v>
      </c>
      <c r="AM180" t="str">
        <f t="shared" si="20"/>
        <v>Professional</v>
      </c>
    </row>
    <row r="181" spans="1:39" x14ac:dyDescent="0.25">
      <c r="A181" t="s">
        <v>23</v>
      </c>
      <c r="B181" t="s">
        <v>73</v>
      </c>
      <c r="C181">
        <v>69.2</v>
      </c>
      <c r="D181">
        <v>763</v>
      </c>
      <c r="E181" t="b">
        <v>0</v>
      </c>
      <c r="F181" t="b">
        <v>1</v>
      </c>
      <c r="G181" t="b">
        <v>1</v>
      </c>
      <c r="H181" t="s">
        <v>43</v>
      </c>
      <c r="I181" t="s">
        <v>26</v>
      </c>
      <c r="J181" t="s">
        <v>50</v>
      </c>
      <c r="K181" t="s">
        <v>46</v>
      </c>
      <c r="L181" t="s">
        <v>29</v>
      </c>
      <c r="M181" t="s">
        <v>39</v>
      </c>
      <c r="N181" t="s">
        <v>39</v>
      </c>
      <c r="P181" t="b">
        <v>0</v>
      </c>
      <c r="Q181">
        <v>6.9</v>
      </c>
      <c r="R181" t="b">
        <v>1</v>
      </c>
      <c r="S181" t="s">
        <v>30</v>
      </c>
      <c r="T181">
        <v>26.9</v>
      </c>
      <c r="U181">
        <v>68.25</v>
      </c>
      <c r="V181" t="b">
        <v>1</v>
      </c>
      <c r="W181" t="s">
        <v>41</v>
      </c>
      <c r="AE181" t="str">
        <f t="shared" si="14"/>
        <v>Yes</v>
      </c>
      <c r="AF181" t="str">
        <f t="shared" si="15"/>
        <v>High</v>
      </c>
      <c r="AG181" t="str">
        <f t="shared" si="16"/>
        <v>No</v>
      </c>
      <c r="AH181" t="str">
        <f t="shared" si="17"/>
        <v>Google Search</v>
      </c>
      <c r="AJ181" t="str">
        <f t="shared" si="18"/>
        <v>Moderate Trust</v>
      </c>
      <c r="AL181">
        <f t="shared" si="19"/>
        <v>68.3</v>
      </c>
      <c r="AM181" t="str">
        <f t="shared" si="20"/>
        <v>Professional</v>
      </c>
    </row>
    <row r="182" spans="1:39" x14ac:dyDescent="0.25">
      <c r="A182" t="s">
        <v>56</v>
      </c>
      <c r="B182" t="s">
        <v>76</v>
      </c>
      <c r="C182">
        <v>88.39</v>
      </c>
      <c r="D182">
        <v>714</v>
      </c>
      <c r="E182" t="b">
        <v>0</v>
      </c>
      <c r="F182" t="b">
        <v>0</v>
      </c>
      <c r="G182" t="b">
        <v>0</v>
      </c>
      <c r="H182" t="s">
        <v>25</v>
      </c>
      <c r="I182" t="s">
        <v>63</v>
      </c>
      <c r="J182" t="s">
        <v>36</v>
      </c>
      <c r="K182" t="s">
        <v>46</v>
      </c>
      <c r="L182" t="s">
        <v>29</v>
      </c>
      <c r="M182" t="s">
        <v>46</v>
      </c>
      <c r="N182" t="s">
        <v>39</v>
      </c>
      <c r="P182" t="b">
        <v>0</v>
      </c>
      <c r="Q182">
        <v>9.6999999999999993</v>
      </c>
      <c r="R182" t="b">
        <v>1</v>
      </c>
      <c r="S182" t="s">
        <v>30</v>
      </c>
      <c r="T182">
        <v>27.3</v>
      </c>
      <c r="U182">
        <v>85.52</v>
      </c>
      <c r="V182" t="b">
        <v>1</v>
      </c>
      <c r="W182" t="s">
        <v>31</v>
      </c>
      <c r="AE182" t="str">
        <f t="shared" si="14"/>
        <v>No</v>
      </c>
      <c r="AF182" t="str">
        <f t="shared" si="15"/>
        <v>High</v>
      </c>
      <c r="AG182" t="str">
        <f t="shared" si="16"/>
        <v>No</v>
      </c>
      <c r="AH182" t="str">
        <f t="shared" si="17"/>
        <v>Google Search</v>
      </c>
      <c r="AJ182" t="str">
        <f t="shared" si="18"/>
        <v>High Trust</v>
      </c>
      <c r="AL182">
        <f t="shared" si="19"/>
        <v>85.5</v>
      </c>
      <c r="AM182" t="str">
        <f t="shared" si="20"/>
        <v>PhD</v>
      </c>
    </row>
    <row r="183" spans="1:39" x14ac:dyDescent="0.25">
      <c r="A183" t="s">
        <v>68</v>
      </c>
      <c r="B183" t="s">
        <v>33</v>
      </c>
      <c r="C183">
        <v>83.96</v>
      </c>
      <c r="D183">
        <v>469</v>
      </c>
      <c r="E183" t="b">
        <v>1</v>
      </c>
      <c r="F183" t="b">
        <v>1</v>
      </c>
      <c r="G183" t="b">
        <v>0</v>
      </c>
      <c r="H183" t="s">
        <v>34</v>
      </c>
      <c r="I183" t="s">
        <v>26</v>
      </c>
      <c r="J183" t="s">
        <v>45</v>
      </c>
      <c r="K183" t="s">
        <v>28</v>
      </c>
      <c r="L183" t="s">
        <v>38</v>
      </c>
      <c r="M183" t="s">
        <v>46</v>
      </c>
      <c r="N183" t="s">
        <v>28</v>
      </c>
      <c r="O183" t="b">
        <v>0</v>
      </c>
      <c r="P183" t="b">
        <v>0</v>
      </c>
      <c r="Q183">
        <v>9.6</v>
      </c>
      <c r="R183" t="b">
        <v>1</v>
      </c>
      <c r="S183" t="s">
        <v>30</v>
      </c>
      <c r="T183">
        <v>4.3</v>
      </c>
      <c r="U183">
        <v>95.05</v>
      </c>
      <c r="V183" t="b">
        <v>1</v>
      </c>
      <c r="W183" t="s">
        <v>31</v>
      </c>
      <c r="AE183" t="str">
        <f t="shared" si="14"/>
        <v>Yes</v>
      </c>
      <c r="AF183" t="str">
        <f t="shared" si="15"/>
        <v>Low</v>
      </c>
      <c r="AG183" t="str">
        <f t="shared" si="16"/>
        <v>No</v>
      </c>
      <c r="AH183" t="str">
        <f t="shared" si="17"/>
        <v>Google Search</v>
      </c>
      <c r="AJ183" t="str">
        <f t="shared" si="18"/>
        <v>High Trust</v>
      </c>
      <c r="AL183">
        <f t="shared" si="19"/>
        <v>95.1</v>
      </c>
      <c r="AM183" t="str">
        <f t="shared" si="20"/>
        <v>High School</v>
      </c>
    </row>
    <row r="184" spans="1:39" x14ac:dyDescent="0.25">
      <c r="A184" t="s">
        <v>68</v>
      </c>
      <c r="B184" t="s">
        <v>73</v>
      </c>
      <c r="C184">
        <v>62.89</v>
      </c>
      <c r="D184">
        <v>324</v>
      </c>
      <c r="E184" t="b">
        <v>1</v>
      </c>
      <c r="F184" t="b">
        <v>1</v>
      </c>
      <c r="G184" t="b">
        <v>1</v>
      </c>
      <c r="H184" t="s">
        <v>53</v>
      </c>
      <c r="I184" t="s">
        <v>63</v>
      </c>
      <c r="J184" t="s">
        <v>54</v>
      </c>
      <c r="K184" t="s">
        <v>28</v>
      </c>
      <c r="L184" t="s">
        <v>29</v>
      </c>
      <c r="M184" t="s">
        <v>46</v>
      </c>
      <c r="N184" t="s">
        <v>46</v>
      </c>
      <c r="O184" t="b">
        <v>1</v>
      </c>
      <c r="P184" t="b">
        <v>1</v>
      </c>
      <c r="Q184">
        <v>9</v>
      </c>
      <c r="R184" t="b">
        <v>1</v>
      </c>
      <c r="S184" t="s">
        <v>48</v>
      </c>
      <c r="T184">
        <v>9.8000000000000007</v>
      </c>
      <c r="U184">
        <v>53.07</v>
      </c>
      <c r="V184" t="b">
        <v>0</v>
      </c>
      <c r="W184" t="s">
        <v>31</v>
      </c>
      <c r="AE184" t="str">
        <f t="shared" si="14"/>
        <v>Yes</v>
      </c>
      <c r="AF184" t="str">
        <f t="shared" si="15"/>
        <v>Medium</v>
      </c>
      <c r="AG184" t="str">
        <f t="shared" si="16"/>
        <v>Yes</v>
      </c>
      <c r="AH184" t="str">
        <f t="shared" si="17"/>
        <v>Consulted Documentation</v>
      </c>
      <c r="AJ184" t="str">
        <f t="shared" si="18"/>
        <v>High Trust</v>
      </c>
      <c r="AL184">
        <f t="shared" si="19"/>
        <v>53.1</v>
      </c>
      <c r="AM184" t="str">
        <f t="shared" si="20"/>
        <v>Masters</v>
      </c>
    </row>
    <row r="185" spans="1:39" x14ac:dyDescent="0.25">
      <c r="A185" t="s">
        <v>32</v>
      </c>
      <c r="B185" t="s">
        <v>60</v>
      </c>
      <c r="C185">
        <v>63.53</v>
      </c>
      <c r="D185">
        <v>593</v>
      </c>
      <c r="E185" t="b">
        <v>1</v>
      </c>
      <c r="F185" t="b">
        <v>0</v>
      </c>
      <c r="G185" t="b">
        <v>1</v>
      </c>
      <c r="H185" t="s">
        <v>53</v>
      </c>
      <c r="I185" t="s">
        <v>63</v>
      </c>
      <c r="J185" t="s">
        <v>50</v>
      </c>
      <c r="K185" t="s">
        <v>39</v>
      </c>
      <c r="L185" t="s">
        <v>37</v>
      </c>
      <c r="M185" t="s">
        <v>47</v>
      </c>
      <c r="N185" t="s">
        <v>39</v>
      </c>
      <c r="O185" t="b">
        <v>0</v>
      </c>
      <c r="P185" t="b">
        <v>1</v>
      </c>
      <c r="Q185">
        <v>5.7</v>
      </c>
      <c r="R185" t="b">
        <v>1</v>
      </c>
      <c r="S185" t="s">
        <v>65</v>
      </c>
      <c r="T185">
        <v>34</v>
      </c>
      <c r="U185">
        <v>73.09</v>
      </c>
      <c r="V185" t="b">
        <v>1</v>
      </c>
      <c r="W185" t="s">
        <v>41</v>
      </c>
      <c r="AE185" t="str">
        <f t="shared" si="14"/>
        <v>No</v>
      </c>
      <c r="AF185" t="str">
        <f t="shared" si="15"/>
        <v>High</v>
      </c>
      <c r="AG185" t="str">
        <f t="shared" si="16"/>
        <v>No</v>
      </c>
      <c r="AH185" t="str">
        <f t="shared" si="17"/>
        <v>Cross-referenced Multiple AIs</v>
      </c>
      <c r="AJ185" t="str">
        <f t="shared" si="18"/>
        <v>Moderate Trust</v>
      </c>
      <c r="AL185">
        <f t="shared" si="19"/>
        <v>73.099999999999994</v>
      </c>
      <c r="AM185" t="str">
        <f t="shared" si="20"/>
        <v>Professional</v>
      </c>
    </row>
    <row r="186" spans="1:39" x14ac:dyDescent="0.25">
      <c r="A186" t="s">
        <v>74</v>
      </c>
      <c r="B186" t="s">
        <v>73</v>
      </c>
      <c r="C186">
        <v>69.95</v>
      </c>
      <c r="D186">
        <v>493</v>
      </c>
      <c r="E186" t="b">
        <v>0</v>
      </c>
      <c r="F186" t="b">
        <v>0</v>
      </c>
      <c r="G186" t="b">
        <v>1</v>
      </c>
      <c r="H186" t="s">
        <v>43</v>
      </c>
      <c r="I186" t="s">
        <v>63</v>
      </c>
      <c r="J186" t="s">
        <v>50</v>
      </c>
      <c r="K186" t="s">
        <v>28</v>
      </c>
      <c r="L186" t="s">
        <v>38</v>
      </c>
      <c r="M186" t="s">
        <v>28</v>
      </c>
      <c r="N186" t="s">
        <v>39</v>
      </c>
      <c r="P186" t="b">
        <v>0</v>
      </c>
      <c r="Q186">
        <v>9</v>
      </c>
      <c r="R186" t="b">
        <v>0</v>
      </c>
      <c r="T186">
        <v>0</v>
      </c>
      <c r="U186">
        <v>75.48</v>
      </c>
      <c r="V186" t="b">
        <v>1</v>
      </c>
      <c r="W186" t="s">
        <v>58</v>
      </c>
      <c r="AE186" t="str">
        <f t="shared" si="14"/>
        <v>No</v>
      </c>
      <c r="AF186" t="str">
        <f t="shared" si="15"/>
        <v>High</v>
      </c>
      <c r="AG186" t="str">
        <f t="shared" si="16"/>
        <v>No</v>
      </c>
      <c r="AH186" t="str">
        <f t="shared" si="17"/>
        <v>Unknown</v>
      </c>
      <c r="AJ186" t="str">
        <f t="shared" si="18"/>
        <v>High Trust</v>
      </c>
      <c r="AL186">
        <f t="shared" si="19"/>
        <v>75.5</v>
      </c>
      <c r="AM186" t="str">
        <f t="shared" si="20"/>
        <v>Professional</v>
      </c>
    </row>
    <row r="187" spans="1:39" x14ac:dyDescent="0.25">
      <c r="A187" t="s">
        <v>56</v>
      </c>
      <c r="B187" t="s">
        <v>33</v>
      </c>
      <c r="C187">
        <v>86.33</v>
      </c>
      <c r="D187">
        <v>450</v>
      </c>
      <c r="E187" t="b">
        <v>0</v>
      </c>
      <c r="F187" t="b">
        <v>0</v>
      </c>
      <c r="G187" t="b">
        <v>1</v>
      </c>
      <c r="H187" t="s">
        <v>43</v>
      </c>
      <c r="I187" t="s">
        <v>44</v>
      </c>
      <c r="J187" t="s">
        <v>27</v>
      </c>
      <c r="K187" t="s">
        <v>37</v>
      </c>
      <c r="L187" t="s">
        <v>38</v>
      </c>
      <c r="M187" t="s">
        <v>28</v>
      </c>
      <c r="N187" t="s">
        <v>39</v>
      </c>
      <c r="P187" t="b">
        <v>0</v>
      </c>
      <c r="Q187">
        <v>10</v>
      </c>
      <c r="R187" t="b">
        <v>0</v>
      </c>
      <c r="T187">
        <v>0</v>
      </c>
      <c r="U187">
        <v>80.760000000000005</v>
      </c>
      <c r="V187" t="b">
        <v>1</v>
      </c>
      <c r="W187" t="s">
        <v>58</v>
      </c>
      <c r="AE187" t="str">
        <f t="shared" si="14"/>
        <v>No</v>
      </c>
      <c r="AF187" t="str">
        <f t="shared" si="15"/>
        <v>High</v>
      </c>
      <c r="AG187" t="str">
        <f t="shared" si="16"/>
        <v>No</v>
      </c>
      <c r="AH187" t="str">
        <f t="shared" si="17"/>
        <v>Unknown</v>
      </c>
      <c r="AJ187" t="str">
        <f t="shared" si="18"/>
        <v>High Trust</v>
      </c>
      <c r="AL187">
        <f t="shared" si="19"/>
        <v>80.8</v>
      </c>
      <c r="AM187" t="str">
        <f t="shared" si="20"/>
        <v>Bachelors</v>
      </c>
    </row>
    <row r="188" spans="1:39" x14ac:dyDescent="0.25">
      <c r="A188" t="s">
        <v>68</v>
      </c>
      <c r="B188" t="s">
        <v>71</v>
      </c>
      <c r="C188">
        <v>47.94</v>
      </c>
      <c r="D188">
        <v>489</v>
      </c>
      <c r="E188" t="b">
        <v>0</v>
      </c>
      <c r="F188" t="b">
        <v>0</v>
      </c>
      <c r="G188" t="b">
        <v>1</v>
      </c>
      <c r="H188" t="s">
        <v>25</v>
      </c>
      <c r="I188" t="s">
        <v>26</v>
      </c>
      <c r="J188" t="s">
        <v>36</v>
      </c>
      <c r="K188" t="s">
        <v>28</v>
      </c>
      <c r="L188" t="s">
        <v>69</v>
      </c>
      <c r="M188" t="s">
        <v>47</v>
      </c>
      <c r="O188" t="b">
        <v>1</v>
      </c>
      <c r="P188" t="b">
        <v>1</v>
      </c>
      <c r="Q188">
        <v>6.5</v>
      </c>
      <c r="R188" t="b">
        <v>1</v>
      </c>
      <c r="S188" t="s">
        <v>55</v>
      </c>
      <c r="T188">
        <v>3.5</v>
      </c>
      <c r="U188">
        <v>49.56</v>
      </c>
      <c r="V188" t="b">
        <v>1</v>
      </c>
      <c r="W188" t="s">
        <v>41</v>
      </c>
      <c r="AE188" t="str">
        <f t="shared" si="14"/>
        <v>No</v>
      </c>
      <c r="AF188" t="str">
        <f t="shared" si="15"/>
        <v>Unknown</v>
      </c>
      <c r="AG188" t="str">
        <f t="shared" si="16"/>
        <v>Yes</v>
      </c>
      <c r="AH188" t="str">
        <f t="shared" si="17"/>
        <v>Academic Paper</v>
      </c>
      <c r="AJ188" t="str">
        <f t="shared" si="18"/>
        <v>Moderate Trust</v>
      </c>
      <c r="AL188">
        <f t="shared" si="19"/>
        <v>49.6</v>
      </c>
      <c r="AM188" t="str">
        <f t="shared" si="20"/>
        <v>PhD</v>
      </c>
    </row>
    <row r="189" spans="1:39" x14ac:dyDescent="0.25">
      <c r="A189" t="s">
        <v>74</v>
      </c>
      <c r="B189" t="s">
        <v>24</v>
      </c>
      <c r="C189">
        <v>97.09</v>
      </c>
      <c r="D189">
        <v>412</v>
      </c>
      <c r="E189" t="b">
        <v>1</v>
      </c>
      <c r="F189" t="b">
        <v>0</v>
      </c>
      <c r="G189" t="b">
        <v>1</v>
      </c>
      <c r="H189" t="s">
        <v>25</v>
      </c>
      <c r="I189" t="s">
        <v>44</v>
      </c>
      <c r="J189" t="s">
        <v>36</v>
      </c>
      <c r="K189" t="s">
        <v>39</v>
      </c>
      <c r="L189" t="s">
        <v>51</v>
      </c>
      <c r="M189" t="s">
        <v>28</v>
      </c>
      <c r="O189" t="b">
        <v>1</v>
      </c>
      <c r="P189" t="b">
        <v>1</v>
      </c>
      <c r="Q189">
        <v>10</v>
      </c>
      <c r="R189" t="b">
        <v>1</v>
      </c>
      <c r="S189" t="s">
        <v>75</v>
      </c>
      <c r="T189">
        <v>5.5</v>
      </c>
      <c r="U189">
        <v>86.07</v>
      </c>
      <c r="V189" t="b">
        <v>1</v>
      </c>
      <c r="W189" t="s">
        <v>31</v>
      </c>
      <c r="AE189" t="str">
        <f t="shared" si="14"/>
        <v>No</v>
      </c>
      <c r="AF189" t="str">
        <f t="shared" si="15"/>
        <v>Unknown</v>
      </c>
      <c r="AG189" t="str">
        <f t="shared" si="16"/>
        <v>Yes</v>
      </c>
      <c r="AH189" t="str">
        <f t="shared" si="17"/>
        <v>Asked Colleague</v>
      </c>
      <c r="AJ189" t="str">
        <f t="shared" si="18"/>
        <v>High Trust</v>
      </c>
      <c r="AL189">
        <f t="shared" si="19"/>
        <v>86.1</v>
      </c>
      <c r="AM189" t="str">
        <f t="shared" si="20"/>
        <v>PhD</v>
      </c>
    </row>
    <row r="190" spans="1:39" x14ac:dyDescent="0.25">
      <c r="A190" t="s">
        <v>32</v>
      </c>
      <c r="B190" t="s">
        <v>33</v>
      </c>
      <c r="C190">
        <v>86.57</v>
      </c>
      <c r="D190">
        <v>468</v>
      </c>
      <c r="E190" t="b">
        <v>0</v>
      </c>
      <c r="F190" t="b">
        <v>1</v>
      </c>
      <c r="G190" t="b">
        <v>0</v>
      </c>
      <c r="H190" t="s">
        <v>34</v>
      </c>
      <c r="I190" t="s">
        <v>44</v>
      </c>
      <c r="J190" t="s">
        <v>45</v>
      </c>
      <c r="K190" t="s">
        <v>37</v>
      </c>
      <c r="L190" t="s">
        <v>29</v>
      </c>
      <c r="M190" t="s">
        <v>47</v>
      </c>
      <c r="N190" t="s">
        <v>28</v>
      </c>
      <c r="O190" t="b">
        <v>1</v>
      </c>
      <c r="P190" t="b">
        <v>1</v>
      </c>
      <c r="Q190">
        <v>8.3000000000000007</v>
      </c>
      <c r="R190" t="b">
        <v>1</v>
      </c>
      <c r="S190" t="s">
        <v>48</v>
      </c>
      <c r="T190">
        <v>14.7</v>
      </c>
      <c r="U190">
        <v>88.68</v>
      </c>
      <c r="V190" t="b">
        <v>1</v>
      </c>
      <c r="W190" t="s">
        <v>31</v>
      </c>
      <c r="AE190" t="str">
        <f t="shared" si="14"/>
        <v>Yes</v>
      </c>
      <c r="AF190" t="str">
        <f t="shared" si="15"/>
        <v>Low</v>
      </c>
      <c r="AG190" t="str">
        <f t="shared" si="16"/>
        <v>Yes</v>
      </c>
      <c r="AH190" t="str">
        <f t="shared" si="17"/>
        <v>Consulted Documentation</v>
      </c>
      <c r="AJ190" t="str">
        <f t="shared" si="18"/>
        <v>High Trust</v>
      </c>
      <c r="AL190">
        <f t="shared" si="19"/>
        <v>88.7</v>
      </c>
      <c r="AM190" t="str">
        <f t="shared" si="20"/>
        <v>High School</v>
      </c>
    </row>
    <row r="191" spans="1:39" x14ac:dyDescent="0.25">
      <c r="A191" t="s">
        <v>56</v>
      </c>
      <c r="B191" t="s">
        <v>66</v>
      </c>
      <c r="C191">
        <v>78.19</v>
      </c>
      <c r="D191">
        <v>713</v>
      </c>
      <c r="E191" t="b">
        <v>0</v>
      </c>
      <c r="F191" t="b">
        <v>0</v>
      </c>
      <c r="G191" t="b">
        <v>1</v>
      </c>
      <c r="H191" t="s">
        <v>34</v>
      </c>
      <c r="I191" t="s">
        <v>44</v>
      </c>
      <c r="J191" t="s">
        <v>45</v>
      </c>
      <c r="K191" t="s">
        <v>28</v>
      </c>
      <c r="L191" t="s">
        <v>69</v>
      </c>
      <c r="M191" t="s">
        <v>28</v>
      </c>
      <c r="N191" t="s">
        <v>46</v>
      </c>
      <c r="P191" t="b">
        <v>0</v>
      </c>
      <c r="Q191">
        <v>9.9</v>
      </c>
      <c r="R191" t="b">
        <v>0</v>
      </c>
      <c r="T191">
        <v>0</v>
      </c>
      <c r="U191">
        <v>66.53</v>
      </c>
      <c r="V191" t="b">
        <v>0</v>
      </c>
      <c r="W191" t="s">
        <v>58</v>
      </c>
      <c r="AE191" t="str">
        <f t="shared" si="14"/>
        <v>No</v>
      </c>
      <c r="AF191" t="str">
        <f t="shared" si="15"/>
        <v>Medium</v>
      </c>
      <c r="AG191" t="str">
        <f t="shared" si="16"/>
        <v>No</v>
      </c>
      <c r="AH191" t="str">
        <f t="shared" si="17"/>
        <v>Unknown</v>
      </c>
      <c r="AJ191" t="str">
        <f t="shared" si="18"/>
        <v>High Trust</v>
      </c>
      <c r="AL191">
        <f t="shared" si="19"/>
        <v>66.5</v>
      </c>
      <c r="AM191" t="str">
        <f t="shared" si="20"/>
        <v>High School</v>
      </c>
    </row>
    <row r="192" spans="1:39" x14ac:dyDescent="0.25">
      <c r="A192" t="s">
        <v>23</v>
      </c>
      <c r="B192" t="s">
        <v>60</v>
      </c>
      <c r="C192">
        <v>58.61</v>
      </c>
      <c r="D192">
        <v>283</v>
      </c>
      <c r="E192" t="b">
        <v>0</v>
      </c>
      <c r="F192" t="b">
        <v>0</v>
      </c>
      <c r="G192" t="b">
        <v>0</v>
      </c>
      <c r="H192" t="s">
        <v>34</v>
      </c>
      <c r="I192" t="s">
        <v>57</v>
      </c>
      <c r="J192" t="s">
        <v>45</v>
      </c>
      <c r="K192" t="s">
        <v>28</v>
      </c>
      <c r="L192" t="s">
        <v>38</v>
      </c>
      <c r="M192" t="s">
        <v>46</v>
      </c>
      <c r="N192" t="s">
        <v>28</v>
      </c>
      <c r="P192" t="b">
        <v>1</v>
      </c>
      <c r="Q192">
        <v>7.6</v>
      </c>
      <c r="R192" t="b">
        <v>0</v>
      </c>
      <c r="T192">
        <v>0</v>
      </c>
      <c r="U192">
        <v>47.19</v>
      </c>
      <c r="V192" t="b">
        <v>0</v>
      </c>
      <c r="W192" t="s">
        <v>31</v>
      </c>
      <c r="AE192" t="str">
        <f t="shared" si="14"/>
        <v>No</v>
      </c>
      <c r="AF192" t="str">
        <f t="shared" si="15"/>
        <v>Low</v>
      </c>
      <c r="AG192" t="str">
        <f t="shared" si="16"/>
        <v>No</v>
      </c>
      <c r="AH192" t="str">
        <f t="shared" si="17"/>
        <v>Unknown</v>
      </c>
      <c r="AJ192" t="str">
        <f t="shared" si="18"/>
        <v>Moderate Trust</v>
      </c>
      <c r="AL192">
        <f t="shared" si="19"/>
        <v>47.2</v>
      </c>
      <c r="AM192" t="str">
        <f t="shared" si="20"/>
        <v>High School</v>
      </c>
    </row>
    <row r="193" spans="1:39" x14ac:dyDescent="0.25">
      <c r="A193" t="s">
        <v>23</v>
      </c>
      <c r="B193" t="s">
        <v>60</v>
      </c>
      <c r="C193">
        <v>60.88</v>
      </c>
      <c r="D193">
        <v>403</v>
      </c>
      <c r="E193" t="b">
        <v>0</v>
      </c>
      <c r="F193" t="b">
        <v>1</v>
      </c>
      <c r="G193" t="b">
        <v>0</v>
      </c>
      <c r="H193" t="s">
        <v>34</v>
      </c>
      <c r="I193" t="s">
        <v>67</v>
      </c>
      <c r="J193" t="s">
        <v>45</v>
      </c>
      <c r="K193" t="s">
        <v>39</v>
      </c>
      <c r="L193" t="s">
        <v>37</v>
      </c>
      <c r="M193" t="s">
        <v>28</v>
      </c>
      <c r="N193" t="s">
        <v>46</v>
      </c>
      <c r="P193" t="b">
        <v>1</v>
      </c>
      <c r="Q193">
        <v>6.3</v>
      </c>
      <c r="R193" t="b">
        <v>0</v>
      </c>
      <c r="T193">
        <v>0</v>
      </c>
      <c r="U193">
        <v>68.34</v>
      </c>
      <c r="V193" t="b">
        <v>1</v>
      </c>
      <c r="W193" t="s">
        <v>31</v>
      </c>
      <c r="AE193" t="str">
        <f t="shared" si="14"/>
        <v>Yes</v>
      </c>
      <c r="AF193" t="str">
        <f t="shared" si="15"/>
        <v>Medium</v>
      </c>
      <c r="AG193" t="str">
        <f t="shared" si="16"/>
        <v>No</v>
      </c>
      <c r="AH193" t="str">
        <f t="shared" si="17"/>
        <v>Unknown</v>
      </c>
      <c r="AJ193" t="str">
        <f t="shared" si="18"/>
        <v>Moderate Trust</v>
      </c>
      <c r="AL193">
        <f t="shared" si="19"/>
        <v>68.3</v>
      </c>
      <c r="AM193" t="str">
        <f t="shared" si="20"/>
        <v>High School</v>
      </c>
    </row>
    <row r="194" spans="1:39" x14ac:dyDescent="0.25">
      <c r="A194" t="s">
        <v>68</v>
      </c>
      <c r="B194" t="s">
        <v>59</v>
      </c>
      <c r="C194">
        <v>76.290000000000006</v>
      </c>
      <c r="D194">
        <v>549</v>
      </c>
      <c r="E194" t="b">
        <v>1</v>
      </c>
      <c r="F194" t="b">
        <v>1</v>
      </c>
      <c r="G194" t="b">
        <v>1</v>
      </c>
      <c r="H194" t="s">
        <v>43</v>
      </c>
      <c r="I194" t="s">
        <v>67</v>
      </c>
      <c r="J194" t="s">
        <v>27</v>
      </c>
      <c r="K194" t="s">
        <v>39</v>
      </c>
      <c r="L194" t="s">
        <v>51</v>
      </c>
      <c r="M194" t="s">
        <v>47</v>
      </c>
      <c r="N194" t="s">
        <v>28</v>
      </c>
      <c r="O194" t="b">
        <v>1</v>
      </c>
      <c r="P194" t="b">
        <v>1</v>
      </c>
      <c r="Q194">
        <v>8.5</v>
      </c>
      <c r="R194" t="b">
        <v>1</v>
      </c>
      <c r="S194" t="s">
        <v>65</v>
      </c>
      <c r="T194">
        <v>18.399999999999999</v>
      </c>
      <c r="U194">
        <v>71.62</v>
      </c>
      <c r="V194" t="b">
        <v>1</v>
      </c>
      <c r="W194" t="s">
        <v>31</v>
      </c>
      <c r="AE194" t="str">
        <f t="shared" si="14"/>
        <v>Yes</v>
      </c>
      <c r="AF194" t="str">
        <f t="shared" si="15"/>
        <v>Low</v>
      </c>
      <c r="AG194" t="str">
        <f t="shared" si="16"/>
        <v>Yes</v>
      </c>
      <c r="AH194" t="str">
        <f t="shared" si="17"/>
        <v>Cross-referenced Multiple AIs</v>
      </c>
      <c r="AJ194" t="str">
        <f t="shared" si="18"/>
        <v>High Trust</v>
      </c>
      <c r="AL194">
        <f t="shared" si="19"/>
        <v>71.599999999999994</v>
      </c>
      <c r="AM194" t="str">
        <f t="shared" si="20"/>
        <v>Bachelors</v>
      </c>
    </row>
    <row r="195" spans="1:39" x14ac:dyDescent="0.25">
      <c r="A195" t="s">
        <v>74</v>
      </c>
      <c r="B195" t="s">
        <v>70</v>
      </c>
      <c r="C195">
        <v>80.319999999999993</v>
      </c>
      <c r="D195">
        <v>51</v>
      </c>
      <c r="E195" t="b">
        <v>1</v>
      </c>
      <c r="F195" t="b">
        <v>0</v>
      </c>
      <c r="G195" t="b">
        <v>0</v>
      </c>
      <c r="H195" t="s">
        <v>25</v>
      </c>
      <c r="I195" t="s">
        <v>35</v>
      </c>
      <c r="J195" t="s">
        <v>45</v>
      </c>
      <c r="K195" t="s">
        <v>28</v>
      </c>
      <c r="L195" t="s">
        <v>29</v>
      </c>
      <c r="M195" t="s">
        <v>28</v>
      </c>
      <c r="N195" t="s">
        <v>39</v>
      </c>
      <c r="O195" t="b">
        <v>0</v>
      </c>
      <c r="P195" t="b">
        <v>1</v>
      </c>
      <c r="Q195">
        <v>9.1</v>
      </c>
      <c r="R195" t="b">
        <v>0</v>
      </c>
      <c r="T195">
        <v>0</v>
      </c>
      <c r="U195">
        <v>78.540000000000006</v>
      </c>
      <c r="V195" t="b">
        <v>1</v>
      </c>
      <c r="W195" t="s">
        <v>58</v>
      </c>
      <c r="AE195" t="str">
        <f t="shared" ref="AE195:AE258" si="21">IF(F195=TRUE,"Yes","No")</f>
        <v>No</v>
      </c>
      <c r="AF195" t="str">
        <f t="shared" ref="AF195:AF258" si="22">IF(ISBLANK(N195),"Unknown",N195)</f>
        <v>High</v>
      </c>
      <c r="AG195" t="str">
        <f t="shared" ref="AG195:AG258" si="23">IF(O195=TRUE,"Yes","No")</f>
        <v>No</v>
      </c>
      <c r="AH195" t="str">
        <f t="shared" ref="AH195:AH258" si="24">IF(ISBLANK(S195),"Unknown",S195)</f>
        <v>Unknown</v>
      </c>
      <c r="AJ195" t="str">
        <f t="shared" ref="AJ195:AJ258" si="25">IF(Q195&gt;=8,"High Trust",
IF(Q196&gt;=5,"Moderate Trust","Low Trust"))</f>
        <v>High Trust</v>
      </c>
      <c r="AL195">
        <f t="shared" ref="AL195:AL258" si="26">ROUND(U195,1)</f>
        <v>78.5</v>
      </c>
      <c r="AM195" t="str">
        <f t="shared" ref="AM195:AM258" si="27">TRIM(J195)</f>
        <v>High School</v>
      </c>
    </row>
    <row r="196" spans="1:39" x14ac:dyDescent="0.25">
      <c r="A196" t="s">
        <v>74</v>
      </c>
      <c r="B196" t="s">
        <v>66</v>
      </c>
      <c r="C196">
        <v>60.97</v>
      </c>
      <c r="D196">
        <v>622</v>
      </c>
      <c r="E196" t="b">
        <v>1</v>
      </c>
      <c r="F196" t="b">
        <v>1</v>
      </c>
      <c r="G196" t="b">
        <v>1</v>
      </c>
      <c r="H196" t="s">
        <v>43</v>
      </c>
      <c r="I196" t="s">
        <v>26</v>
      </c>
      <c r="J196" t="s">
        <v>45</v>
      </c>
      <c r="K196" t="s">
        <v>46</v>
      </c>
      <c r="L196" t="s">
        <v>37</v>
      </c>
      <c r="M196" t="s">
        <v>46</v>
      </c>
      <c r="N196" t="s">
        <v>46</v>
      </c>
      <c r="P196" t="b">
        <v>0</v>
      </c>
      <c r="Q196">
        <v>7.6</v>
      </c>
      <c r="R196" t="b">
        <v>0</v>
      </c>
      <c r="T196">
        <v>0</v>
      </c>
      <c r="U196">
        <v>46.25</v>
      </c>
      <c r="V196" t="b">
        <v>0</v>
      </c>
      <c r="W196" t="s">
        <v>31</v>
      </c>
      <c r="AE196" t="str">
        <f t="shared" si="21"/>
        <v>Yes</v>
      </c>
      <c r="AF196" t="str">
        <f t="shared" si="22"/>
        <v>Medium</v>
      </c>
      <c r="AG196" t="str">
        <f t="shared" si="23"/>
        <v>No</v>
      </c>
      <c r="AH196" t="str">
        <f t="shared" si="24"/>
        <v>Unknown</v>
      </c>
      <c r="AJ196" t="str">
        <f t="shared" si="25"/>
        <v>Moderate Trust</v>
      </c>
      <c r="AL196">
        <f t="shared" si="26"/>
        <v>46.3</v>
      </c>
      <c r="AM196" t="str">
        <f t="shared" si="27"/>
        <v>High School</v>
      </c>
    </row>
    <row r="197" spans="1:39" x14ac:dyDescent="0.25">
      <c r="A197" t="s">
        <v>23</v>
      </c>
      <c r="B197" t="s">
        <v>71</v>
      </c>
      <c r="C197">
        <v>43.83</v>
      </c>
      <c r="D197">
        <v>681</v>
      </c>
      <c r="E197" t="b">
        <v>1</v>
      </c>
      <c r="F197" t="b">
        <v>0</v>
      </c>
      <c r="G197" t="b">
        <v>1</v>
      </c>
      <c r="H197" t="s">
        <v>43</v>
      </c>
      <c r="I197" t="s">
        <v>35</v>
      </c>
      <c r="J197" t="s">
        <v>36</v>
      </c>
      <c r="K197" t="s">
        <v>37</v>
      </c>
      <c r="L197" t="s">
        <v>69</v>
      </c>
      <c r="M197" t="s">
        <v>28</v>
      </c>
      <c r="N197" t="s">
        <v>28</v>
      </c>
      <c r="O197" t="b">
        <v>1</v>
      </c>
      <c r="P197" t="b">
        <v>0</v>
      </c>
      <c r="Q197">
        <v>8.4</v>
      </c>
      <c r="R197" t="b">
        <v>1</v>
      </c>
      <c r="S197" t="s">
        <v>64</v>
      </c>
      <c r="T197">
        <v>11.9</v>
      </c>
      <c r="U197">
        <v>24.79</v>
      </c>
      <c r="V197" t="b">
        <v>0</v>
      </c>
      <c r="W197" t="s">
        <v>31</v>
      </c>
      <c r="AE197" t="str">
        <f t="shared" si="21"/>
        <v>No</v>
      </c>
      <c r="AF197" t="str">
        <f t="shared" si="22"/>
        <v>Low</v>
      </c>
      <c r="AG197" t="str">
        <f t="shared" si="23"/>
        <v>Yes</v>
      </c>
      <c r="AH197" t="str">
        <f t="shared" si="24"/>
        <v>Personal Testing</v>
      </c>
      <c r="AJ197" t="str">
        <f t="shared" si="25"/>
        <v>High Trust</v>
      </c>
      <c r="AL197">
        <f t="shared" si="26"/>
        <v>24.8</v>
      </c>
      <c r="AM197" t="str">
        <f t="shared" si="27"/>
        <v>PhD</v>
      </c>
    </row>
    <row r="198" spans="1:39" x14ac:dyDescent="0.25">
      <c r="A198" t="s">
        <v>74</v>
      </c>
      <c r="B198" t="s">
        <v>76</v>
      </c>
      <c r="C198">
        <v>77.89</v>
      </c>
      <c r="D198">
        <v>83</v>
      </c>
      <c r="E198" t="b">
        <v>0</v>
      </c>
      <c r="F198" t="b">
        <v>0</v>
      </c>
      <c r="G198" t="b">
        <v>0</v>
      </c>
      <c r="H198" t="s">
        <v>53</v>
      </c>
      <c r="I198" t="s">
        <v>35</v>
      </c>
      <c r="J198" t="s">
        <v>50</v>
      </c>
      <c r="K198" t="s">
        <v>28</v>
      </c>
      <c r="L198" t="s">
        <v>29</v>
      </c>
      <c r="M198" t="s">
        <v>46</v>
      </c>
      <c r="N198" t="s">
        <v>28</v>
      </c>
      <c r="P198" t="b">
        <v>0</v>
      </c>
      <c r="Q198">
        <v>8.3000000000000007</v>
      </c>
      <c r="R198" t="b">
        <v>1</v>
      </c>
      <c r="S198" t="s">
        <v>55</v>
      </c>
      <c r="T198">
        <v>2.8</v>
      </c>
      <c r="U198">
        <v>70.239999999999995</v>
      </c>
      <c r="V198" t="b">
        <v>1</v>
      </c>
      <c r="W198" t="s">
        <v>31</v>
      </c>
      <c r="AE198" t="str">
        <f t="shared" si="21"/>
        <v>No</v>
      </c>
      <c r="AF198" t="str">
        <f t="shared" si="22"/>
        <v>Low</v>
      </c>
      <c r="AG198" t="str">
        <f t="shared" si="23"/>
        <v>No</v>
      </c>
      <c r="AH198" t="str">
        <f t="shared" si="24"/>
        <v>Academic Paper</v>
      </c>
      <c r="AJ198" t="str">
        <f t="shared" si="25"/>
        <v>High Trust</v>
      </c>
      <c r="AL198">
        <f t="shared" si="26"/>
        <v>70.2</v>
      </c>
      <c r="AM198" t="str">
        <f t="shared" si="27"/>
        <v>Professional</v>
      </c>
    </row>
    <row r="199" spans="1:39" x14ac:dyDescent="0.25">
      <c r="A199" t="s">
        <v>23</v>
      </c>
      <c r="B199" t="s">
        <v>42</v>
      </c>
      <c r="C199">
        <v>81.69</v>
      </c>
      <c r="D199">
        <v>555</v>
      </c>
      <c r="E199" t="b">
        <v>0</v>
      </c>
      <c r="F199" t="b">
        <v>1</v>
      </c>
      <c r="G199" t="b">
        <v>1</v>
      </c>
      <c r="H199" t="s">
        <v>34</v>
      </c>
      <c r="I199" t="s">
        <v>26</v>
      </c>
      <c r="J199" t="s">
        <v>27</v>
      </c>
      <c r="K199" t="s">
        <v>37</v>
      </c>
      <c r="L199" t="s">
        <v>69</v>
      </c>
      <c r="M199" t="s">
        <v>47</v>
      </c>
      <c r="N199" t="s">
        <v>46</v>
      </c>
      <c r="O199" t="b">
        <v>1</v>
      </c>
      <c r="P199" t="b">
        <v>0</v>
      </c>
      <c r="Q199">
        <v>9.1</v>
      </c>
      <c r="R199" t="b">
        <v>0</v>
      </c>
      <c r="T199">
        <v>0</v>
      </c>
      <c r="U199">
        <v>74.680000000000007</v>
      </c>
      <c r="V199" t="b">
        <v>1</v>
      </c>
      <c r="W199" t="s">
        <v>58</v>
      </c>
      <c r="AE199" t="str">
        <f t="shared" si="21"/>
        <v>Yes</v>
      </c>
      <c r="AF199" t="str">
        <f t="shared" si="22"/>
        <v>Medium</v>
      </c>
      <c r="AG199" t="str">
        <f t="shared" si="23"/>
        <v>Yes</v>
      </c>
      <c r="AH199" t="str">
        <f t="shared" si="24"/>
        <v>Unknown</v>
      </c>
      <c r="AJ199" t="str">
        <f t="shared" si="25"/>
        <v>High Trust</v>
      </c>
      <c r="AL199">
        <f t="shared" si="26"/>
        <v>74.7</v>
      </c>
      <c r="AM199" t="str">
        <f t="shared" si="27"/>
        <v>Bachelors</v>
      </c>
    </row>
    <row r="200" spans="1:39" x14ac:dyDescent="0.25">
      <c r="A200" t="s">
        <v>32</v>
      </c>
      <c r="B200" t="s">
        <v>62</v>
      </c>
      <c r="C200">
        <v>57.69</v>
      </c>
      <c r="D200">
        <v>701</v>
      </c>
      <c r="E200" t="b">
        <v>1</v>
      </c>
      <c r="F200" t="b">
        <v>0</v>
      </c>
      <c r="G200" t="b">
        <v>1</v>
      </c>
      <c r="H200" t="s">
        <v>34</v>
      </c>
      <c r="I200" t="s">
        <v>63</v>
      </c>
      <c r="J200" t="s">
        <v>54</v>
      </c>
      <c r="K200" t="s">
        <v>28</v>
      </c>
      <c r="L200" t="s">
        <v>69</v>
      </c>
      <c r="M200" t="s">
        <v>46</v>
      </c>
      <c r="N200" t="s">
        <v>28</v>
      </c>
      <c r="O200" t="b">
        <v>0</v>
      </c>
      <c r="P200" t="b">
        <v>0</v>
      </c>
      <c r="Q200">
        <v>7.2</v>
      </c>
      <c r="R200" t="b">
        <v>1</v>
      </c>
      <c r="S200" t="s">
        <v>52</v>
      </c>
      <c r="T200">
        <v>13.3</v>
      </c>
      <c r="U200">
        <v>60.87</v>
      </c>
      <c r="V200" t="b">
        <v>1</v>
      </c>
      <c r="W200" t="s">
        <v>41</v>
      </c>
      <c r="AE200" t="str">
        <f t="shared" si="21"/>
        <v>No</v>
      </c>
      <c r="AF200" t="str">
        <f t="shared" si="22"/>
        <v>Low</v>
      </c>
      <c r="AG200" t="str">
        <f t="shared" si="23"/>
        <v>No</v>
      </c>
      <c r="AH200" t="str">
        <f t="shared" si="24"/>
        <v>Checked Official Source</v>
      </c>
      <c r="AJ200" t="str">
        <f t="shared" si="25"/>
        <v>Moderate Trust</v>
      </c>
      <c r="AL200">
        <f t="shared" si="26"/>
        <v>60.9</v>
      </c>
      <c r="AM200" t="str">
        <f t="shared" si="27"/>
        <v>Masters</v>
      </c>
    </row>
    <row r="201" spans="1:39" x14ac:dyDescent="0.25">
      <c r="A201" t="s">
        <v>68</v>
      </c>
      <c r="B201" t="s">
        <v>33</v>
      </c>
      <c r="C201">
        <v>86.33</v>
      </c>
      <c r="D201">
        <v>184</v>
      </c>
      <c r="E201" t="b">
        <v>0</v>
      </c>
      <c r="F201" t="b">
        <v>1</v>
      </c>
      <c r="G201" t="b">
        <v>1</v>
      </c>
      <c r="H201" t="s">
        <v>25</v>
      </c>
      <c r="I201" t="s">
        <v>57</v>
      </c>
      <c r="J201" t="s">
        <v>36</v>
      </c>
      <c r="K201" t="s">
        <v>37</v>
      </c>
      <c r="L201" t="s">
        <v>38</v>
      </c>
      <c r="M201" t="s">
        <v>28</v>
      </c>
      <c r="N201" t="s">
        <v>28</v>
      </c>
      <c r="P201" t="b">
        <v>1</v>
      </c>
      <c r="Q201">
        <v>9.6999999999999993</v>
      </c>
      <c r="R201" t="b">
        <v>1</v>
      </c>
      <c r="S201" t="s">
        <v>48</v>
      </c>
      <c r="T201">
        <v>15.4</v>
      </c>
      <c r="U201">
        <v>88.66</v>
      </c>
      <c r="V201" t="b">
        <v>1</v>
      </c>
      <c r="W201" t="s">
        <v>31</v>
      </c>
      <c r="AE201" t="str">
        <f t="shared" si="21"/>
        <v>Yes</v>
      </c>
      <c r="AF201" t="str">
        <f t="shared" si="22"/>
        <v>Low</v>
      </c>
      <c r="AG201" t="str">
        <f t="shared" si="23"/>
        <v>No</v>
      </c>
      <c r="AH201" t="str">
        <f t="shared" si="24"/>
        <v>Consulted Documentation</v>
      </c>
      <c r="AJ201" t="str">
        <f t="shared" si="25"/>
        <v>High Trust</v>
      </c>
      <c r="AL201">
        <f t="shared" si="26"/>
        <v>88.7</v>
      </c>
      <c r="AM201" t="str">
        <f t="shared" si="27"/>
        <v>PhD</v>
      </c>
    </row>
    <row r="202" spans="1:39" x14ac:dyDescent="0.25">
      <c r="A202" t="s">
        <v>32</v>
      </c>
      <c r="B202" t="s">
        <v>73</v>
      </c>
      <c r="C202">
        <v>46.63</v>
      </c>
      <c r="D202">
        <v>342</v>
      </c>
      <c r="E202" t="b">
        <v>1</v>
      </c>
      <c r="F202" t="b">
        <v>0</v>
      </c>
      <c r="G202" t="b">
        <v>1</v>
      </c>
      <c r="H202" t="s">
        <v>53</v>
      </c>
      <c r="I202" t="s">
        <v>63</v>
      </c>
      <c r="J202" t="s">
        <v>45</v>
      </c>
      <c r="K202" t="s">
        <v>46</v>
      </c>
      <c r="L202" t="s">
        <v>38</v>
      </c>
      <c r="M202" t="s">
        <v>46</v>
      </c>
      <c r="O202" t="b">
        <v>0</v>
      </c>
      <c r="P202" t="b">
        <v>1</v>
      </c>
      <c r="Q202">
        <v>6.5</v>
      </c>
      <c r="R202" t="b">
        <v>0</v>
      </c>
      <c r="T202">
        <v>0</v>
      </c>
      <c r="U202">
        <v>59.79</v>
      </c>
      <c r="V202" t="b">
        <v>1</v>
      </c>
      <c r="W202" t="s">
        <v>31</v>
      </c>
      <c r="AE202" t="str">
        <f t="shared" si="21"/>
        <v>No</v>
      </c>
      <c r="AF202" t="str">
        <f t="shared" si="22"/>
        <v>Unknown</v>
      </c>
      <c r="AG202" t="str">
        <f t="shared" si="23"/>
        <v>No</v>
      </c>
      <c r="AH202" t="str">
        <f t="shared" si="24"/>
        <v>Unknown</v>
      </c>
      <c r="AJ202" t="str">
        <f t="shared" si="25"/>
        <v>Moderate Trust</v>
      </c>
      <c r="AL202">
        <f t="shared" si="26"/>
        <v>59.8</v>
      </c>
      <c r="AM202" t="str">
        <f t="shared" si="27"/>
        <v>High School</v>
      </c>
    </row>
    <row r="203" spans="1:39" x14ac:dyDescent="0.25">
      <c r="A203" t="s">
        <v>23</v>
      </c>
      <c r="B203" t="s">
        <v>33</v>
      </c>
      <c r="C203">
        <v>86.04</v>
      </c>
      <c r="D203">
        <v>64</v>
      </c>
      <c r="E203" t="b">
        <v>1</v>
      </c>
      <c r="F203" t="b">
        <v>1</v>
      </c>
      <c r="G203" t="b">
        <v>0</v>
      </c>
      <c r="H203" t="s">
        <v>43</v>
      </c>
      <c r="I203" t="s">
        <v>63</v>
      </c>
      <c r="J203" t="s">
        <v>54</v>
      </c>
      <c r="K203" t="s">
        <v>46</v>
      </c>
      <c r="L203" t="s">
        <v>69</v>
      </c>
      <c r="M203" t="s">
        <v>28</v>
      </c>
      <c r="N203" t="s">
        <v>46</v>
      </c>
      <c r="O203" t="b">
        <v>0</v>
      </c>
      <c r="P203" t="b">
        <v>1</v>
      </c>
      <c r="Q203">
        <v>9.8000000000000007</v>
      </c>
      <c r="R203" t="b">
        <v>0</v>
      </c>
      <c r="T203">
        <v>0</v>
      </c>
      <c r="U203">
        <v>82.22</v>
      </c>
      <c r="V203" t="b">
        <v>1</v>
      </c>
      <c r="W203" t="s">
        <v>58</v>
      </c>
      <c r="AE203" t="str">
        <f t="shared" si="21"/>
        <v>Yes</v>
      </c>
      <c r="AF203" t="str">
        <f t="shared" si="22"/>
        <v>Medium</v>
      </c>
      <c r="AG203" t="str">
        <f t="shared" si="23"/>
        <v>No</v>
      </c>
      <c r="AH203" t="str">
        <f t="shared" si="24"/>
        <v>Unknown</v>
      </c>
      <c r="AJ203" t="str">
        <f t="shared" si="25"/>
        <v>High Trust</v>
      </c>
      <c r="AL203">
        <f t="shared" si="26"/>
        <v>82.2</v>
      </c>
      <c r="AM203" t="str">
        <f t="shared" si="27"/>
        <v>Masters</v>
      </c>
    </row>
    <row r="204" spans="1:39" x14ac:dyDescent="0.25">
      <c r="A204" t="s">
        <v>68</v>
      </c>
      <c r="B204" t="s">
        <v>42</v>
      </c>
      <c r="C204">
        <v>77.56</v>
      </c>
      <c r="D204">
        <v>757</v>
      </c>
      <c r="E204" t="b">
        <v>1</v>
      </c>
      <c r="F204" t="b">
        <v>1</v>
      </c>
      <c r="G204" t="b">
        <v>0</v>
      </c>
      <c r="H204" t="s">
        <v>43</v>
      </c>
      <c r="I204" t="s">
        <v>26</v>
      </c>
      <c r="J204" t="s">
        <v>54</v>
      </c>
      <c r="K204" t="s">
        <v>46</v>
      </c>
      <c r="L204" t="s">
        <v>51</v>
      </c>
      <c r="M204" t="s">
        <v>46</v>
      </c>
      <c r="P204" t="b">
        <v>0</v>
      </c>
      <c r="Q204">
        <v>8.6</v>
      </c>
      <c r="R204" t="b">
        <v>0</v>
      </c>
      <c r="T204">
        <v>0</v>
      </c>
      <c r="U204">
        <v>79.69</v>
      </c>
      <c r="V204" t="b">
        <v>1</v>
      </c>
      <c r="W204" t="s">
        <v>58</v>
      </c>
      <c r="AE204" t="str">
        <f t="shared" si="21"/>
        <v>Yes</v>
      </c>
      <c r="AF204" t="str">
        <f t="shared" si="22"/>
        <v>Unknown</v>
      </c>
      <c r="AG204" t="str">
        <f t="shared" si="23"/>
        <v>No</v>
      </c>
      <c r="AH204" t="str">
        <f t="shared" si="24"/>
        <v>Unknown</v>
      </c>
      <c r="AJ204" t="str">
        <f t="shared" si="25"/>
        <v>High Trust</v>
      </c>
      <c r="AL204">
        <f t="shared" si="26"/>
        <v>79.7</v>
      </c>
      <c r="AM204" t="str">
        <f t="shared" si="27"/>
        <v>Masters</v>
      </c>
    </row>
    <row r="205" spans="1:39" x14ac:dyDescent="0.25">
      <c r="A205" t="s">
        <v>23</v>
      </c>
      <c r="B205" t="s">
        <v>59</v>
      </c>
      <c r="C205">
        <v>77.08</v>
      </c>
      <c r="D205">
        <v>635</v>
      </c>
      <c r="E205" t="b">
        <v>0</v>
      </c>
      <c r="F205" t="b">
        <v>0</v>
      </c>
      <c r="G205" t="b">
        <v>0</v>
      </c>
      <c r="H205" t="s">
        <v>25</v>
      </c>
      <c r="I205" t="s">
        <v>67</v>
      </c>
      <c r="J205" t="s">
        <v>54</v>
      </c>
      <c r="K205" t="s">
        <v>39</v>
      </c>
      <c r="L205" t="s">
        <v>51</v>
      </c>
      <c r="M205" t="s">
        <v>39</v>
      </c>
      <c r="O205" t="b">
        <v>1</v>
      </c>
      <c r="P205" t="b">
        <v>0</v>
      </c>
      <c r="Q205">
        <v>8.6999999999999993</v>
      </c>
      <c r="R205" t="b">
        <v>1</v>
      </c>
      <c r="S205" t="s">
        <v>30</v>
      </c>
      <c r="T205">
        <v>10.8</v>
      </c>
      <c r="U205">
        <v>79.06</v>
      </c>
      <c r="V205" t="b">
        <v>1</v>
      </c>
      <c r="W205" t="s">
        <v>31</v>
      </c>
      <c r="AE205" t="str">
        <f t="shared" si="21"/>
        <v>No</v>
      </c>
      <c r="AF205" t="str">
        <f t="shared" si="22"/>
        <v>Unknown</v>
      </c>
      <c r="AG205" t="str">
        <f t="shared" si="23"/>
        <v>Yes</v>
      </c>
      <c r="AH205" t="str">
        <f t="shared" si="24"/>
        <v>Google Search</v>
      </c>
      <c r="AJ205" t="str">
        <f t="shared" si="25"/>
        <v>High Trust</v>
      </c>
      <c r="AL205">
        <f t="shared" si="26"/>
        <v>79.099999999999994</v>
      </c>
      <c r="AM205" t="str">
        <f t="shared" si="27"/>
        <v>Masters</v>
      </c>
    </row>
    <row r="206" spans="1:39" x14ac:dyDescent="0.25">
      <c r="A206" t="s">
        <v>61</v>
      </c>
      <c r="B206" t="s">
        <v>42</v>
      </c>
      <c r="C206">
        <v>72.48</v>
      </c>
      <c r="D206">
        <v>157</v>
      </c>
      <c r="E206" t="b">
        <v>1</v>
      </c>
      <c r="F206" t="b">
        <v>1</v>
      </c>
      <c r="G206" t="b">
        <v>1</v>
      </c>
      <c r="H206" t="s">
        <v>43</v>
      </c>
      <c r="I206" t="s">
        <v>35</v>
      </c>
      <c r="J206" t="s">
        <v>27</v>
      </c>
      <c r="K206" t="s">
        <v>39</v>
      </c>
      <c r="L206" t="s">
        <v>69</v>
      </c>
      <c r="M206" t="s">
        <v>46</v>
      </c>
      <c r="N206" t="s">
        <v>46</v>
      </c>
      <c r="P206" t="b">
        <v>1</v>
      </c>
      <c r="Q206">
        <v>8.3000000000000007</v>
      </c>
      <c r="R206" t="b">
        <v>1</v>
      </c>
      <c r="S206" t="s">
        <v>40</v>
      </c>
      <c r="T206">
        <v>19.2</v>
      </c>
      <c r="U206">
        <v>57.85</v>
      </c>
      <c r="V206" t="b">
        <v>0</v>
      </c>
      <c r="W206" t="s">
        <v>31</v>
      </c>
      <c r="AE206" t="str">
        <f t="shared" si="21"/>
        <v>Yes</v>
      </c>
      <c r="AF206" t="str">
        <f t="shared" si="22"/>
        <v>Medium</v>
      </c>
      <c r="AG206" t="str">
        <f t="shared" si="23"/>
        <v>No</v>
      </c>
      <c r="AH206" t="str">
        <f t="shared" si="24"/>
        <v>Asked Expert</v>
      </c>
      <c r="AJ206" t="str">
        <f t="shared" si="25"/>
        <v>High Trust</v>
      </c>
      <c r="AL206">
        <f t="shared" si="26"/>
        <v>57.9</v>
      </c>
      <c r="AM206" t="str">
        <f t="shared" si="27"/>
        <v>Bachelors</v>
      </c>
    </row>
    <row r="207" spans="1:39" x14ac:dyDescent="0.25">
      <c r="A207" t="s">
        <v>74</v>
      </c>
      <c r="B207" t="s">
        <v>71</v>
      </c>
      <c r="C207">
        <v>56.67</v>
      </c>
      <c r="D207">
        <v>60</v>
      </c>
      <c r="E207" t="b">
        <v>1</v>
      </c>
      <c r="F207" t="b">
        <v>0</v>
      </c>
      <c r="G207" t="b">
        <v>1</v>
      </c>
      <c r="H207" t="s">
        <v>25</v>
      </c>
      <c r="I207" t="s">
        <v>26</v>
      </c>
      <c r="J207" t="s">
        <v>36</v>
      </c>
      <c r="K207" t="s">
        <v>28</v>
      </c>
      <c r="L207" t="s">
        <v>69</v>
      </c>
      <c r="M207" t="s">
        <v>47</v>
      </c>
      <c r="N207" t="s">
        <v>46</v>
      </c>
      <c r="O207" t="b">
        <v>1</v>
      </c>
      <c r="P207" t="b">
        <v>1</v>
      </c>
      <c r="Q207">
        <v>8.6</v>
      </c>
      <c r="R207" t="b">
        <v>0</v>
      </c>
      <c r="T207">
        <v>0</v>
      </c>
      <c r="U207">
        <v>48.49</v>
      </c>
      <c r="V207" t="b">
        <v>0</v>
      </c>
      <c r="W207" t="s">
        <v>58</v>
      </c>
      <c r="AE207" t="str">
        <f t="shared" si="21"/>
        <v>No</v>
      </c>
      <c r="AF207" t="str">
        <f t="shared" si="22"/>
        <v>Medium</v>
      </c>
      <c r="AG207" t="str">
        <f t="shared" si="23"/>
        <v>Yes</v>
      </c>
      <c r="AH207" t="str">
        <f t="shared" si="24"/>
        <v>Unknown</v>
      </c>
      <c r="AJ207" t="str">
        <f t="shared" si="25"/>
        <v>High Trust</v>
      </c>
      <c r="AL207">
        <f t="shared" si="26"/>
        <v>48.5</v>
      </c>
      <c r="AM207" t="str">
        <f t="shared" si="27"/>
        <v>PhD</v>
      </c>
    </row>
    <row r="208" spans="1:39" x14ac:dyDescent="0.25">
      <c r="A208" t="s">
        <v>68</v>
      </c>
      <c r="B208" t="s">
        <v>73</v>
      </c>
      <c r="C208">
        <v>51.72</v>
      </c>
      <c r="D208">
        <v>651</v>
      </c>
      <c r="E208" t="b">
        <v>0</v>
      </c>
      <c r="F208" t="b">
        <v>1</v>
      </c>
      <c r="G208" t="b">
        <v>1</v>
      </c>
      <c r="H208" t="s">
        <v>25</v>
      </c>
      <c r="I208" t="s">
        <v>26</v>
      </c>
      <c r="J208" t="s">
        <v>36</v>
      </c>
      <c r="K208" t="s">
        <v>46</v>
      </c>
      <c r="L208" t="s">
        <v>69</v>
      </c>
      <c r="M208" t="s">
        <v>39</v>
      </c>
      <c r="N208" t="s">
        <v>46</v>
      </c>
      <c r="O208" t="b">
        <v>1</v>
      </c>
      <c r="P208" t="b">
        <v>0</v>
      </c>
      <c r="Q208">
        <v>7.8</v>
      </c>
      <c r="R208" t="b">
        <v>1</v>
      </c>
      <c r="S208" t="s">
        <v>55</v>
      </c>
      <c r="T208">
        <v>31.1</v>
      </c>
      <c r="U208">
        <v>52.21</v>
      </c>
      <c r="V208" t="b">
        <v>0</v>
      </c>
      <c r="W208" t="s">
        <v>41</v>
      </c>
      <c r="AE208" t="str">
        <f t="shared" si="21"/>
        <v>Yes</v>
      </c>
      <c r="AF208" t="str">
        <f t="shared" si="22"/>
        <v>Medium</v>
      </c>
      <c r="AG208" t="str">
        <f t="shared" si="23"/>
        <v>Yes</v>
      </c>
      <c r="AH208" t="str">
        <f t="shared" si="24"/>
        <v>Academic Paper</v>
      </c>
      <c r="AJ208" t="str">
        <f t="shared" si="25"/>
        <v>Moderate Trust</v>
      </c>
      <c r="AL208">
        <f t="shared" si="26"/>
        <v>52.2</v>
      </c>
      <c r="AM208" t="str">
        <f t="shared" si="27"/>
        <v>PhD</v>
      </c>
    </row>
    <row r="209" spans="1:39" x14ac:dyDescent="0.25">
      <c r="A209" t="s">
        <v>74</v>
      </c>
      <c r="B209" t="s">
        <v>59</v>
      </c>
      <c r="C209">
        <v>83.99</v>
      </c>
      <c r="D209">
        <v>389</v>
      </c>
      <c r="E209" t="b">
        <v>1</v>
      </c>
      <c r="F209" t="b">
        <v>1</v>
      </c>
      <c r="G209" t="b">
        <v>0</v>
      </c>
      <c r="H209" t="s">
        <v>25</v>
      </c>
      <c r="I209" t="s">
        <v>35</v>
      </c>
      <c r="J209" t="s">
        <v>54</v>
      </c>
      <c r="K209" t="s">
        <v>37</v>
      </c>
      <c r="L209" t="s">
        <v>51</v>
      </c>
      <c r="M209" t="s">
        <v>39</v>
      </c>
      <c r="N209" t="s">
        <v>39</v>
      </c>
      <c r="O209" t="b">
        <v>1</v>
      </c>
      <c r="P209" t="b">
        <v>1</v>
      </c>
      <c r="Q209">
        <v>10</v>
      </c>
      <c r="R209" t="b">
        <v>0</v>
      </c>
      <c r="T209">
        <v>0</v>
      </c>
      <c r="U209">
        <v>77.930000000000007</v>
      </c>
      <c r="V209" t="b">
        <v>0</v>
      </c>
      <c r="W209" t="s">
        <v>58</v>
      </c>
      <c r="AE209" t="str">
        <f t="shared" si="21"/>
        <v>Yes</v>
      </c>
      <c r="AF209" t="str">
        <f t="shared" si="22"/>
        <v>High</v>
      </c>
      <c r="AG209" t="str">
        <f t="shared" si="23"/>
        <v>Yes</v>
      </c>
      <c r="AH209" t="str">
        <f t="shared" si="24"/>
        <v>Unknown</v>
      </c>
      <c r="AJ209" t="str">
        <f t="shared" si="25"/>
        <v>High Trust</v>
      </c>
      <c r="AL209">
        <f t="shared" si="26"/>
        <v>77.900000000000006</v>
      </c>
      <c r="AM209" t="str">
        <f t="shared" si="27"/>
        <v>Masters</v>
      </c>
    </row>
    <row r="210" spans="1:39" x14ac:dyDescent="0.25">
      <c r="A210" t="s">
        <v>74</v>
      </c>
      <c r="B210" t="s">
        <v>76</v>
      </c>
      <c r="C210">
        <v>73.69</v>
      </c>
      <c r="D210">
        <v>594</v>
      </c>
      <c r="E210" t="b">
        <v>0</v>
      </c>
      <c r="F210" t="b">
        <v>1</v>
      </c>
      <c r="G210" t="b">
        <v>1</v>
      </c>
      <c r="H210" t="s">
        <v>25</v>
      </c>
      <c r="I210" t="s">
        <v>26</v>
      </c>
      <c r="J210" t="s">
        <v>45</v>
      </c>
      <c r="K210" t="s">
        <v>46</v>
      </c>
      <c r="L210" t="s">
        <v>69</v>
      </c>
      <c r="M210" t="s">
        <v>39</v>
      </c>
      <c r="N210" t="s">
        <v>39</v>
      </c>
      <c r="P210" t="b">
        <v>1</v>
      </c>
      <c r="Q210">
        <v>7.6</v>
      </c>
      <c r="R210" t="b">
        <v>1</v>
      </c>
      <c r="S210" t="s">
        <v>30</v>
      </c>
      <c r="T210">
        <v>3.6</v>
      </c>
      <c r="U210">
        <v>66.319999999999993</v>
      </c>
      <c r="V210" t="b">
        <v>1</v>
      </c>
      <c r="W210" t="s">
        <v>41</v>
      </c>
      <c r="AE210" t="str">
        <f t="shared" si="21"/>
        <v>Yes</v>
      </c>
      <c r="AF210" t="str">
        <f t="shared" si="22"/>
        <v>High</v>
      </c>
      <c r="AG210" t="str">
        <f t="shared" si="23"/>
        <v>No</v>
      </c>
      <c r="AH210" t="str">
        <f t="shared" si="24"/>
        <v>Google Search</v>
      </c>
      <c r="AJ210" t="str">
        <f t="shared" si="25"/>
        <v>Moderate Trust</v>
      </c>
      <c r="AL210">
        <f t="shared" si="26"/>
        <v>66.3</v>
      </c>
      <c r="AM210" t="str">
        <f t="shared" si="27"/>
        <v>High School</v>
      </c>
    </row>
    <row r="211" spans="1:39" x14ac:dyDescent="0.25">
      <c r="A211" t="s">
        <v>32</v>
      </c>
      <c r="B211" t="s">
        <v>70</v>
      </c>
      <c r="C211">
        <v>80.92</v>
      </c>
      <c r="D211">
        <v>52</v>
      </c>
      <c r="E211" t="b">
        <v>0</v>
      </c>
      <c r="F211" t="b">
        <v>0</v>
      </c>
      <c r="G211" t="b">
        <v>1</v>
      </c>
      <c r="H211" t="s">
        <v>53</v>
      </c>
      <c r="I211" t="s">
        <v>44</v>
      </c>
      <c r="J211" t="s">
        <v>45</v>
      </c>
      <c r="K211" t="s">
        <v>28</v>
      </c>
      <c r="L211" t="s">
        <v>69</v>
      </c>
      <c r="M211" t="s">
        <v>39</v>
      </c>
      <c r="N211" t="s">
        <v>46</v>
      </c>
      <c r="O211" t="b">
        <v>1</v>
      </c>
      <c r="P211" t="b">
        <v>0</v>
      </c>
      <c r="Q211">
        <v>10</v>
      </c>
      <c r="R211" t="b">
        <v>1</v>
      </c>
      <c r="S211" t="s">
        <v>48</v>
      </c>
      <c r="T211">
        <v>37.1</v>
      </c>
      <c r="U211">
        <v>72.39</v>
      </c>
      <c r="V211" t="b">
        <v>0</v>
      </c>
      <c r="W211" t="s">
        <v>31</v>
      </c>
      <c r="AE211" t="str">
        <f t="shared" si="21"/>
        <v>No</v>
      </c>
      <c r="AF211" t="str">
        <f t="shared" si="22"/>
        <v>Medium</v>
      </c>
      <c r="AG211" t="str">
        <f t="shared" si="23"/>
        <v>Yes</v>
      </c>
      <c r="AH211" t="str">
        <f t="shared" si="24"/>
        <v>Consulted Documentation</v>
      </c>
      <c r="AJ211" t="str">
        <f t="shared" si="25"/>
        <v>High Trust</v>
      </c>
      <c r="AL211">
        <f t="shared" si="26"/>
        <v>72.400000000000006</v>
      </c>
      <c r="AM211" t="str">
        <f t="shared" si="27"/>
        <v>High School</v>
      </c>
    </row>
    <row r="212" spans="1:39" x14ac:dyDescent="0.25">
      <c r="A212" t="s">
        <v>32</v>
      </c>
      <c r="B212" t="s">
        <v>71</v>
      </c>
      <c r="C212">
        <v>53.48</v>
      </c>
      <c r="D212">
        <v>146</v>
      </c>
      <c r="E212" t="b">
        <v>0</v>
      </c>
      <c r="F212" t="b">
        <v>1</v>
      </c>
      <c r="G212" t="b">
        <v>1</v>
      </c>
      <c r="H212" t="s">
        <v>53</v>
      </c>
      <c r="I212" t="s">
        <v>35</v>
      </c>
      <c r="J212" t="s">
        <v>27</v>
      </c>
      <c r="K212" t="s">
        <v>37</v>
      </c>
      <c r="L212" t="s">
        <v>69</v>
      </c>
      <c r="M212" t="s">
        <v>46</v>
      </c>
      <c r="N212" t="s">
        <v>46</v>
      </c>
      <c r="P212" t="b">
        <v>0</v>
      </c>
      <c r="Q212">
        <v>5.7</v>
      </c>
      <c r="R212" t="b">
        <v>0</v>
      </c>
      <c r="T212">
        <v>0</v>
      </c>
      <c r="U212">
        <v>41.21</v>
      </c>
      <c r="V212" t="b">
        <v>1</v>
      </c>
      <c r="W212" t="s">
        <v>41</v>
      </c>
      <c r="AE212" t="str">
        <f t="shared" si="21"/>
        <v>Yes</v>
      </c>
      <c r="AF212" t="str">
        <f t="shared" si="22"/>
        <v>Medium</v>
      </c>
      <c r="AG212" t="str">
        <f t="shared" si="23"/>
        <v>No</v>
      </c>
      <c r="AH212" t="str">
        <f t="shared" si="24"/>
        <v>Unknown</v>
      </c>
      <c r="AJ212" t="str">
        <f t="shared" si="25"/>
        <v>Moderate Trust</v>
      </c>
      <c r="AL212">
        <f t="shared" si="26"/>
        <v>41.2</v>
      </c>
      <c r="AM212" t="str">
        <f t="shared" si="27"/>
        <v>Bachelors</v>
      </c>
    </row>
    <row r="213" spans="1:39" x14ac:dyDescent="0.25">
      <c r="A213" t="s">
        <v>68</v>
      </c>
      <c r="B213" t="s">
        <v>59</v>
      </c>
      <c r="C213">
        <v>87.47</v>
      </c>
      <c r="D213">
        <v>254</v>
      </c>
      <c r="E213" t="b">
        <v>0</v>
      </c>
      <c r="F213" t="b">
        <v>0</v>
      </c>
      <c r="G213" t="b">
        <v>0</v>
      </c>
      <c r="H213" t="s">
        <v>53</v>
      </c>
      <c r="I213" t="s">
        <v>26</v>
      </c>
      <c r="J213" t="s">
        <v>54</v>
      </c>
      <c r="K213" t="s">
        <v>46</v>
      </c>
      <c r="L213" t="s">
        <v>38</v>
      </c>
      <c r="M213" t="s">
        <v>28</v>
      </c>
      <c r="P213" t="b">
        <v>1</v>
      </c>
      <c r="Q213">
        <v>10</v>
      </c>
      <c r="R213" t="b">
        <v>1</v>
      </c>
      <c r="S213" t="s">
        <v>55</v>
      </c>
      <c r="T213">
        <v>19.899999999999999</v>
      </c>
      <c r="U213">
        <v>72.61</v>
      </c>
      <c r="V213" t="b">
        <v>0</v>
      </c>
      <c r="W213" t="s">
        <v>31</v>
      </c>
      <c r="AE213" t="str">
        <f t="shared" si="21"/>
        <v>No</v>
      </c>
      <c r="AF213" t="str">
        <f t="shared" si="22"/>
        <v>Unknown</v>
      </c>
      <c r="AG213" t="str">
        <f t="shared" si="23"/>
        <v>No</v>
      </c>
      <c r="AH213" t="str">
        <f t="shared" si="24"/>
        <v>Academic Paper</v>
      </c>
      <c r="AJ213" t="str">
        <f t="shared" si="25"/>
        <v>High Trust</v>
      </c>
      <c r="AL213">
        <f t="shared" si="26"/>
        <v>72.599999999999994</v>
      </c>
      <c r="AM213" t="str">
        <f t="shared" si="27"/>
        <v>Masters</v>
      </c>
    </row>
    <row r="214" spans="1:39" x14ac:dyDescent="0.25">
      <c r="A214" t="s">
        <v>56</v>
      </c>
      <c r="B214" t="s">
        <v>62</v>
      </c>
      <c r="C214">
        <v>68.28</v>
      </c>
      <c r="D214">
        <v>643</v>
      </c>
      <c r="E214" t="b">
        <v>1</v>
      </c>
      <c r="F214" t="b">
        <v>0</v>
      </c>
      <c r="G214" t="b">
        <v>0</v>
      </c>
      <c r="H214" t="s">
        <v>43</v>
      </c>
      <c r="I214" t="s">
        <v>57</v>
      </c>
      <c r="J214" t="s">
        <v>27</v>
      </c>
      <c r="K214" t="s">
        <v>37</v>
      </c>
      <c r="L214" t="s">
        <v>37</v>
      </c>
      <c r="M214" t="s">
        <v>46</v>
      </c>
      <c r="P214" t="b">
        <v>1</v>
      </c>
      <c r="Q214">
        <v>7.8</v>
      </c>
      <c r="R214" t="b">
        <v>0</v>
      </c>
      <c r="T214">
        <v>0</v>
      </c>
      <c r="U214">
        <v>60.05</v>
      </c>
      <c r="V214" t="b">
        <v>1</v>
      </c>
      <c r="W214" t="s">
        <v>31</v>
      </c>
      <c r="AE214" t="str">
        <f t="shared" si="21"/>
        <v>No</v>
      </c>
      <c r="AF214" t="str">
        <f t="shared" si="22"/>
        <v>Unknown</v>
      </c>
      <c r="AG214" t="str">
        <f t="shared" si="23"/>
        <v>No</v>
      </c>
      <c r="AH214" t="str">
        <f t="shared" si="24"/>
        <v>Unknown</v>
      </c>
      <c r="AJ214" t="str">
        <f t="shared" si="25"/>
        <v>Moderate Trust</v>
      </c>
      <c r="AL214">
        <f t="shared" si="26"/>
        <v>60.1</v>
      </c>
      <c r="AM214" t="str">
        <f t="shared" si="27"/>
        <v>Bachelors</v>
      </c>
    </row>
    <row r="215" spans="1:39" x14ac:dyDescent="0.25">
      <c r="A215" t="s">
        <v>32</v>
      </c>
      <c r="B215" t="s">
        <v>71</v>
      </c>
      <c r="C215">
        <v>53.41</v>
      </c>
      <c r="D215">
        <v>612</v>
      </c>
      <c r="E215" t="b">
        <v>1</v>
      </c>
      <c r="F215" t="b">
        <v>0</v>
      </c>
      <c r="G215" t="b">
        <v>0</v>
      </c>
      <c r="H215" t="s">
        <v>34</v>
      </c>
      <c r="I215" t="s">
        <v>44</v>
      </c>
      <c r="J215" t="s">
        <v>45</v>
      </c>
      <c r="K215" t="s">
        <v>28</v>
      </c>
      <c r="L215" t="s">
        <v>38</v>
      </c>
      <c r="M215" t="s">
        <v>39</v>
      </c>
      <c r="N215" t="s">
        <v>28</v>
      </c>
      <c r="O215" t="b">
        <v>0</v>
      </c>
      <c r="P215" t="b">
        <v>0</v>
      </c>
      <c r="Q215">
        <v>6.7</v>
      </c>
      <c r="R215" t="b">
        <v>1</v>
      </c>
      <c r="S215" t="s">
        <v>55</v>
      </c>
      <c r="T215">
        <v>13</v>
      </c>
      <c r="U215">
        <v>43.26</v>
      </c>
      <c r="V215" t="b">
        <v>0</v>
      </c>
      <c r="W215" t="s">
        <v>41</v>
      </c>
      <c r="AE215" t="str">
        <f t="shared" si="21"/>
        <v>No</v>
      </c>
      <c r="AF215" t="str">
        <f t="shared" si="22"/>
        <v>Low</v>
      </c>
      <c r="AG215" t="str">
        <f t="shared" si="23"/>
        <v>No</v>
      </c>
      <c r="AH215" t="str">
        <f t="shared" si="24"/>
        <v>Academic Paper</v>
      </c>
      <c r="AJ215" t="str">
        <f t="shared" si="25"/>
        <v>Moderate Trust</v>
      </c>
      <c r="AL215">
        <f t="shared" si="26"/>
        <v>43.3</v>
      </c>
      <c r="AM215" t="str">
        <f t="shared" si="27"/>
        <v>High School</v>
      </c>
    </row>
    <row r="216" spans="1:39" x14ac:dyDescent="0.25">
      <c r="A216" t="s">
        <v>32</v>
      </c>
      <c r="B216" t="s">
        <v>42</v>
      </c>
      <c r="C216">
        <v>66.010000000000005</v>
      </c>
      <c r="D216">
        <v>463</v>
      </c>
      <c r="E216" t="b">
        <v>0</v>
      </c>
      <c r="F216" t="b">
        <v>1</v>
      </c>
      <c r="G216" t="b">
        <v>0</v>
      </c>
      <c r="H216" t="s">
        <v>34</v>
      </c>
      <c r="I216" t="s">
        <v>57</v>
      </c>
      <c r="J216" t="s">
        <v>45</v>
      </c>
      <c r="K216" t="s">
        <v>28</v>
      </c>
      <c r="L216" t="s">
        <v>38</v>
      </c>
      <c r="M216" t="s">
        <v>47</v>
      </c>
      <c r="N216" t="s">
        <v>46</v>
      </c>
      <c r="O216" t="b">
        <v>1</v>
      </c>
      <c r="P216" t="b">
        <v>0</v>
      </c>
      <c r="Q216">
        <v>7.8</v>
      </c>
      <c r="R216" t="b">
        <v>1</v>
      </c>
      <c r="S216" t="s">
        <v>75</v>
      </c>
      <c r="T216">
        <v>10.6</v>
      </c>
      <c r="U216">
        <v>67.92</v>
      </c>
      <c r="V216" t="b">
        <v>1</v>
      </c>
      <c r="W216" t="s">
        <v>41</v>
      </c>
      <c r="AE216" t="str">
        <f t="shared" si="21"/>
        <v>Yes</v>
      </c>
      <c r="AF216" t="str">
        <f t="shared" si="22"/>
        <v>Medium</v>
      </c>
      <c r="AG216" t="str">
        <f t="shared" si="23"/>
        <v>Yes</v>
      </c>
      <c r="AH216" t="str">
        <f t="shared" si="24"/>
        <v>Asked Colleague</v>
      </c>
      <c r="AJ216" t="str">
        <f t="shared" si="25"/>
        <v>Moderate Trust</v>
      </c>
      <c r="AL216">
        <f t="shared" si="26"/>
        <v>67.900000000000006</v>
      </c>
      <c r="AM216" t="str">
        <f t="shared" si="27"/>
        <v>High School</v>
      </c>
    </row>
    <row r="217" spans="1:39" x14ac:dyDescent="0.25">
      <c r="A217" t="s">
        <v>68</v>
      </c>
      <c r="B217" t="s">
        <v>59</v>
      </c>
      <c r="C217">
        <v>88.23</v>
      </c>
      <c r="D217">
        <v>226</v>
      </c>
      <c r="E217" t="b">
        <v>1</v>
      </c>
      <c r="F217" t="b">
        <v>1</v>
      </c>
      <c r="G217" t="b">
        <v>1</v>
      </c>
      <c r="H217" t="s">
        <v>34</v>
      </c>
      <c r="I217" t="s">
        <v>26</v>
      </c>
      <c r="J217" t="s">
        <v>27</v>
      </c>
      <c r="K217" t="s">
        <v>39</v>
      </c>
      <c r="L217" t="s">
        <v>29</v>
      </c>
      <c r="M217" t="s">
        <v>46</v>
      </c>
      <c r="N217" t="s">
        <v>28</v>
      </c>
      <c r="O217" t="b">
        <v>1</v>
      </c>
      <c r="P217" t="b">
        <v>1</v>
      </c>
      <c r="Q217">
        <v>10</v>
      </c>
      <c r="R217" t="b">
        <v>1</v>
      </c>
      <c r="S217" t="s">
        <v>75</v>
      </c>
      <c r="T217">
        <v>36.799999999999997</v>
      </c>
      <c r="U217">
        <v>83.15</v>
      </c>
      <c r="V217" t="b">
        <v>1</v>
      </c>
      <c r="W217" t="s">
        <v>31</v>
      </c>
      <c r="AE217" t="str">
        <f t="shared" si="21"/>
        <v>Yes</v>
      </c>
      <c r="AF217" t="str">
        <f t="shared" si="22"/>
        <v>Low</v>
      </c>
      <c r="AG217" t="str">
        <f t="shared" si="23"/>
        <v>Yes</v>
      </c>
      <c r="AH217" t="str">
        <f t="shared" si="24"/>
        <v>Asked Colleague</v>
      </c>
      <c r="AJ217" t="str">
        <f t="shared" si="25"/>
        <v>High Trust</v>
      </c>
      <c r="AL217">
        <f t="shared" si="26"/>
        <v>83.2</v>
      </c>
      <c r="AM217" t="str">
        <f t="shared" si="27"/>
        <v>Bachelors</v>
      </c>
    </row>
    <row r="218" spans="1:39" x14ac:dyDescent="0.25">
      <c r="A218" t="s">
        <v>56</v>
      </c>
      <c r="B218" t="s">
        <v>66</v>
      </c>
      <c r="C218">
        <v>70.31</v>
      </c>
      <c r="D218">
        <v>694</v>
      </c>
      <c r="E218" t="b">
        <v>1</v>
      </c>
      <c r="F218" t="b">
        <v>1</v>
      </c>
      <c r="G218" t="b">
        <v>1</v>
      </c>
      <c r="H218" t="s">
        <v>43</v>
      </c>
      <c r="I218" t="s">
        <v>67</v>
      </c>
      <c r="J218" t="s">
        <v>50</v>
      </c>
      <c r="K218" t="s">
        <v>39</v>
      </c>
      <c r="L218" t="s">
        <v>69</v>
      </c>
      <c r="M218" t="s">
        <v>46</v>
      </c>
      <c r="N218" t="s">
        <v>28</v>
      </c>
      <c r="P218" t="b">
        <v>0</v>
      </c>
      <c r="Q218">
        <v>8.1999999999999993</v>
      </c>
      <c r="R218" t="b">
        <v>1</v>
      </c>
      <c r="S218" t="s">
        <v>52</v>
      </c>
      <c r="T218">
        <v>9.4</v>
      </c>
      <c r="U218">
        <v>52.55</v>
      </c>
      <c r="V218" t="b">
        <v>0</v>
      </c>
      <c r="W218" t="s">
        <v>31</v>
      </c>
      <c r="AE218" t="str">
        <f t="shared" si="21"/>
        <v>Yes</v>
      </c>
      <c r="AF218" t="str">
        <f t="shared" si="22"/>
        <v>Low</v>
      </c>
      <c r="AG218" t="str">
        <f t="shared" si="23"/>
        <v>No</v>
      </c>
      <c r="AH218" t="str">
        <f t="shared" si="24"/>
        <v>Checked Official Source</v>
      </c>
      <c r="AJ218" t="str">
        <f t="shared" si="25"/>
        <v>High Trust</v>
      </c>
      <c r="AL218">
        <f t="shared" si="26"/>
        <v>52.6</v>
      </c>
      <c r="AM218" t="str">
        <f t="shared" si="27"/>
        <v>Professional</v>
      </c>
    </row>
    <row r="219" spans="1:39" x14ac:dyDescent="0.25">
      <c r="A219" t="s">
        <v>23</v>
      </c>
      <c r="B219" t="s">
        <v>76</v>
      </c>
      <c r="C219">
        <v>89.96</v>
      </c>
      <c r="D219">
        <v>235</v>
      </c>
      <c r="E219" t="b">
        <v>1</v>
      </c>
      <c r="F219" t="b">
        <v>1</v>
      </c>
      <c r="G219" t="b">
        <v>0</v>
      </c>
      <c r="H219" t="s">
        <v>34</v>
      </c>
      <c r="I219" t="s">
        <v>63</v>
      </c>
      <c r="J219" t="s">
        <v>54</v>
      </c>
      <c r="K219" t="s">
        <v>28</v>
      </c>
      <c r="L219" t="s">
        <v>69</v>
      </c>
      <c r="M219" t="s">
        <v>39</v>
      </c>
      <c r="N219" t="s">
        <v>46</v>
      </c>
      <c r="O219" t="b">
        <v>0</v>
      </c>
      <c r="P219" t="b">
        <v>1</v>
      </c>
      <c r="Q219">
        <v>9.8000000000000007</v>
      </c>
      <c r="R219" t="b">
        <v>0</v>
      </c>
      <c r="T219">
        <v>0</v>
      </c>
      <c r="U219">
        <v>99</v>
      </c>
      <c r="V219" t="b">
        <v>1</v>
      </c>
      <c r="W219" t="s">
        <v>58</v>
      </c>
      <c r="AE219" t="str">
        <f t="shared" si="21"/>
        <v>Yes</v>
      </c>
      <c r="AF219" t="str">
        <f t="shared" si="22"/>
        <v>Medium</v>
      </c>
      <c r="AG219" t="str">
        <f t="shared" si="23"/>
        <v>No</v>
      </c>
      <c r="AH219" t="str">
        <f t="shared" si="24"/>
        <v>Unknown</v>
      </c>
      <c r="AJ219" t="str">
        <f t="shared" si="25"/>
        <v>High Trust</v>
      </c>
      <c r="AL219">
        <f t="shared" si="26"/>
        <v>99</v>
      </c>
      <c r="AM219" t="str">
        <f t="shared" si="27"/>
        <v>Masters</v>
      </c>
    </row>
    <row r="220" spans="1:39" x14ac:dyDescent="0.25">
      <c r="A220" t="s">
        <v>61</v>
      </c>
      <c r="B220" t="s">
        <v>71</v>
      </c>
      <c r="C220">
        <v>41.66</v>
      </c>
      <c r="D220">
        <v>782</v>
      </c>
      <c r="E220" t="b">
        <v>0</v>
      </c>
      <c r="F220" t="b">
        <v>0</v>
      </c>
      <c r="G220" t="b">
        <v>0</v>
      </c>
      <c r="H220" t="s">
        <v>53</v>
      </c>
      <c r="I220" t="s">
        <v>26</v>
      </c>
      <c r="J220" t="s">
        <v>50</v>
      </c>
      <c r="K220" t="s">
        <v>39</v>
      </c>
      <c r="L220" t="s">
        <v>29</v>
      </c>
      <c r="M220" t="s">
        <v>39</v>
      </c>
      <c r="N220" t="s">
        <v>28</v>
      </c>
      <c r="O220" t="b">
        <v>0</v>
      </c>
      <c r="P220" t="b">
        <v>0</v>
      </c>
      <c r="Q220">
        <v>2.2999999999999998</v>
      </c>
      <c r="R220" t="b">
        <v>1</v>
      </c>
      <c r="S220" t="s">
        <v>55</v>
      </c>
      <c r="T220">
        <v>34.299999999999997</v>
      </c>
      <c r="U220">
        <v>24.18</v>
      </c>
      <c r="V220" t="b">
        <v>1</v>
      </c>
      <c r="W220" t="s">
        <v>72</v>
      </c>
      <c r="AE220" t="str">
        <f t="shared" si="21"/>
        <v>No</v>
      </c>
      <c r="AF220" t="str">
        <f t="shared" si="22"/>
        <v>Low</v>
      </c>
      <c r="AG220" t="str">
        <f t="shared" si="23"/>
        <v>No</v>
      </c>
      <c r="AH220" t="str">
        <f t="shared" si="24"/>
        <v>Academic Paper</v>
      </c>
      <c r="AJ220" t="str">
        <f t="shared" si="25"/>
        <v>Moderate Trust</v>
      </c>
      <c r="AL220">
        <f t="shared" si="26"/>
        <v>24.2</v>
      </c>
      <c r="AM220" t="str">
        <f t="shared" si="27"/>
        <v>Professional</v>
      </c>
    </row>
    <row r="221" spans="1:39" x14ac:dyDescent="0.25">
      <c r="A221" t="s">
        <v>32</v>
      </c>
      <c r="B221" t="s">
        <v>42</v>
      </c>
      <c r="C221">
        <v>69.98</v>
      </c>
      <c r="D221">
        <v>702</v>
      </c>
      <c r="E221" t="b">
        <v>0</v>
      </c>
      <c r="F221" t="b">
        <v>1</v>
      </c>
      <c r="G221" t="b">
        <v>0</v>
      </c>
      <c r="H221" t="s">
        <v>25</v>
      </c>
      <c r="I221" t="s">
        <v>67</v>
      </c>
      <c r="J221" t="s">
        <v>54</v>
      </c>
      <c r="K221" t="s">
        <v>46</v>
      </c>
      <c r="L221" t="s">
        <v>29</v>
      </c>
      <c r="M221" t="s">
        <v>46</v>
      </c>
      <c r="N221" t="s">
        <v>28</v>
      </c>
      <c r="O221" t="b">
        <v>1</v>
      </c>
      <c r="P221" t="b">
        <v>0</v>
      </c>
      <c r="Q221">
        <v>7.8</v>
      </c>
      <c r="R221" t="b">
        <v>1</v>
      </c>
      <c r="S221" t="s">
        <v>30</v>
      </c>
      <c r="T221">
        <v>42.3</v>
      </c>
      <c r="U221">
        <v>64.459999999999994</v>
      </c>
      <c r="V221" t="b">
        <v>1</v>
      </c>
      <c r="W221" t="s">
        <v>41</v>
      </c>
      <c r="AE221" t="str">
        <f t="shared" si="21"/>
        <v>Yes</v>
      </c>
      <c r="AF221" t="str">
        <f t="shared" si="22"/>
        <v>Low</v>
      </c>
      <c r="AG221" t="str">
        <f t="shared" si="23"/>
        <v>Yes</v>
      </c>
      <c r="AH221" t="str">
        <f t="shared" si="24"/>
        <v>Google Search</v>
      </c>
      <c r="AJ221" t="str">
        <f t="shared" si="25"/>
        <v>Moderate Trust</v>
      </c>
      <c r="AL221">
        <f t="shared" si="26"/>
        <v>64.5</v>
      </c>
      <c r="AM221" t="str">
        <f t="shared" si="27"/>
        <v>Masters</v>
      </c>
    </row>
    <row r="222" spans="1:39" x14ac:dyDescent="0.25">
      <c r="A222" t="s">
        <v>61</v>
      </c>
      <c r="B222" t="s">
        <v>70</v>
      </c>
      <c r="C222">
        <v>76.510000000000005</v>
      </c>
      <c r="D222">
        <v>741</v>
      </c>
      <c r="E222" t="b">
        <v>0</v>
      </c>
      <c r="F222" t="b">
        <v>0</v>
      </c>
      <c r="G222" t="b">
        <v>0</v>
      </c>
      <c r="H222" t="s">
        <v>25</v>
      </c>
      <c r="I222" t="s">
        <v>44</v>
      </c>
      <c r="J222" t="s">
        <v>50</v>
      </c>
      <c r="K222" t="s">
        <v>28</v>
      </c>
      <c r="L222" t="s">
        <v>38</v>
      </c>
      <c r="M222" t="s">
        <v>46</v>
      </c>
      <c r="N222" t="s">
        <v>39</v>
      </c>
      <c r="O222" t="b">
        <v>0</v>
      </c>
      <c r="P222" t="b">
        <v>0</v>
      </c>
      <c r="Q222">
        <v>8</v>
      </c>
      <c r="R222" t="b">
        <v>0</v>
      </c>
      <c r="T222">
        <v>0</v>
      </c>
      <c r="U222">
        <v>66.06</v>
      </c>
      <c r="V222" t="b">
        <v>1</v>
      </c>
      <c r="W222" t="s">
        <v>58</v>
      </c>
      <c r="AE222" t="str">
        <f t="shared" si="21"/>
        <v>No</v>
      </c>
      <c r="AF222" t="str">
        <f t="shared" si="22"/>
        <v>High</v>
      </c>
      <c r="AG222" t="str">
        <f t="shared" si="23"/>
        <v>No</v>
      </c>
      <c r="AH222" t="str">
        <f t="shared" si="24"/>
        <v>Unknown</v>
      </c>
      <c r="AJ222" t="str">
        <f t="shared" si="25"/>
        <v>High Trust</v>
      </c>
      <c r="AL222">
        <f t="shared" si="26"/>
        <v>66.099999999999994</v>
      </c>
      <c r="AM222" t="str">
        <f t="shared" si="27"/>
        <v>Professional</v>
      </c>
    </row>
    <row r="223" spans="1:39" x14ac:dyDescent="0.25">
      <c r="A223" t="s">
        <v>68</v>
      </c>
      <c r="B223" t="s">
        <v>71</v>
      </c>
      <c r="C223">
        <v>43.13</v>
      </c>
      <c r="D223">
        <v>531</v>
      </c>
      <c r="E223" t="b">
        <v>0</v>
      </c>
      <c r="F223" t="b">
        <v>0</v>
      </c>
      <c r="G223" t="b">
        <v>0</v>
      </c>
      <c r="H223" t="s">
        <v>34</v>
      </c>
      <c r="I223" t="s">
        <v>26</v>
      </c>
      <c r="J223" t="s">
        <v>27</v>
      </c>
      <c r="K223" t="s">
        <v>28</v>
      </c>
      <c r="L223" t="s">
        <v>69</v>
      </c>
      <c r="M223" t="s">
        <v>28</v>
      </c>
      <c r="N223" t="s">
        <v>39</v>
      </c>
      <c r="O223" t="b">
        <v>1</v>
      </c>
      <c r="P223" t="b">
        <v>0</v>
      </c>
      <c r="Q223">
        <v>7.4</v>
      </c>
      <c r="R223" t="b">
        <v>0</v>
      </c>
      <c r="T223">
        <v>0</v>
      </c>
      <c r="U223">
        <v>37.729999999999997</v>
      </c>
      <c r="V223" t="b">
        <v>0</v>
      </c>
      <c r="W223" t="s">
        <v>31</v>
      </c>
      <c r="AE223" t="str">
        <f t="shared" si="21"/>
        <v>No</v>
      </c>
      <c r="AF223" t="str">
        <f t="shared" si="22"/>
        <v>High</v>
      </c>
      <c r="AG223" t="str">
        <f t="shared" si="23"/>
        <v>Yes</v>
      </c>
      <c r="AH223" t="str">
        <f t="shared" si="24"/>
        <v>Unknown</v>
      </c>
      <c r="AJ223" t="str">
        <f t="shared" si="25"/>
        <v>Low Trust</v>
      </c>
      <c r="AL223">
        <f t="shared" si="26"/>
        <v>37.700000000000003</v>
      </c>
      <c r="AM223" t="str">
        <f t="shared" si="27"/>
        <v>Bachelors</v>
      </c>
    </row>
    <row r="224" spans="1:39" x14ac:dyDescent="0.25">
      <c r="A224" t="s">
        <v>74</v>
      </c>
      <c r="B224" t="s">
        <v>73</v>
      </c>
      <c r="C224">
        <v>53.74</v>
      </c>
      <c r="D224">
        <v>466</v>
      </c>
      <c r="E224" t="b">
        <v>1</v>
      </c>
      <c r="F224" t="b">
        <v>1</v>
      </c>
      <c r="G224" t="b">
        <v>0</v>
      </c>
      <c r="H224" t="s">
        <v>53</v>
      </c>
      <c r="I224" t="s">
        <v>67</v>
      </c>
      <c r="J224" t="s">
        <v>45</v>
      </c>
      <c r="K224" t="s">
        <v>39</v>
      </c>
      <c r="L224" t="s">
        <v>29</v>
      </c>
      <c r="M224" t="s">
        <v>47</v>
      </c>
      <c r="N224" t="s">
        <v>28</v>
      </c>
      <c r="O224" t="b">
        <v>0</v>
      </c>
      <c r="P224" t="b">
        <v>0</v>
      </c>
      <c r="Q224">
        <v>3.3</v>
      </c>
      <c r="R224" t="b">
        <v>1</v>
      </c>
      <c r="S224" t="s">
        <v>52</v>
      </c>
      <c r="T224">
        <v>20.7</v>
      </c>
      <c r="U224">
        <v>66.94</v>
      </c>
      <c r="V224" t="b">
        <v>0</v>
      </c>
      <c r="W224" t="s">
        <v>72</v>
      </c>
      <c r="AE224" t="str">
        <f t="shared" si="21"/>
        <v>Yes</v>
      </c>
      <c r="AF224" t="str">
        <f t="shared" si="22"/>
        <v>Low</v>
      </c>
      <c r="AG224" t="str">
        <f t="shared" si="23"/>
        <v>No</v>
      </c>
      <c r="AH224" t="str">
        <f t="shared" si="24"/>
        <v>Checked Official Source</v>
      </c>
      <c r="AJ224" t="str">
        <f t="shared" si="25"/>
        <v>Moderate Trust</v>
      </c>
      <c r="AL224">
        <f t="shared" si="26"/>
        <v>66.900000000000006</v>
      </c>
      <c r="AM224" t="str">
        <f t="shared" si="27"/>
        <v>High School</v>
      </c>
    </row>
    <row r="225" spans="1:39" x14ac:dyDescent="0.25">
      <c r="A225" t="s">
        <v>32</v>
      </c>
      <c r="B225" t="s">
        <v>76</v>
      </c>
      <c r="C225">
        <v>80.58</v>
      </c>
      <c r="D225">
        <v>247</v>
      </c>
      <c r="E225" t="b">
        <v>1</v>
      </c>
      <c r="F225" t="b">
        <v>1</v>
      </c>
      <c r="G225" t="b">
        <v>1</v>
      </c>
      <c r="H225" t="s">
        <v>53</v>
      </c>
      <c r="I225" t="s">
        <v>44</v>
      </c>
      <c r="J225" t="s">
        <v>45</v>
      </c>
      <c r="K225" t="s">
        <v>37</v>
      </c>
      <c r="L225" t="s">
        <v>69</v>
      </c>
      <c r="M225" t="s">
        <v>39</v>
      </c>
      <c r="O225" t="b">
        <v>0</v>
      </c>
      <c r="P225" t="b">
        <v>1</v>
      </c>
      <c r="Q225">
        <v>7.4</v>
      </c>
      <c r="R225" t="b">
        <v>0</v>
      </c>
      <c r="T225">
        <v>0</v>
      </c>
      <c r="U225">
        <v>91.96</v>
      </c>
      <c r="V225" t="b">
        <v>1</v>
      </c>
      <c r="W225" t="s">
        <v>31</v>
      </c>
      <c r="AE225" t="str">
        <f t="shared" si="21"/>
        <v>Yes</v>
      </c>
      <c r="AF225" t="str">
        <f t="shared" si="22"/>
        <v>Unknown</v>
      </c>
      <c r="AG225" t="str">
        <f t="shared" si="23"/>
        <v>No</v>
      </c>
      <c r="AH225" t="str">
        <f t="shared" si="24"/>
        <v>Unknown</v>
      </c>
      <c r="AJ225" t="str">
        <f t="shared" si="25"/>
        <v>Moderate Trust</v>
      </c>
      <c r="AL225">
        <f t="shared" si="26"/>
        <v>92</v>
      </c>
      <c r="AM225" t="str">
        <f t="shared" si="27"/>
        <v>High School</v>
      </c>
    </row>
    <row r="226" spans="1:39" x14ac:dyDescent="0.25">
      <c r="A226" t="s">
        <v>32</v>
      </c>
      <c r="B226" t="s">
        <v>24</v>
      </c>
      <c r="C226">
        <v>95.53</v>
      </c>
      <c r="D226">
        <v>675</v>
      </c>
      <c r="E226" t="b">
        <v>0</v>
      </c>
      <c r="F226" t="b">
        <v>0</v>
      </c>
      <c r="G226" t="b">
        <v>0</v>
      </c>
      <c r="H226" t="s">
        <v>53</v>
      </c>
      <c r="I226" t="s">
        <v>44</v>
      </c>
      <c r="J226" t="s">
        <v>27</v>
      </c>
      <c r="K226" t="s">
        <v>46</v>
      </c>
      <c r="L226" t="s">
        <v>69</v>
      </c>
      <c r="M226" t="s">
        <v>39</v>
      </c>
      <c r="O226" t="b">
        <v>1</v>
      </c>
      <c r="P226" t="b">
        <v>0</v>
      </c>
      <c r="Q226">
        <v>10</v>
      </c>
      <c r="R226" t="b">
        <v>1</v>
      </c>
      <c r="S226" t="s">
        <v>64</v>
      </c>
      <c r="T226">
        <v>23.7</v>
      </c>
      <c r="U226">
        <v>100</v>
      </c>
      <c r="V226" t="b">
        <v>1</v>
      </c>
      <c r="W226" t="s">
        <v>31</v>
      </c>
      <c r="AE226" t="str">
        <f t="shared" si="21"/>
        <v>No</v>
      </c>
      <c r="AF226" t="str">
        <f t="shared" si="22"/>
        <v>Unknown</v>
      </c>
      <c r="AG226" t="str">
        <f t="shared" si="23"/>
        <v>Yes</v>
      </c>
      <c r="AH226" t="str">
        <f t="shared" si="24"/>
        <v>Personal Testing</v>
      </c>
      <c r="AJ226" t="str">
        <f t="shared" si="25"/>
        <v>High Trust</v>
      </c>
      <c r="AL226">
        <f t="shared" si="26"/>
        <v>100</v>
      </c>
      <c r="AM226" t="str">
        <f t="shared" si="27"/>
        <v>Bachelors</v>
      </c>
    </row>
    <row r="227" spans="1:39" x14ac:dyDescent="0.25">
      <c r="A227" t="s">
        <v>74</v>
      </c>
      <c r="B227" t="s">
        <v>76</v>
      </c>
      <c r="C227">
        <v>86.05</v>
      </c>
      <c r="D227">
        <v>65</v>
      </c>
      <c r="E227" t="b">
        <v>1</v>
      </c>
      <c r="F227" t="b">
        <v>0</v>
      </c>
      <c r="G227" t="b">
        <v>1</v>
      </c>
      <c r="H227" t="s">
        <v>43</v>
      </c>
      <c r="I227" t="s">
        <v>67</v>
      </c>
      <c r="J227" t="s">
        <v>36</v>
      </c>
      <c r="K227" t="s">
        <v>46</v>
      </c>
      <c r="L227" t="s">
        <v>38</v>
      </c>
      <c r="M227" t="s">
        <v>39</v>
      </c>
      <c r="N227" t="s">
        <v>28</v>
      </c>
      <c r="P227" t="b">
        <v>0</v>
      </c>
      <c r="Q227">
        <v>10</v>
      </c>
      <c r="R227" t="b">
        <v>1</v>
      </c>
      <c r="S227" t="s">
        <v>48</v>
      </c>
      <c r="T227">
        <v>21</v>
      </c>
      <c r="U227">
        <v>79.67</v>
      </c>
      <c r="V227" t="b">
        <v>0</v>
      </c>
      <c r="W227" t="s">
        <v>31</v>
      </c>
      <c r="AE227" t="str">
        <f t="shared" si="21"/>
        <v>No</v>
      </c>
      <c r="AF227" t="str">
        <f t="shared" si="22"/>
        <v>Low</v>
      </c>
      <c r="AG227" t="str">
        <f t="shared" si="23"/>
        <v>No</v>
      </c>
      <c r="AH227" t="str">
        <f t="shared" si="24"/>
        <v>Consulted Documentation</v>
      </c>
      <c r="AJ227" t="str">
        <f t="shared" si="25"/>
        <v>High Trust</v>
      </c>
      <c r="AL227">
        <f t="shared" si="26"/>
        <v>79.7</v>
      </c>
      <c r="AM227" t="str">
        <f t="shared" si="27"/>
        <v>PhD</v>
      </c>
    </row>
    <row r="228" spans="1:39" x14ac:dyDescent="0.25">
      <c r="A228" t="s">
        <v>68</v>
      </c>
      <c r="B228" t="s">
        <v>33</v>
      </c>
      <c r="C228">
        <v>76.41</v>
      </c>
      <c r="D228">
        <v>388</v>
      </c>
      <c r="E228" t="b">
        <v>0</v>
      </c>
      <c r="F228" t="b">
        <v>0</v>
      </c>
      <c r="G228" t="b">
        <v>1</v>
      </c>
      <c r="H228" t="s">
        <v>43</v>
      </c>
      <c r="I228" t="s">
        <v>63</v>
      </c>
      <c r="J228" t="s">
        <v>27</v>
      </c>
      <c r="K228" t="s">
        <v>39</v>
      </c>
      <c r="L228" t="s">
        <v>51</v>
      </c>
      <c r="M228" t="s">
        <v>28</v>
      </c>
      <c r="N228" t="s">
        <v>46</v>
      </c>
      <c r="O228" t="b">
        <v>0</v>
      </c>
      <c r="P228" t="b">
        <v>0</v>
      </c>
      <c r="Q228">
        <v>7.5</v>
      </c>
      <c r="R228" t="b">
        <v>0</v>
      </c>
      <c r="T228">
        <v>0</v>
      </c>
      <c r="U228">
        <v>73.72</v>
      </c>
      <c r="V228" t="b">
        <v>1</v>
      </c>
      <c r="W228" t="s">
        <v>31</v>
      </c>
      <c r="AE228" t="str">
        <f t="shared" si="21"/>
        <v>No</v>
      </c>
      <c r="AF228" t="str">
        <f t="shared" si="22"/>
        <v>Medium</v>
      </c>
      <c r="AG228" t="str">
        <f t="shared" si="23"/>
        <v>No</v>
      </c>
      <c r="AH228" t="str">
        <f t="shared" si="24"/>
        <v>Unknown</v>
      </c>
      <c r="AJ228" t="str">
        <f t="shared" si="25"/>
        <v>Low Trust</v>
      </c>
      <c r="AL228">
        <f t="shared" si="26"/>
        <v>73.7</v>
      </c>
      <c r="AM228" t="str">
        <f t="shared" si="27"/>
        <v>Bachelors</v>
      </c>
    </row>
    <row r="229" spans="1:39" x14ac:dyDescent="0.25">
      <c r="A229" t="s">
        <v>74</v>
      </c>
      <c r="B229" t="s">
        <v>71</v>
      </c>
      <c r="C229">
        <v>40.880000000000003</v>
      </c>
      <c r="D229">
        <v>152</v>
      </c>
      <c r="E229" t="b">
        <v>1</v>
      </c>
      <c r="F229" t="b">
        <v>0</v>
      </c>
      <c r="G229" t="b">
        <v>1</v>
      </c>
      <c r="H229" t="s">
        <v>25</v>
      </c>
      <c r="I229" t="s">
        <v>26</v>
      </c>
      <c r="J229" t="s">
        <v>45</v>
      </c>
      <c r="K229" t="s">
        <v>28</v>
      </c>
      <c r="L229" t="s">
        <v>69</v>
      </c>
      <c r="M229" t="s">
        <v>47</v>
      </c>
      <c r="O229" t="b">
        <v>0</v>
      </c>
      <c r="P229" t="b">
        <v>1</v>
      </c>
      <c r="Q229">
        <v>4.5999999999999996</v>
      </c>
      <c r="R229" t="b">
        <v>1</v>
      </c>
      <c r="S229" t="s">
        <v>65</v>
      </c>
      <c r="T229">
        <v>20</v>
      </c>
      <c r="U229">
        <v>41.63</v>
      </c>
      <c r="V229" t="b">
        <v>1</v>
      </c>
      <c r="W229" t="s">
        <v>72</v>
      </c>
      <c r="AE229" t="str">
        <f t="shared" si="21"/>
        <v>No</v>
      </c>
      <c r="AF229" t="str">
        <f t="shared" si="22"/>
        <v>Unknown</v>
      </c>
      <c r="AG229" t="str">
        <f t="shared" si="23"/>
        <v>No</v>
      </c>
      <c r="AH229" t="str">
        <f t="shared" si="24"/>
        <v>Cross-referenced Multiple AIs</v>
      </c>
      <c r="AJ229" t="str">
        <f t="shared" si="25"/>
        <v>Moderate Trust</v>
      </c>
      <c r="AL229">
        <f t="shared" si="26"/>
        <v>41.6</v>
      </c>
      <c r="AM229" t="str">
        <f t="shared" si="27"/>
        <v>High School</v>
      </c>
    </row>
    <row r="230" spans="1:39" x14ac:dyDescent="0.25">
      <c r="A230" t="s">
        <v>56</v>
      </c>
      <c r="B230" t="s">
        <v>62</v>
      </c>
      <c r="C230">
        <v>72.09</v>
      </c>
      <c r="D230">
        <v>134</v>
      </c>
      <c r="E230" t="b">
        <v>0</v>
      </c>
      <c r="F230" t="b">
        <v>1</v>
      </c>
      <c r="G230" t="b">
        <v>1</v>
      </c>
      <c r="H230" t="s">
        <v>25</v>
      </c>
      <c r="I230" t="s">
        <v>63</v>
      </c>
      <c r="J230" t="s">
        <v>54</v>
      </c>
      <c r="K230" t="s">
        <v>28</v>
      </c>
      <c r="L230" t="s">
        <v>38</v>
      </c>
      <c r="M230" t="s">
        <v>47</v>
      </c>
      <c r="N230" t="s">
        <v>28</v>
      </c>
      <c r="P230" t="b">
        <v>0</v>
      </c>
      <c r="Q230">
        <v>7.5</v>
      </c>
      <c r="R230" t="b">
        <v>1</v>
      </c>
      <c r="S230" t="s">
        <v>75</v>
      </c>
      <c r="T230">
        <v>13.1</v>
      </c>
      <c r="U230">
        <v>87.02</v>
      </c>
      <c r="V230" t="b">
        <v>1</v>
      </c>
      <c r="W230" t="s">
        <v>41</v>
      </c>
      <c r="AE230" t="str">
        <f t="shared" si="21"/>
        <v>Yes</v>
      </c>
      <c r="AF230" t="str">
        <f t="shared" si="22"/>
        <v>Low</v>
      </c>
      <c r="AG230" t="str">
        <f t="shared" si="23"/>
        <v>No</v>
      </c>
      <c r="AH230" t="str">
        <f t="shared" si="24"/>
        <v>Asked Colleague</v>
      </c>
      <c r="AJ230" t="str">
        <f t="shared" si="25"/>
        <v>Moderate Trust</v>
      </c>
      <c r="AL230">
        <f t="shared" si="26"/>
        <v>87</v>
      </c>
      <c r="AM230" t="str">
        <f t="shared" si="27"/>
        <v>Masters</v>
      </c>
    </row>
    <row r="231" spans="1:39" x14ac:dyDescent="0.25">
      <c r="A231" t="s">
        <v>32</v>
      </c>
      <c r="B231" t="s">
        <v>33</v>
      </c>
      <c r="C231">
        <v>88.27</v>
      </c>
      <c r="D231">
        <v>657</v>
      </c>
      <c r="E231" t="b">
        <v>0</v>
      </c>
      <c r="F231" t="b">
        <v>0</v>
      </c>
      <c r="G231" t="b">
        <v>0</v>
      </c>
      <c r="H231" t="s">
        <v>34</v>
      </c>
      <c r="I231" t="s">
        <v>44</v>
      </c>
      <c r="J231" t="s">
        <v>50</v>
      </c>
      <c r="K231" t="s">
        <v>28</v>
      </c>
      <c r="L231" t="s">
        <v>51</v>
      </c>
      <c r="M231" t="s">
        <v>28</v>
      </c>
      <c r="O231" t="b">
        <v>1</v>
      </c>
      <c r="P231" t="b">
        <v>0</v>
      </c>
      <c r="Q231">
        <v>10</v>
      </c>
      <c r="R231" t="b">
        <v>0</v>
      </c>
      <c r="T231">
        <v>0</v>
      </c>
      <c r="U231">
        <v>100</v>
      </c>
      <c r="V231" t="b">
        <v>1</v>
      </c>
      <c r="W231" t="s">
        <v>58</v>
      </c>
      <c r="AE231" t="str">
        <f t="shared" si="21"/>
        <v>No</v>
      </c>
      <c r="AF231" t="str">
        <f t="shared" si="22"/>
        <v>Unknown</v>
      </c>
      <c r="AG231" t="str">
        <f t="shared" si="23"/>
        <v>Yes</v>
      </c>
      <c r="AH231" t="str">
        <f t="shared" si="24"/>
        <v>Unknown</v>
      </c>
      <c r="AJ231" t="str">
        <f t="shared" si="25"/>
        <v>High Trust</v>
      </c>
      <c r="AL231">
        <f t="shared" si="26"/>
        <v>100</v>
      </c>
      <c r="AM231" t="str">
        <f t="shared" si="27"/>
        <v>Professional</v>
      </c>
    </row>
    <row r="232" spans="1:39" x14ac:dyDescent="0.25">
      <c r="A232" t="s">
        <v>32</v>
      </c>
      <c r="B232" t="s">
        <v>66</v>
      </c>
      <c r="C232">
        <v>71.38</v>
      </c>
      <c r="D232">
        <v>124</v>
      </c>
      <c r="E232" t="b">
        <v>1</v>
      </c>
      <c r="F232" t="b">
        <v>1</v>
      </c>
      <c r="G232" t="b">
        <v>1</v>
      </c>
      <c r="H232" t="s">
        <v>53</v>
      </c>
      <c r="I232" t="s">
        <v>44</v>
      </c>
      <c r="J232" t="s">
        <v>54</v>
      </c>
      <c r="K232" t="s">
        <v>37</v>
      </c>
      <c r="L232" t="s">
        <v>69</v>
      </c>
      <c r="M232" t="s">
        <v>46</v>
      </c>
      <c r="N232" t="s">
        <v>28</v>
      </c>
      <c r="P232" t="b">
        <v>0</v>
      </c>
      <c r="Q232">
        <v>8.8000000000000007</v>
      </c>
      <c r="R232" t="b">
        <v>0</v>
      </c>
      <c r="T232">
        <v>0</v>
      </c>
      <c r="U232">
        <v>57.78</v>
      </c>
      <c r="V232" t="b">
        <v>0</v>
      </c>
      <c r="W232" t="s">
        <v>58</v>
      </c>
      <c r="AE232" t="str">
        <f t="shared" si="21"/>
        <v>Yes</v>
      </c>
      <c r="AF232" t="str">
        <f t="shared" si="22"/>
        <v>Low</v>
      </c>
      <c r="AG232" t="str">
        <f t="shared" si="23"/>
        <v>No</v>
      </c>
      <c r="AH232" t="str">
        <f t="shared" si="24"/>
        <v>Unknown</v>
      </c>
      <c r="AJ232" t="str">
        <f t="shared" si="25"/>
        <v>High Trust</v>
      </c>
      <c r="AL232">
        <f t="shared" si="26"/>
        <v>57.8</v>
      </c>
      <c r="AM232" t="str">
        <f t="shared" si="27"/>
        <v>Masters</v>
      </c>
    </row>
    <row r="233" spans="1:39" x14ac:dyDescent="0.25">
      <c r="A233" t="s">
        <v>74</v>
      </c>
      <c r="B233" t="s">
        <v>70</v>
      </c>
      <c r="C233">
        <v>71</v>
      </c>
      <c r="D233">
        <v>786</v>
      </c>
      <c r="E233" t="b">
        <v>0</v>
      </c>
      <c r="F233" t="b">
        <v>1</v>
      </c>
      <c r="G233" t="b">
        <v>1</v>
      </c>
      <c r="H233" t="s">
        <v>53</v>
      </c>
      <c r="I233" t="s">
        <v>63</v>
      </c>
      <c r="J233" t="s">
        <v>50</v>
      </c>
      <c r="K233" t="s">
        <v>39</v>
      </c>
      <c r="L233" t="s">
        <v>38</v>
      </c>
      <c r="M233" t="s">
        <v>47</v>
      </c>
      <c r="N233" t="s">
        <v>39</v>
      </c>
      <c r="O233" t="b">
        <v>0</v>
      </c>
      <c r="P233" t="b">
        <v>1</v>
      </c>
      <c r="Q233">
        <v>5.3</v>
      </c>
      <c r="R233" t="b">
        <v>1</v>
      </c>
      <c r="S233" t="s">
        <v>52</v>
      </c>
      <c r="T233">
        <v>10.1</v>
      </c>
      <c r="U233">
        <v>57.89</v>
      </c>
      <c r="V233" t="b">
        <v>1</v>
      </c>
      <c r="W233" t="s">
        <v>41</v>
      </c>
      <c r="AE233" t="str">
        <f t="shared" si="21"/>
        <v>Yes</v>
      </c>
      <c r="AF233" t="str">
        <f t="shared" si="22"/>
        <v>High</v>
      </c>
      <c r="AG233" t="str">
        <f t="shared" si="23"/>
        <v>No</v>
      </c>
      <c r="AH233" t="str">
        <f t="shared" si="24"/>
        <v>Checked Official Source</v>
      </c>
      <c r="AJ233" t="str">
        <f t="shared" si="25"/>
        <v>Moderate Trust</v>
      </c>
      <c r="AL233">
        <f t="shared" si="26"/>
        <v>57.9</v>
      </c>
      <c r="AM233" t="str">
        <f t="shared" si="27"/>
        <v>Professional</v>
      </c>
    </row>
    <row r="234" spans="1:39" x14ac:dyDescent="0.25">
      <c r="A234" t="s">
        <v>61</v>
      </c>
      <c r="B234" t="s">
        <v>42</v>
      </c>
      <c r="C234">
        <v>81.66</v>
      </c>
      <c r="D234">
        <v>141</v>
      </c>
      <c r="E234" t="b">
        <v>0</v>
      </c>
      <c r="F234" t="b">
        <v>1</v>
      </c>
      <c r="G234" t="b">
        <v>1</v>
      </c>
      <c r="H234" t="s">
        <v>34</v>
      </c>
      <c r="I234" t="s">
        <v>57</v>
      </c>
      <c r="J234" t="s">
        <v>27</v>
      </c>
      <c r="K234" t="s">
        <v>37</v>
      </c>
      <c r="L234" t="s">
        <v>37</v>
      </c>
      <c r="M234" t="s">
        <v>47</v>
      </c>
      <c r="P234" t="b">
        <v>0</v>
      </c>
      <c r="Q234">
        <v>6.4</v>
      </c>
      <c r="R234" t="b">
        <v>1</v>
      </c>
      <c r="S234" t="s">
        <v>65</v>
      </c>
      <c r="T234">
        <v>38.799999999999997</v>
      </c>
      <c r="U234">
        <v>71.92</v>
      </c>
      <c r="V234" t="b">
        <v>1</v>
      </c>
      <c r="W234" t="s">
        <v>41</v>
      </c>
      <c r="AE234" t="str">
        <f t="shared" si="21"/>
        <v>Yes</v>
      </c>
      <c r="AF234" t="str">
        <f t="shared" si="22"/>
        <v>Unknown</v>
      </c>
      <c r="AG234" t="str">
        <f t="shared" si="23"/>
        <v>No</v>
      </c>
      <c r="AH234" t="str">
        <f t="shared" si="24"/>
        <v>Cross-referenced Multiple AIs</v>
      </c>
      <c r="AJ234" t="str">
        <f t="shared" si="25"/>
        <v>Low Trust</v>
      </c>
      <c r="AL234">
        <f t="shared" si="26"/>
        <v>71.900000000000006</v>
      </c>
      <c r="AM234" t="str">
        <f t="shared" si="27"/>
        <v>Bachelors</v>
      </c>
    </row>
    <row r="235" spans="1:39" x14ac:dyDescent="0.25">
      <c r="A235" t="s">
        <v>68</v>
      </c>
      <c r="B235" t="s">
        <v>71</v>
      </c>
      <c r="C235">
        <v>51.47</v>
      </c>
      <c r="D235">
        <v>550</v>
      </c>
      <c r="E235" t="b">
        <v>1</v>
      </c>
      <c r="F235" t="b">
        <v>0</v>
      </c>
      <c r="G235" t="b">
        <v>1</v>
      </c>
      <c r="H235" t="s">
        <v>53</v>
      </c>
      <c r="I235" t="s">
        <v>63</v>
      </c>
      <c r="J235" t="s">
        <v>50</v>
      </c>
      <c r="K235" t="s">
        <v>39</v>
      </c>
      <c r="L235" t="s">
        <v>29</v>
      </c>
      <c r="M235" t="s">
        <v>47</v>
      </c>
      <c r="N235" t="s">
        <v>39</v>
      </c>
      <c r="O235" t="b">
        <v>0</v>
      </c>
      <c r="P235" t="b">
        <v>0</v>
      </c>
      <c r="Q235">
        <v>4.7</v>
      </c>
      <c r="R235" t="b">
        <v>1</v>
      </c>
      <c r="S235" t="s">
        <v>52</v>
      </c>
      <c r="T235">
        <v>44.4</v>
      </c>
      <c r="U235">
        <v>55.61</v>
      </c>
      <c r="V235" t="b">
        <v>1</v>
      </c>
      <c r="W235" t="s">
        <v>72</v>
      </c>
      <c r="AE235" t="str">
        <f t="shared" si="21"/>
        <v>No</v>
      </c>
      <c r="AF235" t="str">
        <f t="shared" si="22"/>
        <v>High</v>
      </c>
      <c r="AG235" t="str">
        <f t="shared" si="23"/>
        <v>No</v>
      </c>
      <c r="AH235" t="str">
        <f t="shared" si="24"/>
        <v>Checked Official Source</v>
      </c>
      <c r="AJ235" t="str">
        <f t="shared" si="25"/>
        <v>Moderate Trust</v>
      </c>
      <c r="AL235">
        <f t="shared" si="26"/>
        <v>55.6</v>
      </c>
      <c r="AM235" t="str">
        <f t="shared" si="27"/>
        <v>Professional</v>
      </c>
    </row>
    <row r="236" spans="1:39" x14ac:dyDescent="0.25">
      <c r="A236" t="s">
        <v>56</v>
      </c>
      <c r="B236" t="s">
        <v>71</v>
      </c>
      <c r="C236">
        <v>55.98</v>
      </c>
      <c r="D236">
        <v>550</v>
      </c>
      <c r="E236" t="b">
        <v>0</v>
      </c>
      <c r="F236" t="b">
        <v>0</v>
      </c>
      <c r="G236" t="b">
        <v>0</v>
      </c>
      <c r="H236" t="s">
        <v>34</v>
      </c>
      <c r="I236" t="s">
        <v>63</v>
      </c>
      <c r="J236" t="s">
        <v>45</v>
      </c>
      <c r="K236" t="s">
        <v>37</v>
      </c>
      <c r="L236" t="s">
        <v>51</v>
      </c>
      <c r="M236" t="s">
        <v>28</v>
      </c>
      <c r="N236" t="s">
        <v>39</v>
      </c>
      <c r="P236" t="b">
        <v>1</v>
      </c>
      <c r="Q236">
        <v>6.1</v>
      </c>
      <c r="R236" t="b">
        <v>0</v>
      </c>
      <c r="T236">
        <v>0</v>
      </c>
      <c r="U236">
        <v>49.1</v>
      </c>
      <c r="V236" t="b">
        <v>1</v>
      </c>
      <c r="W236" t="s">
        <v>31</v>
      </c>
      <c r="AE236" t="str">
        <f t="shared" si="21"/>
        <v>No</v>
      </c>
      <c r="AF236" t="str">
        <f t="shared" si="22"/>
        <v>High</v>
      </c>
      <c r="AG236" t="str">
        <f t="shared" si="23"/>
        <v>No</v>
      </c>
      <c r="AH236" t="str">
        <f t="shared" si="24"/>
        <v>Unknown</v>
      </c>
      <c r="AJ236" t="str">
        <f t="shared" si="25"/>
        <v>Moderate Trust</v>
      </c>
      <c r="AL236">
        <f t="shared" si="26"/>
        <v>49.1</v>
      </c>
      <c r="AM236" t="str">
        <f t="shared" si="27"/>
        <v>High School</v>
      </c>
    </row>
    <row r="237" spans="1:39" x14ac:dyDescent="0.25">
      <c r="A237" t="s">
        <v>56</v>
      </c>
      <c r="B237" t="s">
        <v>24</v>
      </c>
      <c r="C237">
        <v>94.49</v>
      </c>
      <c r="D237">
        <v>734</v>
      </c>
      <c r="E237" t="b">
        <v>1</v>
      </c>
      <c r="F237" t="b">
        <v>1</v>
      </c>
      <c r="G237" t="b">
        <v>1</v>
      </c>
      <c r="H237" t="s">
        <v>34</v>
      </c>
      <c r="I237" t="s">
        <v>63</v>
      </c>
      <c r="J237" t="s">
        <v>50</v>
      </c>
      <c r="K237" t="s">
        <v>39</v>
      </c>
      <c r="L237" t="s">
        <v>69</v>
      </c>
      <c r="M237" t="s">
        <v>39</v>
      </c>
      <c r="N237" t="s">
        <v>28</v>
      </c>
      <c r="O237" t="b">
        <v>1</v>
      </c>
      <c r="P237" t="b">
        <v>0</v>
      </c>
      <c r="Q237">
        <v>10</v>
      </c>
      <c r="R237" t="b">
        <v>1</v>
      </c>
      <c r="S237" t="s">
        <v>48</v>
      </c>
      <c r="T237">
        <v>28.5</v>
      </c>
      <c r="U237">
        <v>95.5</v>
      </c>
      <c r="V237" t="b">
        <v>1</v>
      </c>
      <c r="W237" t="s">
        <v>31</v>
      </c>
      <c r="AE237" t="str">
        <f t="shared" si="21"/>
        <v>Yes</v>
      </c>
      <c r="AF237" t="str">
        <f t="shared" si="22"/>
        <v>Low</v>
      </c>
      <c r="AG237" t="str">
        <f t="shared" si="23"/>
        <v>Yes</v>
      </c>
      <c r="AH237" t="str">
        <f t="shared" si="24"/>
        <v>Consulted Documentation</v>
      </c>
      <c r="AJ237" t="str">
        <f t="shared" si="25"/>
        <v>High Trust</v>
      </c>
      <c r="AL237">
        <f t="shared" si="26"/>
        <v>95.5</v>
      </c>
      <c r="AM237" t="str">
        <f t="shared" si="27"/>
        <v>Professional</v>
      </c>
    </row>
    <row r="238" spans="1:39" x14ac:dyDescent="0.25">
      <c r="A238" t="s">
        <v>56</v>
      </c>
      <c r="B238" t="s">
        <v>42</v>
      </c>
      <c r="C238">
        <v>83.62</v>
      </c>
      <c r="D238">
        <v>243</v>
      </c>
      <c r="E238" t="b">
        <v>1</v>
      </c>
      <c r="F238" t="b">
        <v>0</v>
      </c>
      <c r="G238" t="b">
        <v>0</v>
      </c>
      <c r="H238" t="s">
        <v>43</v>
      </c>
      <c r="I238" t="s">
        <v>63</v>
      </c>
      <c r="J238" t="s">
        <v>50</v>
      </c>
      <c r="K238" t="s">
        <v>39</v>
      </c>
      <c r="L238" t="s">
        <v>69</v>
      </c>
      <c r="M238" t="s">
        <v>46</v>
      </c>
      <c r="N238" t="s">
        <v>28</v>
      </c>
      <c r="O238" t="b">
        <v>1</v>
      </c>
      <c r="P238" t="b">
        <v>1</v>
      </c>
      <c r="Q238">
        <v>10</v>
      </c>
      <c r="R238" t="b">
        <v>0</v>
      </c>
      <c r="T238">
        <v>0</v>
      </c>
      <c r="U238">
        <v>69.930000000000007</v>
      </c>
      <c r="V238" t="b">
        <v>0</v>
      </c>
      <c r="W238" t="s">
        <v>58</v>
      </c>
      <c r="AE238" t="str">
        <f t="shared" si="21"/>
        <v>No</v>
      </c>
      <c r="AF238" t="str">
        <f t="shared" si="22"/>
        <v>Low</v>
      </c>
      <c r="AG238" t="str">
        <f t="shared" si="23"/>
        <v>Yes</v>
      </c>
      <c r="AH238" t="str">
        <f t="shared" si="24"/>
        <v>Unknown</v>
      </c>
      <c r="AJ238" t="str">
        <f t="shared" si="25"/>
        <v>High Trust</v>
      </c>
      <c r="AL238">
        <f t="shared" si="26"/>
        <v>69.900000000000006</v>
      </c>
      <c r="AM238" t="str">
        <f t="shared" si="27"/>
        <v>Professional</v>
      </c>
    </row>
    <row r="239" spans="1:39" x14ac:dyDescent="0.25">
      <c r="A239" t="s">
        <v>56</v>
      </c>
      <c r="B239" t="s">
        <v>66</v>
      </c>
      <c r="C239">
        <v>68.92</v>
      </c>
      <c r="D239">
        <v>459</v>
      </c>
      <c r="E239" t="b">
        <v>0</v>
      </c>
      <c r="F239" t="b">
        <v>1</v>
      </c>
      <c r="G239" t="b">
        <v>0</v>
      </c>
      <c r="H239" t="s">
        <v>34</v>
      </c>
      <c r="I239" t="s">
        <v>67</v>
      </c>
      <c r="J239" t="s">
        <v>27</v>
      </c>
      <c r="K239" t="s">
        <v>39</v>
      </c>
      <c r="L239" t="s">
        <v>29</v>
      </c>
      <c r="M239" t="s">
        <v>39</v>
      </c>
      <c r="N239" t="s">
        <v>46</v>
      </c>
      <c r="P239" t="b">
        <v>0</v>
      </c>
      <c r="Q239">
        <v>5.7</v>
      </c>
      <c r="R239" t="b">
        <v>0</v>
      </c>
      <c r="T239">
        <v>0</v>
      </c>
      <c r="U239">
        <v>65.510000000000005</v>
      </c>
      <c r="V239" t="b">
        <v>1</v>
      </c>
      <c r="W239" t="s">
        <v>41</v>
      </c>
      <c r="AE239" t="str">
        <f t="shared" si="21"/>
        <v>Yes</v>
      </c>
      <c r="AF239" t="str">
        <f t="shared" si="22"/>
        <v>Medium</v>
      </c>
      <c r="AG239" t="str">
        <f t="shared" si="23"/>
        <v>No</v>
      </c>
      <c r="AH239" t="str">
        <f t="shared" si="24"/>
        <v>Unknown</v>
      </c>
      <c r="AJ239" t="str">
        <f t="shared" si="25"/>
        <v>Moderate Trust</v>
      </c>
      <c r="AL239">
        <f t="shared" si="26"/>
        <v>65.5</v>
      </c>
      <c r="AM239" t="str">
        <f t="shared" si="27"/>
        <v>Bachelors</v>
      </c>
    </row>
    <row r="240" spans="1:39" x14ac:dyDescent="0.25">
      <c r="A240" t="s">
        <v>61</v>
      </c>
      <c r="B240" t="s">
        <v>60</v>
      </c>
      <c r="C240">
        <v>57.34</v>
      </c>
      <c r="D240">
        <v>64</v>
      </c>
      <c r="E240" t="b">
        <v>1</v>
      </c>
      <c r="F240" t="b">
        <v>0</v>
      </c>
      <c r="G240" t="b">
        <v>0</v>
      </c>
      <c r="H240" t="s">
        <v>53</v>
      </c>
      <c r="I240" t="s">
        <v>67</v>
      </c>
      <c r="J240" t="s">
        <v>36</v>
      </c>
      <c r="K240" t="s">
        <v>46</v>
      </c>
      <c r="L240" t="s">
        <v>51</v>
      </c>
      <c r="M240" t="s">
        <v>46</v>
      </c>
      <c r="N240" t="s">
        <v>39</v>
      </c>
      <c r="P240" t="b">
        <v>1</v>
      </c>
      <c r="Q240">
        <v>7.1</v>
      </c>
      <c r="R240" t="b">
        <v>1</v>
      </c>
      <c r="S240" t="s">
        <v>65</v>
      </c>
      <c r="T240">
        <v>6.9</v>
      </c>
      <c r="U240">
        <v>44.07</v>
      </c>
      <c r="V240" t="b">
        <v>0</v>
      </c>
      <c r="W240" t="s">
        <v>41</v>
      </c>
      <c r="AE240" t="str">
        <f t="shared" si="21"/>
        <v>No</v>
      </c>
      <c r="AF240" t="str">
        <f t="shared" si="22"/>
        <v>High</v>
      </c>
      <c r="AG240" t="str">
        <f t="shared" si="23"/>
        <v>No</v>
      </c>
      <c r="AH240" t="str">
        <f t="shared" si="24"/>
        <v>Cross-referenced Multiple AIs</v>
      </c>
      <c r="AJ240" t="str">
        <f t="shared" si="25"/>
        <v>Moderate Trust</v>
      </c>
      <c r="AL240">
        <f t="shared" si="26"/>
        <v>44.1</v>
      </c>
      <c r="AM240" t="str">
        <f t="shared" si="27"/>
        <v>PhD</v>
      </c>
    </row>
    <row r="241" spans="1:39" x14ac:dyDescent="0.25">
      <c r="A241" t="s">
        <v>61</v>
      </c>
      <c r="B241" t="s">
        <v>60</v>
      </c>
      <c r="C241">
        <v>49.64</v>
      </c>
      <c r="D241">
        <v>604</v>
      </c>
      <c r="E241" t="b">
        <v>1</v>
      </c>
      <c r="F241" t="b">
        <v>0</v>
      </c>
      <c r="G241" t="b">
        <v>1</v>
      </c>
      <c r="H241" t="s">
        <v>34</v>
      </c>
      <c r="I241" t="s">
        <v>26</v>
      </c>
      <c r="J241" t="s">
        <v>54</v>
      </c>
      <c r="K241" t="s">
        <v>37</v>
      </c>
      <c r="L241" t="s">
        <v>38</v>
      </c>
      <c r="M241" t="s">
        <v>46</v>
      </c>
      <c r="O241" t="b">
        <v>0</v>
      </c>
      <c r="P241" t="b">
        <v>1</v>
      </c>
      <c r="Q241">
        <v>6.7</v>
      </c>
      <c r="R241" t="b">
        <v>1</v>
      </c>
      <c r="S241" t="s">
        <v>40</v>
      </c>
      <c r="T241">
        <v>6.7</v>
      </c>
      <c r="U241">
        <v>48.63</v>
      </c>
      <c r="V241" t="b">
        <v>1</v>
      </c>
      <c r="W241" t="s">
        <v>41</v>
      </c>
      <c r="AE241" t="str">
        <f t="shared" si="21"/>
        <v>No</v>
      </c>
      <c r="AF241" t="str">
        <f t="shared" si="22"/>
        <v>Unknown</v>
      </c>
      <c r="AG241" t="str">
        <f t="shared" si="23"/>
        <v>No</v>
      </c>
      <c r="AH241" t="str">
        <f t="shared" si="24"/>
        <v>Asked Expert</v>
      </c>
      <c r="AJ241" t="str">
        <f t="shared" si="25"/>
        <v>Moderate Trust</v>
      </c>
      <c r="AL241">
        <f t="shared" si="26"/>
        <v>48.6</v>
      </c>
      <c r="AM241" t="str">
        <f t="shared" si="27"/>
        <v>Masters</v>
      </c>
    </row>
    <row r="242" spans="1:39" x14ac:dyDescent="0.25">
      <c r="A242" t="s">
        <v>61</v>
      </c>
      <c r="B242" t="s">
        <v>49</v>
      </c>
      <c r="C242">
        <v>62.35</v>
      </c>
      <c r="D242">
        <v>761</v>
      </c>
      <c r="E242" t="b">
        <v>1</v>
      </c>
      <c r="F242" t="b">
        <v>0</v>
      </c>
      <c r="G242" t="b">
        <v>0</v>
      </c>
      <c r="H242" t="s">
        <v>53</v>
      </c>
      <c r="I242" t="s">
        <v>35</v>
      </c>
      <c r="J242" t="s">
        <v>27</v>
      </c>
      <c r="K242" t="s">
        <v>46</v>
      </c>
      <c r="L242" t="s">
        <v>38</v>
      </c>
      <c r="M242" t="s">
        <v>47</v>
      </c>
      <c r="N242" t="s">
        <v>39</v>
      </c>
      <c r="O242" t="b">
        <v>1</v>
      </c>
      <c r="P242" t="b">
        <v>1</v>
      </c>
      <c r="Q242">
        <v>10</v>
      </c>
      <c r="R242" t="b">
        <v>1</v>
      </c>
      <c r="S242" t="s">
        <v>48</v>
      </c>
      <c r="T242">
        <v>30.8</v>
      </c>
      <c r="U242">
        <v>57.35</v>
      </c>
      <c r="V242" t="b">
        <v>0</v>
      </c>
      <c r="W242" t="s">
        <v>31</v>
      </c>
      <c r="AE242" t="str">
        <f t="shared" si="21"/>
        <v>No</v>
      </c>
      <c r="AF242" t="str">
        <f t="shared" si="22"/>
        <v>High</v>
      </c>
      <c r="AG242" t="str">
        <f t="shared" si="23"/>
        <v>Yes</v>
      </c>
      <c r="AH242" t="str">
        <f t="shared" si="24"/>
        <v>Consulted Documentation</v>
      </c>
      <c r="AJ242" t="str">
        <f t="shared" si="25"/>
        <v>High Trust</v>
      </c>
      <c r="AL242">
        <f t="shared" si="26"/>
        <v>57.4</v>
      </c>
      <c r="AM242" t="str">
        <f t="shared" si="27"/>
        <v>Bachelors</v>
      </c>
    </row>
    <row r="243" spans="1:39" x14ac:dyDescent="0.25">
      <c r="A243" t="s">
        <v>61</v>
      </c>
      <c r="B243" t="s">
        <v>71</v>
      </c>
      <c r="C243">
        <v>58.34</v>
      </c>
      <c r="D243">
        <v>427</v>
      </c>
      <c r="E243" t="b">
        <v>1</v>
      </c>
      <c r="F243" t="b">
        <v>0</v>
      </c>
      <c r="G243" t="b">
        <v>0</v>
      </c>
      <c r="H243" t="s">
        <v>53</v>
      </c>
      <c r="I243" t="s">
        <v>63</v>
      </c>
      <c r="J243" t="s">
        <v>54</v>
      </c>
      <c r="K243" t="s">
        <v>39</v>
      </c>
      <c r="L243" t="s">
        <v>37</v>
      </c>
      <c r="M243" t="s">
        <v>46</v>
      </c>
      <c r="N243" t="s">
        <v>39</v>
      </c>
      <c r="O243" t="b">
        <v>1</v>
      </c>
      <c r="P243" t="b">
        <v>0</v>
      </c>
      <c r="Q243">
        <v>8.4</v>
      </c>
      <c r="R243" t="b">
        <v>0</v>
      </c>
      <c r="T243">
        <v>0</v>
      </c>
      <c r="U243">
        <v>35.700000000000003</v>
      </c>
      <c r="V243" t="b">
        <v>0</v>
      </c>
      <c r="W243" t="s">
        <v>58</v>
      </c>
      <c r="AE243" t="str">
        <f t="shared" si="21"/>
        <v>No</v>
      </c>
      <c r="AF243" t="str">
        <f t="shared" si="22"/>
        <v>High</v>
      </c>
      <c r="AG243" t="str">
        <f t="shared" si="23"/>
        <v>Yes</v>
      </c>
      <c r="AH243" t="str">
        <f t="shared" si="24"/>
        <v>Unknown</v>
      </c>
      <c r="AJ243" t="str">
        <f t="shared" si="25"/>
        <v>High Trust</v>
      </c>
      <c r="AL243">
        <f t="shared" si="26"/>
        <v>35.700000000000003</v>
      </c>
      <c r="AM243" t="str">
        <f t="shared" si="27"/>
        <v>Masters</v>
      </c>
    </row>
    <row r="244" spans="1:39" x14ac:dyDescent="0.25">
      <c r="A244" t="s">
        <v>56</v>
      </c>
      <c r="B244" t="s">
        <v>24</v>
      </c>
      <c r="C244">
        <v>97.61</v>
      </c>
      <c r="D244">
        <v>102</v>
      </c>
      <c r="E244" t="b">
        <v>0</v>
      </c>
      <c r="F244" t="b">
        <v>0</v>
      </c>
      <c r="G244" t="b">
        <v>0</v>
      </c>
      <c r="H244" t="s">
        <v>53</v>
      </c>
      <c r="I244" t="s">
        <v>26</v>
      </c>
      <c r="J244" t="s">
        <v>27</v>
      </c>
      <c r="K244" t="s">
        <v>39</v>
      </c>
      <c r="L244" t="s">
        <v>69</v>
      </c>
      <c r="M244" t="s">
        <v>28</v>
      </c>
      <c r="N244" t="s">
        <v>46</v>
      </c>
      <c r="O244" t="b">
        <v>0</v>
      </c>
      <c r="P244" t="b">
        <v>0</v>
      </c>
      <c r="Q244">
        <v>9.5</v>
      </c>
      <c r="R244" t="b">
        <v>1</v>
      </c>
      <c r="S244" t="s">
        <v>30</v>
      </c>
      <c r="T244">
        <v>19.8</v>
      </c>
      <c r="U244">
        <v>100</v>
      </c>
      <c r="V244" t="b">
        <v>1</v>
      </c>
      <c r="W244" t="s">
        <v>31</v>
      </c>
      <c r="AE244" t="str">
        <f t="shared" si="21"/>
        <v>No</v>
      </c>
      <c r="AF244" t="str">
        <f t="shared" si="22"/>
        <v>Medium</v>
      </c>
      <c r="AG244" t="str">
        <f t="shared" si="23"/>
        <v>No</v>
      </c>
      <c r="AH244" t="str">
        <f t="shared" si="24"/>
        <v>Google Search</v>
      </c>
      <c r="AJ244" t="str">
        <f t="shared" si="25"/>
        <v>High Trust</v>
      </c>
      <c r="AL244">
        <f t="shared" si="26"/>
        <v>100</v>
      </c>
      <c r="AM244" t="str">
        <f t="shared" si="27"/>
        <v>Bachelors</v>
      </c>
    </row>
    <row r="245" spans="1:39" x14ac:dyDescent="0.25">
      <c r="A245" t="s">
        <v>32</v>
      </c>
      <c r="B245" t="s">
        <v>70</v>
      </c>
      <c r="C245">
        <v>81.849999999999994</v>
      </c>
      <c r="D245">
        <v>419</v>
      </c>
      <c r="E245" t="b">
        <v>1</v>
      </c>
      <c r="F245" t="b">
        <v>0</v>
      </c>
      <c r="G245" t="b">
        <v>1</v>
      </c>
      <c r="H245" t="s">
        <v>53</v>
      </c>
      <c r="I245" t="s">
        <v>44</v>
      </c>
      <c r="J245" t="s">
        <v>27</v>
      </c>
      <c r="K245" t="s">
        <v>37</v>
      </c>
      <c r="L245" t="s">
        <v>38</v>
      </c>
      <c r="M245" t="s">
        <v>47</v>
      </c>
      <c r="N245" t="s">
        <v>39</v>
      </c>
      <c r="O245" t="b">
        <v>1</v>
      </c>
      <c r="P245" t="b">
        <v>1</v>
      </c>
      <c r="Q245">
        <v>10</v>
      </c>
      <c r="R245" t="b">
        <v>0</v>
      </c>
      <c r="T245">
        <v>0</v>
      </c>
      <c r="U245">
        <v>70.78</v>
      </c>
      <c r="V245" t="b">
        <v>0</v>
      </c>
      <c r="W245" t="s">
        <v>58</v>
      </c>
      <c r="AE245" t="str">
        <f t="shared" si="21"/>
        <v>No</v>
      </c>
      <c r="AF245" t="str">
        <f t="shared" si="22"/>
        <v>High</v>
      </c>
      <c r="AG245" t="str">
        <f t="shared" si="23"/>
        <v>Yes</v>
      </c>
      <c r="AH245" t="str">
        <f t="shared" si="24"/>
        <v>Unknown</v>
      </c>
      <c r="AJ245" t="str">
        <f t="shared" si="25"/>
        <v>High Trust</v>
      </c>
      <c r="AL245">
        <f t="shared" si="26"/>
        <v>70.8</v>
      </c>
      <c r="AM245" t="str">
        <f t="shared" si="27"/>
        <v>Bachelors</v>
      </c>
    </row>
    <row r="246" spans="1:39" x14ac:dyDescent="0.25">
      <c r="A246" t="s">
        <v>32</v>
      </c>
      <c r="B246" t="s">
        <v>33</v>
      </c>
      <c r="C246">
        <v>76.849999999999994</v>
      </c>
      <c r="D246">
        <v>518</v>
      </c>
      <c r="E246" t="b">
        <v>1</v>
      </c>
      <c r="F246" t="b">
        <v>0</v>
      </c>
      <c r="G246" t="b">
        <v>1</v>
      </c>
      <c r="H246" t="s">
        <v>34</v>
      </c>
      <c r="I246" t="s">
        <v>35</v>
      </c>
      <c r="J246" t="s">
        <v>54</v>
      </c>
      <c r="K246" t="s">
        <v>37</v>
      </c>
      <c r="L246" t="s">
        <v>51</v>
      </c>
      <c r="M246" t="s">
        <v>39</v>
      </c>
      <c r="N246" t="s">
        <v>28</v>
      </c>
      <c r="O246" t="b">
        <v>0</v>
      </c>
      <c r="P246" t="b">
        <v>0</v>
      </c>
      <c r="Q246">
        <v>6.7</v>
      </c>
      <c r="R246" t="b">
        <v>0</v>
      </c>
      <c r="T246">
        <v>0</v>
      </c>
      <c r="U246">
        <v>66.400000000000006</v>
      </c>
      <c r="V246" t="b">
        <v>1</v>
      </c>
      <c r="W246" t="s">
        <v>31</v>
      </c>
      <c r="AE246" t="str">
        <f t="shared" si="21"/>
        <v>No</v>
      </c>
      <c r="AF246" t="str">
        <f t="shared" si="22"/>
        <v>Low</v>
      </c>
      <c r="AG246" t="str">
        <f t="shared" si="23"/>
        <v>No</v>
      </c>
      <c r="AH246" t="str">
        <f t="shared" si="24"/>
        <v>Unknown</v>
      </c>
      <c r="AJ246" t="str">
        <f t="shared" si="25"/>
        <v>Moderate Trust</v>
      </c>
      <c r="AL246">
        <f t="shared" si="26"/>
        <v>66.400000000000006</v>
      </c>
      <c r="AM246" t="str">
        <f t="shared" si="27"/>
        <v>Masters</v>
      </c>
    </row>
    <row r="247" spans="1:39" x14ac:dyDescent="0.25">
      <c r="A247" t="s">
        <v>56</v>
      </c>
      <c r="B247" t="s">
        <v>73</v>
      </c>
      <c r="C247">
        <v>62.3</v>
      </c>
      <c r="D247">
        <v>743</v>
      </c>
      <c r="E247" t="b">
        <v>1</v>
      </c>
      <c r="F247" t="b">
        <v>1</v>
      </c>
      <c r="G247" t="b">
        <v>0</v>
      </c>
      <c r="H247" t="s">
        <v>25</v>
      </c>
      <c r="I247" t="s">
        <v>67</v>
      </c>
      <c r="J247" t="s">
        <v>27</v>
      </c>
      <c r="K247" t="s">
        <v>46</v>
      </c>
      <c r="L247" t="s">
        <v>29</v>
      </c>
      <c r="M247" t="s">
        <v>28</v>
      </c>
      <c r="N247" t="s">
        <v>28</v>
      </c>
      <c r="O247" t="b">
        <v>0</v>
      </c>
      <c r="P247" t="b">
        <v>1</v>
      </c>
      <c r="Q247">
        <v>8.1</v>
      </c>
      <c r="R247" t="b">
        <v>0</v>
      </c>
      <c r="T247">
        <v>0</v>
      </c>
      <c r="U247">
        <v>54.64</v>
      </c>
      <c r="V247" t="b">
        <v>0</v>
      </c>
      <c r="W247" t="s">
        <v>58</v>
      </c>
      <c r="AE247" t="str">
        <f t="shared" si="21"/>
        <v>Yes</v>
      </c>
      <c r="AF247" t="str">
        <f t="shared" si="22"/>
        <v>Low</v>
      </c>
      <c r="AG247" t="str">
        <f t="shared" si="23"/>
        <v>No</v>
      </c>
      <c r="AH247" t="str">
        <f t="shared" si="24"/>
        <v>Unknown</v>
      </c>
      <c r="AJ247" t="str">
        <f t="shared" si="25"/>
        <v>High Trust</v>
      </c>
      <c r="AL247">
        <f t="shared" si="26"/>
        <v>54.6</v>
      </c>
      <c r="AM247" t="str">
        <f t="shared" si="27"/>
        <v>Bachelors</v>
      </c>
    </row>
    <row r="248" spans="1:39" x14ac:dyDescent="0.25">
      <c r="A248" t="s">
        <v>32</v>
      </c>
      <c r="B248" t="s">
        <v>71</v>
      </c>
      <c r="C248">
        <v>52.89</v>
      </c>
      <c r="D248">
        <v>587</v>
      </c>
      <c r="E248" t="b">
        <v>1</v>
      </c>
      <c r="F248" t="b">
        <v>1</v>
      </c>
      <c r="G248" t="b">
        <v>1</v>
      </c>
      <c r="H248" t="s">
        <v>34</v>
      </c>
      <c r="I248" t="s">
        <v>44</v>
      </c>
      <c r="J248" t="s">
        <v>27</v>
      </c>
      <c r="K248" t="s">
        <v>39</v>
      </c>
      <c r="L248" t="s">
        <v>51</v>
      </c>
      <c r="M248" t="s">
        <v>28</v>
      </c>
      <c r="N248" t="s">
        <v>28</v>
      </c>
      <c r="O248" t="b">
        <v>0</v>
      </c>
      <c r="P248" t="b">
        <v>1</v>
      </c>
      <c r="Q248">
        <v>4.7</v>
      </c>
      <c r="R248" t="b">
        <v>1</v>
      </c>
      <c r="S248" t="s">
        <v>64</v>
      </c>
      <c r="T248">
        <v>24.7</v>
      </c>
      <c r="U248">
        <v>28.14</v>
      </c>
      <c r="V248" t="b">
        <v>1</v>
      </c>
      <c r="W248" t="s">
        <v>72</v>
      </c>
      <c r="AE248" t="str">
        <f t="shared" si="21"/>
        <v>Yes</v>
      </c>
      <c r="AF248" t="str">
        <f t="shared" si="22"/>
        <v>Low</v>
      </c>
      <c r="AG248" t="str">
        <f t="shared" si="23"/>
        <v>No</v>
      </c>
      <c r="AH248" t="str">
        <f t="shared" si="24"/>
        <v>Personal Testing</v>
      </c>
      <c r="AJ248" t="str">
        <f t="shared" si="25"/>
        <v>Moderate Trust</v>
      </c>
      <c r="AL248">
        <f t="shared" si="26"/>
        <v>28.1</v>
      </c>
      <c r="AM248" t="str">
        <f t="shared" si="27"/>
        <v>Bachelors</v>
      </c>
    </row>
    <row r="249" spans="1:39" x14ac:dyDescent="0.25">
      <c r="A249" t="s">
        <v>61</v>
      </c>
      <c r="B249" t="s">
        <v>66</v>
      </c>
      <c r="C249">
        <v>61.15</v>
      </c>
      <c r="D249">
        <v>251</v>
      </c>
      <c r="E249" t="b">
        <v>0</v>
      </c>
      <c r="F249" t="b">
        <v>1</v>
      </c>
      <c r="G249" t="b">
        <v>0</v>
      </c>
      <c r="H249" t="s">
        <v>34</v>
      </c>
      <c r="I249" t="s">
        <v>57</v>
      </c>
      <c r="J249" t="s">
        <v>50</v>
      </c>
      <c r="K249" t="s">
        <v>39</v>
      </c>
      <c r="L249" t="s">
        <v>29</v>
      </c>
      <c r="M249" t="s">
        <v>28</v>
      </c>
      <c r="N249" t="s">
        <v>28</v>
      </c>
      <c r="O249" t="b">
        <v>0</v>
      </c>
      <c r="P249" t="b">
        <v>1</v>
      </c>
      <c r="Q249">
        <v>5.8</v>
      </c>
      <c r="R249" t="b">
        <v>1</v>
      </c>
      <c r="S249" t="s">
        <v>48</v>
      </c>
      <c r="T249">
        <v>23.5</v>
      </c>
      <c r="U249">
        <v>60.87</v>
      </c>
      <c r="V249" t="b">
        <v>1</v>
      </c>
      <c r="W249" t="s">
        <v>41</v>
      </c>
      <c r="AE249" t="str">
        <f t="shared" si="21"/>
        <v>Yes</v>
      </c>
      <c r="AF249" t="str">
        <f t="shared" si="22"/>
        <v>Low</v>
      </c>
      <c r="AG249" t="str">
        <f t="shared" si="23"/>
        <v>No</v>
      </c>
      <c r="AH249" t="str">
        <f t="shared" si="24"/>
        <v>Consulted Documentation</v>
      </c>
      <c r="AJ249" t="str">
        <f t="shared" si="25"/>
        <v>Moderate Trust</v>
      </c>
      <c r="AL249">
        <f t="shared" si="26"/>
        <v>60.9</v>
      </c>
      <c r="AM249" t="str">
        <f t="shared" si="27"/>
        <v>Professional</v>
      </c>
    </row>
    <row r="250" spans="1:39" x14ac:dyDescent="0.25">
      <c r="A250" t="s">
        <v>68</v>
      </c>
      <c r="B250" t="s">
        <v>62</v>
      </c>
      <c r="C250">
        <v>51.53</v>
      </c>
      <c r="D250">
        <v>137</v>
      </c>
      <c r="E250" t="b">
        <v>0</v>
      </c>
      <c r="F250" t="b">
        <v>1</v>
      </c>
      <c r="G250" t="b">
        <v>1</v>
      </c>
      <c r="H250" t="s">
        <v>34</v>
      </c>
      <c r="I250" t="s">
        <v>63</v>
      </c>
      <c r="J250" t="s">
        <v>27</v>
      </c>
      <c r="K250" t="s">
        <v>37</v>
      </c>
      <c r="L250" t="s">
        <v>69</v>
      </c>
      <c r="M250" t="s">
        <v>28</v>
      </c>
      <c r="N250" t="s">
        <v>28</v>
      </c>
      <c r="O250" t="b">
        <v>0</v>
      </c>
      <c r="P250" t="b">
        <v>0</v>
      </c>
      <c r="Q250">
        <v>5.2</v>
      </c>
      <c r="R250" t="b">
        <v>0</v>
      </c>
      <c r="T250">
        <v>0</v>
      </c>
      <c r="U250">
        <v>61.69</v>
      </c>
      <c r="V250" t="b">
        <v>1</v>
      </c>
      <c r="W250" t="s">
        <v>41</v>
      </c>
      <c r="AE250" t="str">
        <f t="shared" si="21"/>
        <v>Yes</v>
      </c>
      <c r="AF250" t="str">
        <f t="shared" si="22"/>
        <v>Low</v>
      </c>
      <c r="AG250" t="str">
        <f t="shared" si="23"/>
        <v>No</v>
      </c>
      <c r="AH250" t="str">
        <f t="shared" si="24"/>
        <v>Unknown</v>
      </c>
      <c r="AJ250" t="str">
        <f t="shared" si="25"/>
        <v>Moderate Trust</v>
      </c>
      <c r="AL250">
        <f t="shared" si="26"/>
        <v>61.7</v>
      </c>
      <c r="AM250" t="str">
        <f t="shared" si="27"/>
        <v>Bachelors</v>
      </c>
    </row>
    <row r="251" spans="1:39" x14ac:dyDescent="0.25">
      <c r="A251" t="s">
        <v>32</v>
      </c>
      <c r="B251" t="s">
        <v>42</v>
      </c>
      <c r="C251">
        <v>68.59</v>
      </c>
      <c r="D251">
        <v>770</v>
      </c>
      <c r="E251" t="b">
        <v>1</v>
      </c>
      <c r="F251" t="b">
        <v>1</v>
      </c>
      <c r="G251" t="b">
        <v>0</v>
      </c>
      <c r="H251" t="s">
        <v>25</v>
      </c>
      <c r="I251" t="s">
        <v>67</v>
      </c>
      <c r="J251" t="s">
        <v>45</v>
      </c>
      <c r="K251" t="s">
        <v>46</v>
      </c>
      <c r="L251" t="s">
        <v>69</v>
      </c>
      <c r="M251" t="s">
        <v>46</v>
      </c>
      <c r="O251" t="b">
        <v>1</v>
      </c>
      <c r="P251" t="b">
        <v>1</v>
      </c>
      <c r="Q251">
        <v>10</v>
      </c>
      <c r="R251" t="b">
        <v>1</v>
      </c>
      <c r="S251" t="s">
        <v>40</v>
      </c>
      <c r="T251">
        <v>17.399999999999999</v>
      </c>
      <c r="U251">
        <v>61.25</v>
      </c>
      <c r="V251" t="b">
        <v>0</v>
      </c>
      <c r="W251" t="s">
        <v>31</v>
      </c>
      <c r="AE251" t="str">
        <f t="shared" si="21"/>
        <v>Yes</v>
      </c>
      <c r="AF251" t="str">
        <f t="shared" si="22"/>
        <v>Unknown</v>
      </c>
      <c r="AG251" t="str">
        <f t="shared" si="23"/>
        <v>Yes</v>
      </c>
      <c r="AH251" t="str">
        <f t="shared" si="24"/>
        <v>Asked Expert</v>
      </c>
      <c r="AJ251" t="str">
        <f t="shared" si="25"/>
        <v>High Trust</v>
      </c>
      <c r="AL251">
        <f t="shared" si="26"/>
        <v>61.3</v>
      </c>
      <c r="AM251" t="str">
        <f t="shared" si="27"/>
        <v>High School</v>
      </c>
    </row>
    <row r="252" spans="1:39" x14ac:dyDescent="0.25">
      <c r="A252" t="s">
        <v>32</v>
      </c>
      <c r="B252" t="s">
        <v>73</v>
      </c>
      <c r="C252">
        <v>60.64</v>
      </c>
      <c r="D252">
        <v>225</v>
      </c>
      <c r="E252" t="b">
        <v>1</v>
      </c>
      <c r="F252" t="b">
        <v>1</v>
      </c>
      <c r="G252" t="b">
        <v>1</v>
      </c>
      <c r="H252" t="s">
        <v>43</v>
      </c>
      <c r="I252" t="s">
        <v>63</v>
      </c>
      <c r="J252" t="s">
        <v>45</v>
      </c>
      <c r="K252" t="s">
        <v>37</v>
      </c>
      <c r="L252" t="s">
        <v>69</v>
      </c>
      <c r="M252" t="s">
        <v>46</v>
      </c>
      <c r="O252" t="b">
        <v>1</v>
      </c>
      <c r="P252" t="b">
        <v>1</v>
      </c>
      <c r="Q252">
        <v>9.3000000000000007</v>
      </c>
      <c r="R252" t="b">
        <v>1</v>
      </c>
      <c r="S252" t="s">
        <v>40</v>
      </c>
      <c r="T252">
        <v>17.2</v>
      </c>
      <c r="U252">
        <v>56.16</v>
      </c>
      <c r="V252" t="b">
        <v>0</v>
      </c>
      <c r="W252" t="s">
        <v>31</v>
      </c>
      <c r="AE252" t="str">
        <f t="shared" si="21"/>
        <v>Yes</v>
      </c>
      <c r="AF252" t="str">
        <f t="shared" si="22"/>
        <v>Unknown</v>
      </c>
      <c r="AG252" t="str">
        <f t="shared" si="23"/>
        <v>Yes</v>
      </c>
      <c r="AH252" t="str">
        <f t="shared" si="24"/>
        <v>Asked Expert</v>
      </c>
      <c r="AJ252" t="str">
        <f t="shared" si="25"/>
        <v>High Trust</v>
      </c>
      <c r="AL252">
        <f t="shared" si="26"/>
        <v>56.2</v>
      </c>
      <c r="AM252" t="str">
        <f t="shared" si="27"/>
        <v>High School</v>
      </c>
    </row>
    <row r="253" spans="1:39" x14ac:dyDescent="0.25">
      <c r="A253" t="s">
        <v>56</v>
      </c>
      <c r="B253" t="s">
        <v>73</v>
      </c>
      <c r="C253">
        <v>52.01</v>
      </c>
      <c r="D253">
        <v>199</v>
      </c>
      <c r="E253" t="b">
        <v>0</v>
      </c>
      <c r="F253" t="b">
        <v>0</v>
      </c>
      <c r="G253" t="b">
        <v>0</v>
      </c>
      <c r="H253" t="s">
        <v>34</v>
      </c>
      <c r="I253" t="s">
        <v>35</v>
      </c>
      <c r="J253" t="s">
        <v>50</v>
      </c>
      <c r="K253" t="s">
        <v>39</v>
      </c>
      <c r="L253" t="s">
        <v>69</v>
      </c>
      <c r="M253" t="s">
        <v>47</v>
      </c>
      <c r="N253" t="s">
        <v>28</v>
      </c>
      <c r="P253" t="b">
        <v>1</v>
      </c>
      <c r="Q253">
        <v>5.0999999999999996</v>
      </c>
      <c r="R253" t="b">
        <v>1</v>
      </c>
      <c r="S253" t="s">
        <v>48</v>
      </c>
      <c r="T253">
        <v>19.2</v>
      </c>
      <c r="U253">
        <v>53.75</v>
      </c>
      <c r="V253" t="b">
        <v>1</v>
      </c>
      <c r="W253" t="s">
        <v>41</v>
      </c>
      <c r="AE253" t="str">
        <f t="shared" si="21"/>
        <v>No</v>
      </c>
      <c r="AF253" t="str">
        <f t="shared" si="22"/>
        <v>Low</v>
      </c>
      <c r="AG253" t="str">
        <f t="shared" si="23"/>
        <v>No</v>
      </c>
      <c r="AH253" t="str">
        <f t="shared" si="24"/>
        <v>Consulted Documentation</v>
      </c>
      <c r="AJ253" t="str">
        <f t="shared" si="25"/>
        <v>Moderate Trust</v>
      </c>
      <c r="AL253">
        <f t="shared" si="26"/>
        <v>53.8</v>
      </c>
      <c r="AM253" t="str">
        <f t="shared" si="27"/>
        <v>Professional</v>
      </c>
    </row>
    <row r="254" spans="1:39" x14ac:dyDescent="0.25">
      <c r="A254" t="s">
        <v>61</v>
      </c>
      <c r="B254" t="s">
        <v>24</v>
      </c>
      <c r="C254">
        <v>87.14</v>
      </c>
      <c r="D254">
        <v>361</v>
      </c>
      <c r="E254" t="b">
        <v>0</v>
      </c>
      <c r="F254" t="b">
        <v>0</v>
      </c>
      <c r="G254" t="b">
        <v>1</v>
      </c>
      <c r="H254" t="s">
        <v>34</v>
      </c>
      <c r="I254" t="s">
        <v>26</v>
      </c>
      <c r="J254" t="s">
        <v>36</v>
      </c>
      <c r="K254" t="s">
        <v>39</v>
      </c>
      <c r="L254" t="s">
        <v>69</v>
      </c>
      <c r="M254" t="s">
        <v>39</v>
      </c>
      <c r="N254" t="s">
        <v>46</v>
      </c>
      <c r="O254" t="b">
        <v>1</v>
      </c>
      <c r="P254" t="b">
        <v>1</v>
      </c>
      <c r="Q254">
        <v>10</v>
      </c>
      <c r="R254" t="b">
        <v>1</v>
      </c>
      <c r="S254" t="s">
        <v>65</v>
      </c>
      <c r="T254">
        <v>11</v>
      </c>
      <c r="U254">
        <v>82.56</v>
      </c>
      <c r="V254" t="b">
        <v>1</v>
      </c>
      <c r="W254" t="s">
        <v>31</v>
      </c>
      <c r="AE254" t="str">
        <f t="shared" si="21"/>
        <v>No</v>
      </c>
      <c r="AF254" t="str">
        <f t="shared" si="22"/>
        <v>Medium</v>
      </c>
      <c r="AG254" t="str">
        <f t="shared" si="23"/>
        <v>Yes</v>
      </c>
      <c r="AH254" t="str">
        <f t="shared" si="24"/>
        <v>Cross-referenced Multiple AIs</v>
      </c>
      <c r="AJ254" t="str">
        <f t="shared" si="25"/>
        <v>High Trust</v>
      </c>
      <c r="AL254">
        <f t="shared" si="26"/>
        <v>82.6</v>
      </c>
      <c r="AM254" t="str">
        <f t="shared" si="27"/>
        <v>PhD</v>
      </c>
    </row>
    <row r="255" spans="1:39" x14ac:dyDescent="0.25">
      <c r="A255" t="s">
        <v>23</v>
      </c>
      <c r="B255" t="s">
        <v>73</v>
      </c>
      <c r="C255">
        <v>53.81</v>
      </c>
      <c r="D255">
        <v>93</v>
      </c>
      <c r="E255" t="b">
        <v>1</v>
      </c>
      <c r="F255" t="b">
        <v>1</v>
      </c>
      <c r="G255" t="b">
        <v>0</v>
      </c>
      <c r="H255" t="s">
        <v>53</v>
      </c>
      <c r="I255" t="s">
        <v>44</v>
      </c>
      <c r="J255" t="s">
        <v>36</v>
      </c>
      <c r="K255" t="s">
        <v>46</v>
      </c>
      <c r="L255" t="s">
        <v>69</v>
      </c>
      <c r="M255" t="s">
        <v>39</v>
      </c>
      <c r="N255" t="s">
        <v>28</v>
      </c>
      <c r="O255" t="b">
        <v>0</v>
      </c>
      <c r="P255" t="b">
        <v>1</v>
      </c>
      <c r="Q255">
        <v>6.3</v>
      </c>
      <c r="R255" t="b">
        <v>1</v>
      </c>
      <c r="S255" t="s">
        <v>40</v>
      </c>
      <c r="T255">
        <v>26.9</v>
      </c>
      <c r="U255">
        <v>50.1</v>
      </c>
      <c r="V255" t="b">
        <v>1</v>
      </c>
      <c r="W255" t="s">
        <v>41</v>
      </c>
      <c r="AE255" t="str">
        <f t="shared" si="21"/>
        <v>Yes</v>
      </c>
      <c r="AF255" t="str">
        <f t="shared" si="22"/>
        <v>Low</v>
      </c>
      <c r="AG255" t="str">
        <f t="shared" si="23"/>
        <v>No</v>
      </c>
      <c r="AH255" t="str">
        <f t="shared" si="24"/>
        <v>Asked Expert</v>
      </c>
      <c r="AJ255" t="str">
        <f t="shared" si="25"/>
        <v>Moderate Trust</v>
      </c>
      <c r="AL255">
        <f t="shared" si="26"/>
        <v>50.1</v>
      </c>
      <c r="AM255" t="str">
        <f t="shared" si="27"/>
        <v>PhD</v>
      </c>
    </row>
    <row r="256" spans="1:39" x14ac:dyDescent="0.25">
      <c r="A256" t="s">
        <v>56</v>
      </c>
      <c r="B256" t="s">
        <v>62</v>
      </c>
      <c r="C256">
        <v>50.93</v>
      </c>
      <c r="D256">
        <v>236</v>
      </c>
      <c r="E256" t="b">
        <v>1</v>
      </c>
      <c r="F256" t="b">
        <v>0</v>
      </c>
      <c r="G256" t="b">
        <v>0</v>
      </c>
      <c r="H256" t="s">
        <v>43</v>
      </c>
      <c r="I256" t="s">
        <v>57</v>
      </c>
      <c r="J256" t="s">
        <v>54</v>
      </c>
      <c r="K256" t="s">
        <v>39</v>
      </c>
      <c r="L256" t="s">
        <v>51</v>
      </c>
      <c r="M256" t="s">
        <v>46</v>
      </c>
      <c r="O256" t="b">
        <v>1</v>
      </c>
      <c r="P256" t="b">
        <v>1</v>
      </c>
      <c r="Q256">
        <v>7.3</v>
      </c>
      <c r="R256" t="b">
        <v>1</v>
      </c>
      <c r="S256" t="s">
        <v>55</v>
      </c>
      <c r="T256">
        <v>36.9</v>
      </c>
      <c r="U256">
        <v>47.97</v>
      </c>
      <c r="V256" t="b">
        <v>0</v>
      </c>
      <c r="W256" t="s">
        <v>41</v>
      </c>
      <c r="AE256" t="str">
        <f t="shared" si="21"/>
        <v>No</v>
      </c>
      <c r="AF256" t="str">
        <f t="shared" si="22"/>
        <v>Unknown</v>
      </c>
      <c r="AG256" t="str">
        <f t="shared" si="23"/>
        <v>Yes</v>
      </c>
      <c r="AH256" t="str">
        <f t="shared" si="24"/>
        <v>Academic Paper</v>
      </c>
      <c r="AJ256" t="str">
        <f t="shared" si="25"/>
        <v>Moderate Trust</v>
      </c>
      <c r="AL256">
        <f t="shared" si="26"/>
        <v>48</v>
      </c>
      <c r="AM256" t="str">
        <f t="shared" si="27"/>
        <v>Masters</v>
      </c>
    </row>
    <row r="257" spans="1:39" x14ac:dyDescent="0.25">
      <c r="A257" t="s">
        <v>68</v>
      </c>
      <c r="B257" t="s">
        <v>70</v>
      </c>
      <c r="C257">
        <v>72.27</v>
      </c>
      <c r="D257">
        <v>786</v>
      </c>
      <c r="E257" t="b">
        <v>0</v>
      </c>
      <c r="F257" t="b">
        <v>1</v>
      </c>
      <c r="G257" t="b">
        <v>0</v>
      </c>
      <c r="H257" t="s">
        <v>43</v>
      </c>
      <c r="I257" t="s">
        <v>57</v>
      </c>
      <c r="J257" t="s">
        <v>50</v>
      </c>
      <c r="K257" t="s">
        <v>28</v>
      </c>
      <c r="L257" t="s">
        <v>37</v>
      </c>
      <c r="M257" t="s">
        <v>28</v>
      </c>
      <c r="N257" t="s">
        <v>28</v>
      </c>
      <c r="P257" t="b">
        <v>0</v>
      </c>
      <c r="Q257">
        <v>8</v>
      </c>
      <c r="R257" t="b">
        <v>1</v>
      </c>
      <c r="S257" t="s">
        <v>64</v>
      </c>
      <c r="T257">
        <v>12.9</v>
      </c>
      <c r="U257">
        <v>80.319999999999993</v>
      </c>
      <c r="V257" t="b">
        <v>1</v>
      </c>
      <c r="W257" t="s">
        <v>31</v>
      </c>
      <c r="AE257" t="str">
        <f t="shared" si="21"/>
        <v>Yes</v>
      </c>
      <c r="AF257" t="str">
        <f t="shared" si="22"/>
        <v>Low</v>
      </c>
      <c r="AG257" t="str">
        <f t="shared" si="23"/>
        <v>No</v>
      </c>
      <c r="AH257" t="str">
        <f t="shared" si="24"/>
        <v>Personal Testing</v>
      </c>
      <c r="AJ257" t="str">
        <f t="shared" si="25"/>
        <v>High Trust</v>
      </c>
      <c r="AL257">
        <f t="shared" si="26"/>
        <v>80.3</v>
      </c>
      <c r="AM257" t="str">
        <f t="shared" si="27"/>
        <v>Professional</v>
      </c>
    </row>
    <row r="258" spans="1:39" x14ac:dyDescent="0.25">
      <c r="A258" t="s">
        <v>32</v>
      </c>
      <c r="B258" t="s">
        <v>42</v>
      </c>
      <c r="C258">
        <v>66.150000000000006</v>
      </c>
      <c r="D258">
        <v>329</v>
      </c>
      <c r="E258" t="b">
        <v>1</v>
      </c>
      <c r="F258" t="b">
        <v>0</v>
      </c>
      <c r="G258" t="b">
        <v>0</v>
      </c>
      <c r="H258" t="s">
        <v>43</v>
      </c>
      <c r="I258" t="s">
        <v>26</v>
      </c>
      <c r="J258" t="s">
        <v>45</v>
      </c>
      <c r="K258" t="s">
        <v>28</v>
      </c>
      <c r="L258" t="s">
        <v>37</v>
      </c>
      <c r="M258" t="s">
        <v>47</v>
      </c>
      <c r="N258" t="s">
        <v>46</v>
      </c>
      <c r="P258" t="b">
        <v>1</v>
      </c>
      <c r="Q258">
        <v>7.7</v>
      </c>
      <c r="R258" t="b">
        <v>1</v>
      </c>
      <c r="S258" t="s">
        <v>64</v>
      </c>
      <c r="T258">
        <v>43.8</v>
      </c>
      <c r="U258">
        <v>52.29</v>
      </c>
      <c r="V258" t="b">
        <v>0</v>
      </c>
      <c r="W258" t="s">
        <v>41</v>
      </c>
      <c r="AE258" t="str">
        <f t="shared" si="21"/>
        <v>No</v>
      </c>
      <c r="AF258" t="str">
        <f t="shared" si="22"/>
        <v>Medium</v>
      </c>
      <c r="AG258" t="str">
        <f t="shared" si="23"/>
        <v>No</v>
      </c>
      <c r="AH258" t="str">
        <f t="shared" si="24"/>
        <v>Personal Testing</v>
      </c>
      <c r="AJ258" t="str">
        <f t="shared" si="25"/>
        <v>Moderate Trust</v>
      </c>
      <c r="AL258">
        <f t="shared" si="26"/>
        <v>52.3</v>
      </c>
      <c r="AM258" t="str">
        <f t="shared" si="27"/>
        <v>High School</v>
      </c>
    </row>
    <row r="259" spans="1:39" x14ac:dyDescent="0.25">
      <c r="A259" t="s">
        <v>56</v>
      </c>
      <c r="B259" t="s">
        <v>60</v>
      </c>
      <c r="C259">
        <v>64.88</v>
      </c>
      <c r="D259">
        <v>691</v>
      </c>
      <c r="E259" t="b">
        <v>1</v>
      </c>
      <c r="F259" t="b">
        <v>1</v>
      </c>
      <c r="G259" t="b">
        <v>1</v>
      </c>
      <c r="H259" t="s">
        <v>34</v>
      </c>
      <c r="I259" t="s">
        <v>35</v>
      </c>
      <c r="J259" t="s">
        <v>50</v>
      </c>
      <c r="K259" t="s">
        <v>37</v>
      </c>
      <c r="L259" t="s">
        <v>37</v>
      </c>
      <c r="M259" t="s">
        <v>47</v>
      </c>
      <c r="N259" t="s">
        <v>46</v>
      </c>
      <c r="O259" t="b">
        <v>0</v>
      </c>
      <c r="P259" t="b">
        <v>1</v>
      </c>
      <c r="Q259">
        <v>5.2</v>
      </c>
      <c r="R259" t="b">
        <v>1</v>
      </c>
      <c r="S259" t="s">
        <v>40</v>
      </c>
      <c r="T259">
        <v>8.6999999999999993</v>
      </c>
      <c r="U259">
        <v>58.25</v>
      </c>
      <c r="V259" t="b">
        <v>1</v>
      </c>
      <c r="W259" t="s">
        <v>41</v>
      </c>
      <c r="AE259" t="str">
        <f t="shared" ref="AE259:AE322" si="28">IF(F259=TRUE,"Yes","No")</f>
        <v>Yes</v>
      </c>
      <c r="AF259" t="str">
        <f t="shared" ref="AF259:AF322" si="29">IF(ISBLANK(N259),"Unknown",N259)</f>
        <v>Medium</v>
      </c>
      <c r="AG259" t="str">
        <f t="shared" ref="AG259:AG322" si="30">IF(O259=TRUE,"Yes","No")</f>
        <v>No</v>
      </c>
      <c r="AH259" t="str">
        <f t="shared" ref="AH259:AH322" si="31">IF(ISBLANK(S259),"Unknown",S259)</f>
        <v>Asked Expert</v>
      </c>
      <c r="AJ259" t="str">
        <f t="shared" ref="AJ259:AJ322" si="32">IF(Q259&gt;=8,"High Trust",
IF(Q260&gt;=5,"Moderate Trust","Low Trust"))</f>
        <v>Moderate Trust</v>
      </c>
      <c r="AL259">
        <f t="shared" ref="AL259:AL322" si="33">ROUND(U259,1)</f>
        <v>58.3</v>
      </c>
      <c r="AM259" t="str">
        <f t="shared" ref="AM259:AM322" si="34">TRIM(J259)</f>
        <v>Professional</v>
      </c>
    </row>
    <row r="260" spans="1:39" x14ac:dyDescent="0.25">
      <c r="A260" t="s">
        <v>74</v>
      </c>
      <c r="B260" t="s">
        <v>66</v>
      </c>
      <c r="C260">
        <v>68.86</v>
      </c>
      <c r="D260">
        <v>197</v>
      </c>
      <c r="E260" t="b">
        <v>0</v>
      </c>
      <c r="F260" t="b">
        <v>0</v>
      </c>
      <c r="G260" t="b">
        <v>1</v>
      </c>
      <c r="H260" t="s">
        <v>43</v>
      </c>
      <c r="I260" t="s">
        <v>35</v>
      </c>
      <c r="J260" t="s">
        <v>54</v>
      </c>
      <c r="K260" t="s">
        <v>39</v>
      </c>
      <c r="L260" t="s">
        <v>29</v>
      </c>
      <c r="M260" t="s">
        <v>28</v>
      </c>
      <c r="N260" t="s">
        <v>39</v>
      </c>
      <c r="O260" t="b">
        <v>0</v>
      </c>
      <c r="P260" t="b">
        <v>0</v>
      </c>
      <c r="Q260">
        <v>6.5</v>
      </c>
      <c r="R260" t="b">
        <v>0</v>
      </c>
      <c r="T260">
        <v>0</v>
      </c>
      <c r="U260">
        <v>70.97</v>
      </c>
      <c r="V260" t="b">
        <v>1</v>
      </c>
      <c r="W260" t="s">
        <v>31</v>
      </c>
      <c r="AE260" t="str">
        <f t="shared" si="28"/>
        <v>No</v>
      </c>
      <c r="AF260" t="str">
        <f t="shared" si="29"/>
        <v>High</v>
      </c>
      <c r="AG260" t="str">
        <f t="shared" si="30"/>
        <v>No</v>
      </c>
      <c r="AH260" t="str">
        <f t="shared" si="31"/>
        <v>Unknown</v>
      </c>
      <c r="AJ260" t="str">
        <f t="shared" si="32"/>
        <v>Moderate Trust</v>
      </c>
      <c r="AL260">
        <f t="shared" si="33"/>
        <v>71</v>
      </c>
      <c r="AM260" t="str">
        <f t="shared" si="34"/>
        <v>Masters</v>
      </c>
    </row>
    <row r="261" spans="1:39" x14ac:dyDescent="0.25">
      <c r="A261" t="s">
        <v>23</v>
      </c>
      <c r="B261" t="s">
        <v>33</v>
      </c>
      <c r="C261">
        <v>84.52</v>
      </c>
      <c r="D261">
        <v>583</v>
      </c>
      <c r="E261" t="b">
        <v>0</v>
      </c>
      <c r="F261" t="b">
        <v>1</v>
      </c>
      <c r="G261" t="b">
        <v>1</v>
      </c>
      <c r="H261" t="s">
        <v>34</v>
      </c>
      <c r="I261" t="s">
        <v>35</v>
      </c>
      <c r="J261" t="s">
        <v>50</v>
      </c>
      <c r="K261" t="s">
        <v>46</v>
      </c>
      <c r="L261" t="s">
        <v>69</v>
      </c>
      <c r="M261" t="s">
        <v>28</v>
      </c>
      <c r="O261" t="b">
        <v>1</v>
      </c>
      <c r="P261" t="b">
        <v>0</v>
      </c>
      <c r="Q261">
        <v>10</v>
      </c>
      <c r="R261" t="b">
        <v>0</v>
      </c>
      <c r="T261">
        <v>0</v>
      </c>
      <c r="U261">
        <v>96.1</v>
      </c>
      <c r="V261" t="b">
        <v>1</v>
      </c>
      <c r="W261" t="s">
        <v>58</v>
      </c>
      <c r="AE261" t="str">
        <f t="shared" si="28"/>
        <v>Yes</v>
      </c>
      <c r="AF261" t="str">
        <f t="shared" si="29"/>
        <v>Unknown</v>
      </c>
      <c r="AG261" t="str">
        <f t="shared" si="30"/>
        <v>Yes</v>
      </c>
      <c r="AH261" t="str">
        <f t="shared" si="31"/>
        <v>Unknown</v>
      </c>
      <c r="AJ261" t="str">
        <f t="shared" si="32"/>
        <v>High Trust</v>
      </c>
      <c r="AL261">
        <f t="shared" si="33"/>
        <v>96.1</v>
      </c>
      <c r="AM261" t="str">
        <f t="shared" si="34"/>
        <v>Professional</v>
      </c>
    </row>
    <row r="262" spans="1:39" x14ac:dyDescent="0.25">
      <c r="A262" t="s">
        <v>61</v>
      </c>
      <c r="B262" t="s">
        <v>59</v>
      </c>
      <c r="C262">
        <v>76.75</v>
      </c>
      <c r="D262">
        <v>398</v>
      </c>
      <c r="E262" t="b">
        <v>0</v>
      </c>
      <c r="F262" t="b">
        <v>0</v>
      </c>
      <c r="G262" t="b">
        <v>0</v>
      </c>
      <c r="H262" t="s">
        <v>25</v>
      </c>
      <c r="I262" t="s">
        <v>35</v>
      </c>
      <c r="J262" t="s">
        <v>36</v>
      </c>
      <c r="K262" t="s">
        <v>28</v>
      </c>
      <c r="L262" t="s">
        <v>69</v>
      </c>
      <c r="M262" t="s">
        <v>47</v>
      </c>
      <c r="N262" t="s">
        <v>28</v>
      </c>
      <c r="P262" t="b">
        <v>1</v>
      </c>
      <c r="Q262">
        <v>8.5</v>
      </c>
      <c r="R262" t="b">
        <v>1</v>
      </c>
      <c r="S262" t="s">
        <v>40</v>
      </c>
      <c r="T262">
        <v>25.7</v>
      </c>
      <c r="U262">
        <v>87.68</v>
      </c>
      <c r="V262" t="b">
        <v>1</v>
      </c>
      <c r="W262" t="s">
        <v>31</v>
      </c>
      <c r="AE262" t="str">
        <f t="shared" si="28"/>
        <v>No</v>
      </c>
      <c r="AF262" t="str">
        <f t="shared" si="29"/>
        <v>Low</v>
      </c>
      <c r="AG262" t="str">
        <f t="shared" si="30"/>
        <v>No</v>
      </c>
      <c r="AH262" t="str">
        <f t="shared" si="31"/>
        <v>Asked Expert</v>
      </c>
      <c r="AJ262" t="str">
        <f t="shared" si="32"/>
        <v>High Trust</v>
      </c>
      <c r="AL262">
        <f t="shared" si="33"/>
        <v>87.7</v>
      </c>
      <c r="AM262" t="str">
        <f t="shared" si="34"/>
        <v>PhD</v>
      </c>
    </row>
    <row r="263" spans="1:39" x14ac:dyDescent="0.25">
      <c r="A263" t="s">
        <v>74</v>
      </c>
      <c r="B263" t="s">
        <v>73</v>
      </c>
      <c r="C263">
        <v>60.64</v>
      </c>
      <c r="D263">
        <v>406</v>
      </c>
      <c r="E263" t="b">
        <v>0</v>
      </c>
      <c r="F263" t="b">
        <v>1</v>
      </c>
      <c r="G263" t="b">
        <v>0</v>
      </c>
      <c r="H263" t="s">
        <v>25</v>
      </c>
      <c r="I263" t="s">
        <v>26</v>
      </c>
      <c r="J263" t="s">
        <v>54</v>
      </c>
      <c r="K263" t="s">
        <v>39</v>
      </c>
      <c r="L263" t="s">
        <v>69</v>
      </c>
      <c r="M263" t="s">
        <v>28</v>
      </c>
      <c r="N263" t="s">
        <v>39</v>
      </c>
      <c r="O263" t="b">
        <v>0</v>
      </c>
      <c r="P263" t="b">
        <v>0</v>
      </c>
      <c r="Q263">
        <v>6</v>
      </c>
      <c r="R263" t="b">
        <v>0</v>
      </c>
      <c r="T263">
        <v>0</v>
      </c>
      <c r="U263">
        <v>59.28</v>
      </c>
      <c r="V263" t="b">
        <v>1</v>
      </c>
      <c r="W263" t="s">
        <v>31</v>
      </c>
      <c r="AE263" t="str">
        <f t="shared" si="28"/>
        <v>Yes</v>
      </c>
      <c r="AF263" t="str">
        <f t="shared" si="29"/>
        <v>High</v>
      </c>
      <c r="AG263" t="str">
        <f t="shared" si="30"/>
        <v>No</v>
      </c>
      <c r="AH263" t="str">
        <f t="shared" si="31"/>
        <v>Unknown</v>
      </c>
      <c r="AJ263" t="str">
        <f t="shared" si="32"/>
        <v>Moderate Trust</v>
      </c>
      <c r="AL263">
        <f t="shared" si="33"/>
        <v>59.3</v>
      </c>
      <c r="AM263" t="str">
        <f t="shared" si="34"/>
        <v>Masters</v>
      </c>
    </row>
    <row r="264" spans="1:39" x14ac:dyDescent="0.25">
      <c r="A264" t="s">
        <v>32</v>
      </c>
      <c r="B264" t="s">
        <v>33</v>
      </c>
      <c r="C264">
        <v>87.38</v>
      </c>
      <c r="D264">
        <v>746</v>
      </c>
      <c r="E264" t="b">
        <v>1</v>
      </c>
      <c r="F264" t="b">
        <v>0</v>
      </c>
      <c r="G264" t="b">
        <v>1</v>
      </c>
      <c r="H264" t="s">
        <v>25</v>
      </c>
      <c r="I264" t="s">
        <v>35</v>
      </c>
      <c r="J264" t="s">
        <v>50</v>
      </c>
      <c r="K264" t="s">
        <v>46</v>
      </c>
      <c r="L264" t="s">
        <v>51</v>
      </c>
      <c r="M264" t="s">
        <v>39</v>
      </c>
      <c r="N264" t="s">
        <v>28</v>
      </c>
      <c r="O264" t="b">
        <v>0</v>
      </c>
      <c r="P264" t="b">
        <v>1</v>
      </c>
      <c r="Q264">
        <v>8.5</v>
      </c>
      <c r="R264" t="b">
        <v>0</v>
      </c>
      <c r="T264">
        <v>0</v>
      </c>
      <c r="U264">
        <v>93.22</v>
      </c>
      <c r="V264" t="b">
        <v>1</v>
      </c>
      <c r="W264" t="s">
        <v>58</v>
      </c>
      <c r="AE264" t="str">
        <f t="shared" si="28"/>
        <v>No</v>
      </c>
      <c r="AF264" t="str">
        <f t="shared" si="29"/>
        <v>Low</v>
      </c>
      <c r="AG264" t="str">
        <f t="shared" si="30"/>
        <v>No</v>
      </c>
      <c r="AH264" t="str">
        <f t="shared" si="31"/>
        <v>Unknown</v>
      </c>
      <c r="AJ264" t="str">
        <f t="shared" si="32"/>
        <v>High Trust</v>
      </c>
      <c r="AL264">
        <f t="shared" si="33"/>
        <v>93.2</v>
      </c>
      <c r="AM264" t="str">
        <f t="shared" si="34"/>
        <v>Professional</v>
      </c>
    </row>
    <row r="265" spans="1:39" x14ac:dyDescent="0.25">
      <c r="A265" t="s">
        <v>32</v>
      </c>
      <c r="B265" t="s">
        <v>42</v>
      </c>
      <c r="C265">
        <v>83.34</v>
      </c>
      <c r="D265">
        <v>62</v>
      </c>
      <c r="E265" t="b">
        <v>0</v>
      </c>
      <c r="F265" t="b">
        <v>0</v>
      </c>
      <c r="G265" t="b">
        <v>1</v>
      </c>
      <c r="H265" t="s">
        <v>25</v>
      </c>
      <c r="I265" t="s">
        <v>57</v>
      </c>
      <c r="J265" t="s">
        <v>36</v>
      </c>
      <c r="K265" t="s">
        <v>46</v>
      </c>
      <c r="L265" t="s">
        <v>69</v>
      </c>
      <c r="M265" t="s">
        <v>47</v>
      </c>
      <c r="N265" t="s">
        <v>46</v>
      </c>
      <c r="O265" t="b">
        <v>1</v>
      </c>
      <c r="P265" t="b">
        <v>1</v>
      </c>
      <c r="Q265">
        <v>10</v>
      </c>
      <c r="R265" t="b">
        <v>0</v>
      </c>
      <c r="T265">
        <v>0</v>
      </c>
      <c r="U265">
        <v>73.23</v>
      </c>
      <c r="V265" t="b">
        <v>0</v>
      </c>
      <c r="W265" t="s">
        <v>58</v>
      </c>
      <c r="AE265" t="str">
        <f t="shared" si="28"/>
        <v>No</v>
      </c>
      <c r="AF265" t="str">
        <f t="shared" si="29"/>
        <v>Medium</v>
      </c>
      <c r="AG265" t="str">
        <f t="shared" si="30"/>
        <v>Yes</v>
      </c>
      <c r="AH265" t="str">
        <f t="shared" si="31"/>
        <v>Unknown</v>
      </c>
      <c r="AJ265" t="str">
        <f t="shared" si="32"/>
        <v>High Trust</v>
      </c>
      <c r="AL265">
        <f t="shared" si="33"/>
        <v>73.2</v>
      </c>
      <c r="AM265" t="str">
        <f t="shared" si="34"/>
        <v>PhD</v>
      </c>
    </row>
    <row r="266" spans="1:39" x14ac:dyDescent="0.25">
      <c r="A266" t="s">
        <v>23</v>
      </c>
      <c r="B266" t="s">
        <v>62</v>
      </c>
      <c r="C266">
        <v>55.52</v>
      </c>
      <c r="D266">
        <v>518</v>
      </c>
      <c r="E266" t="b">
        <v>0</v>
      </c>
      <c r="F266" t="b">
        <v>0</v>
      </c>
      <c r="G266" t="b">
        <v>0</v>
      </c>
      <c r="H266" t="s">
        <v>43</v>
      </c>
      <c r="I266" t="s">
        <v>63</v>
      </c>
      <c r="J266" t="s">
        <v>36</v>
      </c>
      <c r="K266" t="s">
        <v>46</v>
      </c>
      <c r="L266" t="s">
        <v>69</v>
      </c>
      <c r="M266" t="s">
        <v>47</v>
      </c>
      <c r="P266" t="b">
        <v>1</v>
      </c>
      <c r="Q266">
        <v>5.8</v>
      </c>
      <c r="R266" t="b">
        <v>1</v>
      </c>
      <c r="S266" t="s">
        <v>30</v>
      </c>
      <c r="T266">
        <v>30.1</v>
      </c>
      <c r="U266">
        <v>42.64</v>
      </c>
      <c r="V266" t="b">
        <v>1</v>
      </c>
      <c r="W266" t="s">
        <v>41</v>
      </c>
      <c r="AE266" t="str">
        <f t="shared" si="28"/>
        <v>No</v>
      </c>
      <c r="AF266" t="str">
        <f t="shared" si="29"/>
        <v>Unknown</v>
      </c>
      <c r="AG266" t="str">
        <f t="shared" si="30"/>
        <v>No</v>
      </c>
      <c r="AH266" t="str">
        <f t="shared" si="31"/>
        <v>Google Search</v>
      </c>
      <c r="AJ266" t="str">
        <f t="shared" si="32"/>
        <v>Moderate Trust</v>
      </c>
      <c r="AL266">
        <f t="shared" si="33"/>
        <v>42.6</v>
      </c>
      <c r="AM266" t="str">
        <f t="shared" si="34"/>
        <v>PhD</v>
      </c>
    </row>
    <row r="267" spans="1:39" x14ac:dyDescent="0.25">
      <c r="A267" t="s">
        <v>61</v>
      </c>
      <c r="B267" t="s">
        <v>59</v>
      </c>
      <c r="C267">
        <v>92.5</v>
      </c>
      <c r="D267">
        <v>586</v>
      </c>
      <c r="E267" t="b">
        <v>0</v>
      </c>
      <c r="F267" t="b">
        <v>1</v>
      </c>
      <c r="G267" t="b">
        <v>1</v>
      </c>
      <c r="H267" t="s">
        <v>43</v>
      </c>
      <c r="I267" t="s">
        <v>57</v>
      </c>
      <c r="J267" t="s">
        <v>45</v>
      </c>
      <c r="K267" t="s">
        <v>28</v>
      </c>
      <c r="L267" t="s">
        <v>38</v>
      </c>
      <c r="M267" t="s">
        <v>39</v>
      </c>
      <c r="O267" t="b">
        <v>1</v>
      </c>
      <c r="P267" t="b">
        <v>0</v>
      </c>
      <c r="Q267">
        <v>10</v>
      </c>
      <c r="R267" t="b">
        <v>1</v>
      </c>
      <c r="S267" t="s">
        <v>64</v>
      </c>
      <c r="T267">
        <v>18.2</v>
      </c>
      <c r="U267">
        <v>97.46</v>
      </c>
      <c r="V267" t="b">
        <v>1</v>
      </c>
      <c r="W267" t="s">
        <v>31</v>
      </c>
      <c r="AE267" t="str">
        <f t="shared" si="28"/>
        <v>Yes</v>
      </c>
      <c r="AF267" t="str">
        <f t="shared" si="29"/>
        <v>Unknown</v>
      </c>
      <c r="AG267" t="str">
        <f t="shared" si="30"/>
        <v>Yes</v>
      </c>
      <c r="AH267" t="str">
        <f t="shared" si="31"/>
        <v>Personal Testing</v>
      </c>
      <c r="AJ267" t="str">
        <f t="shared" si="32"/>
        <v>High Trust</v>
      </c>
      <c r="AL267">
        <f t="shared" si="33"/>
        <v>97.5</v>
      </c>
      <c r="AM267" t="str">
        <f t="shared" si="34"/>
        <v>High School</v>
      </c>
    </row>
    <row r="268" spans="1:39" x14ac:dyDescent="0.25">
      <c r="A268" t="s">
        <v>74</v>
      </c>
      <c r="B268" t="s">
        <v>73</v>
      </c>
      <c r="C268">
        <v>59.16</v>
      </c>
      <c r="D268">
        <v>697</v>
      </c>
      <c r="E268" t="b">
        <v>0</v>
      </c>
      <c r="F268" t="b">
        <v>0</v>
      </c>
      <c r="G268" t="b">
        <v>1</v>
      </c>
      <c r="H268" t="s">
        <v>43</v>
      </c>
      <c r="I268" t="s">
        <v>63</v>
      </c>
      <c r="J268" t="s">
        <v>50</v>
      </c>
      <c r="K268" t="s">
        <v>46</v>
      </c>
      <c r="L268" t="s">
        <v>37</v>
      </c>
      <c r="M268" t="s">
        <v>46</v>
      </c>
      <c r="N268" t="s">
        <v>28</v>
      </c>
      <c r="O268" t="b">
        <v>1</v>
      </c>
      <c r="P268" t="b">
        <v>0</v>
      </c>
      <c r="Q268">
        <v>7.4</v>
      </c>
      <c r="R268" t="b">
        <v>1</v>
      </c>
      <c r="S268" t="s">
        <v>52</v>
      </c>
      <c r="T268">
        <v>24.1</v>
      </c>
      <c r="U268">
        <v>51.53</v>
      </c>
      <c r="V268" t="b">
        <v>0</v>
      </c>
      <c r="W268" t="s">
        <v>41</v>
      </c>
      <c r="AE268" t="str">
        <f t="shared" si="28"/>
        <v>No</v>
      </c>
      <c r="AF268" t="str">
        <f t="shared" si="29"/>
        <v>Low</v>
      </c>
      <c r="AG268" t="str">
        <f t="shared" si="30"/>
        <v>Yes</v>
      </c>
      <c r="AH268" t="str">
        <f t="shared" si="31"/>
        <v>Checked Official Source</v>
      </c>
      <c r="AJ268" t="str">
        <f t="shared" si="32"/>
        <v>Moderate Trust</v>
      </c>
      <c r="AL268">
        <f t="shared" si="33"/>
        <v>51.5</v>
      </c>
      <c r="AM268" t="str">
        <f t="shared" si="34"/>
        <v>Professional</v>
      </c>
    </row>
    <row r="269" spans="1:39" x14ac:dyDescent="0.25">
      <c r="A269" t="s">
        <v>74</v>
      </c>
      <c r="B269" t="s">
        <v>24</v>
      </c>
      <c r="C269">
        <v>85.28</v>
      </c>
      <c r="D269">
        <v>756</v>
      </c>
      <c r="E269" t="b">
        <v>1</v>
      </c>
      <c r="F269" t="b">
        <v>0</v>
      </c>
      <c r="G269" t="b">
        <v>1</v>
      </c>
      <c r="H269" t="s">
        <v>34</v>
      </c>
      <c r="I269" t="s">
        <v>63</v>
      </c>
      <c r="J269" t="s">
        <v>50</v>
      </c>
      <c r="K269" t="s">
        <v>28</v>
      </c>
      <c r="L269" t="s">
        <v>29</v>
      </c>
      <c r="M269" t="s">
        <v>39</v>
      </c>
      <c r="P269" t="b">
        <v>0</v>
      </c>
      <c r="Q269">
        <v>10</v>
      </c>
      <c r="R269" t="b">
        <v>1</v>
      </c>
      <c r="S269" t="s">
        <v>48</v>
      </c>
      <c r="T269">
        <v>39.200000000000003</v>
      </c>
      <c r="U269">
        <v>92.47</v>
      </c>
      <c r="V269" t="b">
        <v>1</v>
      </c>
      <c r="W269" t="s">
        <v>31</v>
      </c>
      <c r="AE269" t="str">
        <f t="shared" si="28"/>
        <v>No</v>
      </c>
      <c r="AF269" t="str">
        <f t="shared" si="29"/>
        <v>Unknown</v>
      </c>
      <c r="AG269" t="str">
        <f t="shared" si="30"/>
        <v>No</v>
      </c>
      <c r="AH269" t="str">
        <f t="shared" si="31"/>
        <v>Consulted Documentation</v>
      </c>
      <c r="AJ269" t="str">
        <f t="shared" si="32"/>
        <v>High Trust</v>
      </c>
      <c r="AL269">
        <f t="shared" si="33"/>
        <v>92.5</v>
      </c>
      <c r="AM269" t="str">
        <f t="shared" si="34"/>
        <v>Professional</v>
      </c>
    </row>
    <row r="270" spans="1:39" x14ac:dyDescent="0.25">
      <c r="A270" t="s">
        <v>74</v>
      </c>
      <c r="B270" t="s">
        <v>70</v>
      </c>
      <c r="C270">
        <v>71.319999999999993</v>
      </c>
      <c r="D270">
        <v>245</v>
      </c>
      <c r="E270" t="b">
        <v>1</v>
      </c>
      <c r="F270" t="b">
        <v>0</v>
      </c>
      <c r="G270" t="b">
        <v>0</v>
      </c>
      <c r="H270" t="s">
        <v>34</v>
      </c>
      <c r="I270" t="s">
        <v>67</v>
      </c>
      <c r="J270" t="s">
        <v>50</v>
      </c>
      <c r="K270" t="s">
        <v>37</v>
      </c>
      <c r="L270" t="s">
        <v>69</v>
      </c>
      <c r="M270" t="s">
        <v>46</v>
      </c>
      <c r="N270" t="s">
        <v>46</v>
      </c>
      <c r="O270" t="b">
        <v>0</v>
      </c>
      <c r="P270" t="b">
        <v>0</v>
      </c>
      <c r="Q270">
        <v>8.6</v>
      </c>
      <c r="R270" t="b">
        <v>0</v>
      </c>
      <c r="T270">
        <v>0</v>
      </c>
      <c r="U270">
        <v>75.89</v>
      </c>
      <c r="V270" t="b">
        <v>1</v>
      </c>
      <c r="W270" t="s">
        <v>58</v>
      </c>
      <c r="AE270" t="str">
        <f t="shared" si="28"/>
        <v>No</v>
      </c>
      <c r="AF270" t="str">
        <f t="shared" si="29"/>
        <v>Medium</v>
      </c>
      <c r="AG270" t="str">
        <f t="shared" si="30"/>
        <v>No</v>
      </c>
      <c r="AH270" t="str">
        <f t="shared" si="31"/>
        <v>Unknown</v>
      </c>
      <c r="AJ270" t="str">
        <f t="shared" si="32"/>
        <v>High Trust</v>
      </c>
      <c r="AL270">
        <f t="shared" si="33"/>
        <v>75.900000000000006</v>
      </c>
      <c r="AM270" t="str">
        <f t="shared" si="34"/>
        <v>Professional</v>
      </c>
    </row>
    <row r="271" spans="1:39" x14ac:dyDescent="0.25">
      <c r="A271" t="s">
        <v>56</v>
      </c>
      <c r="B271" t="s">
        <v>60</v>
      </c>
      <c r="C271">
        <v>61.78</v>
      </c>
      <c r="D271">
        <v>589</v>
      </c>
      <c r="E271" t="b">
        <v>0</v>
      </c>
      <c r="F271" t="b">
        <v>1</v>
      </c>
      <c r="G271" t="b">
        <v>0</v>
      </c>
      <c r="H271" t="s">
        <v>43</v>
      </c>
      <c r="I271" t="s">
        <v>35</v>
      </c>
      <c r="J271" t="s">
        <v>54</v>
      </c>
      <c r="K271" t="s">
        <v>37</v>
      </c>
      <c r="L271" t="s">
        <v>38</v>
      </c>
      <c r="M271" t="s">
        <v>46</v>
      </c>
      <c r="N271" t="s">
        <v>39</v>
      </c>
      <c r="O271" t="b">
        <v>0</v>
      </c>
      <c r="P271" t="b">
        <v>0</v>
      </c>
      <c r="Q271">
        <v>5.6</v>
      </c>
      <c r="R271" t="b">
        <v>1</v>
      </c>
      <c r="S271" t="s">
        <v>65</v>
      </c>
      <c r="T271">
        <v>3.9</v>
      </c>
      <c r="U271">
        <v>65.150000000000006</v>
      </c>
      <c r="V271" t="b">
        <v>1</v>
      </c>
      <c r="W271" t="s">
        <v>41</v>
      </c>
      <c r="AE271" t="str">
        <f t="shared" si="28"/>
        <v>Yes</v>
      </c>
      <c r="AF271" t="str">
        <f t="shared" si="29"/>
        <v>High</v>
      </c>
      <c r="AG271" t="str">
        <f t="shared" si="30"/>
        <v>No</v>
      </c>
      <c r="AH271" t="str">
        <f t="shared" si="31"/>
        <v>Cross-referenced Multiple AIs</v>
      </c>
      <c r="AJ271" t="str">
        <f t="shared" si="32"/>
        <v>Moderate Trust</v>
      </c>
      <c r="AL271">
        <f t="shared" si="33"/>
        <v>65.2</v>
      </c>
      <c r="AM271" t="str">
        <f t="shared" si="34"/>
        <v>Masters</v>
      </c>
    </row>
    <row r="272" spans="1:39" x14ac:dyDescent="0.25">
      <c r="A272" t="s">
        <v>61</v>
      </c>
      <c r="B272" t="s">
        <v>76</v>
      </c>
      <c r="C272">
        <v>74.97</v>
      </c>
      <c r="D272">
        <v>695</v>
      </c>
      <c r="E272" t="b">
        <v>0</v>
      </c>
      <c r="F272" t="b">
        <v>0</v>
      </c>
      <c r="G272" t="b">
        <v>1</v>
      </c>
      <c r="H272" t="s">
        <v>34</v>
      </c>
      <c r="I272" t="s">
        <v>63</v>
      </c>
      <c r="J272" t="s">
        <v>27</v>
      </c>
      <c r="K272" t="s">
        <v>37</v>
      </c>
      <c r="L272" t="s">
        <v>69</v>
      </c>
      <c r="M272" t="s">
        <v>47</v>
      </c>
      <c r="O272" t="b">
        <v>1</v>
      </c>
      <c r="P272" t="b">
        <v>1</v>
      </c>
      <c r="Q272">
        <v>9</v>
      </c>
      <c r="R272" t="b">
        <v>1</v>
      </c>
      <c r="S272" t="s">
        <v>40</v>
      </c>
      <c r="T272">
        <v>12.3</v>
      </c>
      <c r="U272">
        <v>62.72</v>
      </c>
      <c r="V272" t="b">
        <v>0</v>
      </c>
      <c r="W272" t="s">
        <v>31</v>
      </c>
      <c r="AE272" t="str">
        <f t="shared" si="28"/>
        <v>No</v>
      </c>
      <c r="AF272" t="str">
        <f t="shared" si="29"/>
        <v>Unknown</v>
      </c>
      <c r="AG272" t="str">
        <f t="shared" si="30"/>
        <v>Yes</v>
      </c>
      <c r="AH272" t="str">
        <f t="shared" si="31"/>
        <v>Asked Expert</v>
      </c>
      <c r="AJ272" t="str">
        <f t="shared" si="32"/>
        <v>High Trust</v>
      </c>
      <c r="AL272">
        <f t="shared" si="33"/>
        <v>62.7</v>
      </c>
      <c r="AM272" t="str">
        <f t="shared" si="34"/>
        <v>Bachelors</v>
      </c>
    </row>
    <row r="273" spans="1:39" x14ac:dyDescent="0.25">
      <c r="A273" t="s">
        <v>23</v>
      </c>
      <c r="B273" t="s">
        <v>62</v>
      </c>
      <c r="C273">
        <v>71.22</v>
      </c>
      <c r="D273">
        <v>461</v>
      </c>
      <c r="E273" t="b">
        <v>0</v>
      </c>
      <c r="F273" t="b">
        <v>1</v>
      </c>
      <c r="G273" t="b">
        <v>1</v>
      </c>
      <c r="H273" t="s">
        <v>53</v>
      </c>
      <c r="I273" t="s">
        <v>63</v>
      </c>
      <c r="J273" t="s">
        <v>36</v>
      </c>
      <c r="K273" t="s">
        <v>46</v>
      </c>
      <c r="L273" t="s">
        <v>29</v>
      </c>
      <c r="M273" t="s">
        <v>39</v>
      </c>
      <c r="P273" t="b">
        <v>0</v>
      </c>
      <c r="Q273">
        <v>6.6</v>
      </c>
      <c r="R273" t="b">
        <v>1</v>
      </c>
      <c r="S273" t="s">
        <v>40</v>
      </c>
      <c r="T273">
        <v>32.6</v>
      </c>
      <c r="U273">
        <v>78.3</v>
      </c>
      <c r="V273" t="b">
        <v>1</v>
      </c>
      <c r="W273" t="s">
        <v>41</v>
      </c>
      <c r="AE273" t="str">
        <f t="shared" si="28"/>
        <v>Yes</v>
      </c>
      <c r="AF273" t="str">
        <f t="shared" si="29"/>
        <v>Unknown</v>
      </c>
      <c r="AG273" t="str">
        <f t="shared" si="30"/>
        <v>No</v>
      </c>
      <c r="AH273" t="str">
        <f t="shared" si="31"/>
        <v>Asked Expert</v>
      </c>
      <c r="AJ273" t="str">
        <f t="shared" si="32"/>
        <v>Moderate Trust</v>
      </c>
      <c r="AL273">
        <f t="shared" si="33"/>
        <v>78.3</v>
      </c>
      <c r="AM273" t="str">
        <f t="shared" si="34"/>
        <v>PhD</v>
      </c>
    </row>
    <row r="274" spans="1:39" x14ac:dyDescent="0.25">
      <c r="A274" t="s">
        <v>23</v>
      </c>
      <c r="B274" t="s">
        <v>33</v>
      </c>
      <c r="C274">
        <v>85.84</v>
      </c>
      <c r="D274">
        <v>686</v>
      </c>
      <c r="E274" t="b">
        <v>1</v>
      </c>
      <c r="F274" t="b">
        <v>1</v>
      </c>
      <c r="G274" t="b">
        <v>1</v>
      </c>
      <c r="H274" t="s">
        <v>34</v>
      </c>
      <c r="I274" t="s">
        <v>44</v>
      </c>
      <c r="J274" t="s">
        <v>50</v>
      </c>
      <c r="K274" t="s">
        <v>37</v>
      </c>
      <c r="L274" t="s">
        <v>69</v>
      </c>
      <c r="M274" t="s">
        <v>28</v>
      </c>
      <c r="N274" t="s">
        <v>39</v>
      </c>
      <c r="O274" t="b">
        <v>1</v>
      </c>
      <c r="P274" t="b">
        <v>0</v>
      </c>
      <c r="Q274">
        <v>10</v>
      </c>
      <c r="R274" t="b">
        <v>1</v>
      </c>
      <c r="S274" t="s">
        <v>55</v>
      </c>
      <c r="T274">
        <v>10.3</v>
      </c>
      <c r="U274">
        <v>74.569999999999993</v>
      </c>
      <c r="V274" t="b">
        <v>0</v>
      </c>
      <c r="W274" t="s">
        <v>31</v>
      </c>
      <c r="AE274" t="str">
        <f t="shared" si="28"/>
        <v>Yes</v>
      </c>
      <c r="AF274" t="str">
        <f t="shared" si="29"/>
        <v>High</v>
      </c>
      <c r="AG274" t="str">
        <f t="shared" si="30"/>
        <v>Yes</v>
      </c>
      <c r="AH274" t="str">
        <f t="shared" si="31"/>
        <v>Academic Paper</v>
      </c>
      <c r="AJ274" t="str">
        <f t="shared" si="32"/>
        <v>High Trust</v>
      </c>
      <c r="AL274">
        <f t="shared" si="33"/>
        <v>74.599999999999994</v>
      </c>
      <c r="AM274" t="str">
        <f t="shared" si="34"/>
        <v>Professional</v>
      </c>
    </row>
    <row r="275" spans="1:39" x14ac:dyDescent="0.25">
      <c r="A275" t="s">
        <v>74</v>
      </c>
      <c r="B275" t="s">
        <v>33</v>
      </c>
      <c r="C275">
        <v>86.38</v>
      </c>
      <c r="D275">
        <v>411</v>
      </c>
      <c r="E275" t="b">
        <v>1</v>
      </c>
      <c r="F275" t="b">
        <v>0</v>
      </c>
      <c r="G275" t="b">
        <v>1</v>
      </c>
      <c r="H275" t="s">
        <v>25</v>
      </c>
      <c r="I275" t="s">
        <v>44</v>
      </c>
      <c r="J275" t="s">
        <v>27</v>
      </c>
      <c r="K275" t="s">
        <v>46</v>
      </c>
      <c r="L275" t="s">
        <v>51</v>
      </c>
      <c r="M275" t="s">
        <v>46</v>
      </c>
      <c r="N275" t="s">
        <v>39</v>
      </c>
      <c r="O275" t="b">
        <v>0</v>
      </c>
      <c r="P275" t="b">
        <v>0</v>
      </c>
      <c r="Q275">
        <v>9.6</v>
      </c>
      <c r="R275" t="b">
        <v>0</v>
      </c>
      <c r="T275">
        <v>0</v>
      </c>
      <c r="U275">
        <v>73.02</v>
      </c>
      <c r="V275" t="b">
        <v>0</v>
      </c>
      <c r="W275" t="s">
        <v>58</v>
      </c>
      <c r="AE275" t="str">
        <f t="shared" si="28"/>
        <v>No</v>
      </c>
      <c r="AF275" t="str">
        <f t="shared" si="29"/>
        <v>High</v>
      </c>
      <c r="AG275" t="str">
        <f t="shared" si="30"/>
        <v>No</v>
      </c>
      <c r="AH275" t="str">
        <f t="shared" si="31"/>
        <v>Unknown</v>
      </c>
      <c r="AJ275" t="str">
        <f t="shared" si="32"/>
        <v>High Trust</v>
      </c>
      <c r="AL275">
        <f t="shared" si="33"/>
        <v>73</v>
      </c>
      <c r="AM275" t="str">
        <f t="shared" si="34"/>
        <v>Bachelors</v>
      </c>
    </row>
    <row r="276" spans="1:39" x14ac:dyDescent="0.25">
      <c r="A276" t="s">
        <v>74</v>
      </c>
      <c r="B276" t="s">
        <v>49</v>
      </c>
      <c r="C276">
        <v>77.27</v>
      </c>
      <c r="D276">
        <v>754</v>
      </c>
      <c r="E276" t="b">
        <v>0</v>
      </c>
      <c r="F276" t="b">
        <v>0</v>
      </c>
      <c r="G276" t="b">
        <v>1</v>
      </c>
      <c r="H276" t="s">
        <v>53</v>
      </c>
      <c r="I276" t="s">
        <v>26</v>
      </c>
      <c r="J276" t="s">
        <v>27</v>
      </c>
      <c r="K276" t="s">
        <v>39</v>
      </c>
      <c r="L276" t="s">
        <v>51</v>
      </c>
      <c r="M276" t="s">
        <v>39</v>
      </c>
      <c r="N276" t="s">
        <v>28</v>
      </c>
      <c r="P276" t="b">
        <v>0</v>
      </c>
      <c r="Q276">
        <v>7.2</v>
      </c>
      <c r="R276" t="b">
        <v>0</v>
      </c>
      <c r="T276">
        <v>0</v>
      </c>
      <c r="U276">
        <v>75.69</v>
      </c>
      <c r="V276" t="b">
        <v>1</v>
      </c>
      <c r="W276" t="s">
        <v>31</v>
      </c>
      <c r="AE276" t="str">
        <f t="shared" si="28"/>
        <v>No</v>
      </c>
      <c r="AF276" t="str">
        <f t="shared" si="29"/>
        <v>Low</v>
      </c>
      <c r="AG276" t="str">
        <f t="shared" si="30"/>
        <v>No</v>
      </c>
      <c r="AH276" t="str">
        <f t="shared" si="31"/>
        <v>Unknown</v>
      </c>
      <c r="AJ276" t="str">
        <f t="shared" si="32"/>
        <v>Moderate Trust</v>
      </c>
      <c r="AL276">
        <f t="shared" si="33"/>
        <v>75.7</v>
      </c>
      <c r="AM276" t="str">
        <f t="shared" si="34"/>
        <v>Bachelors</v>
      </c>
    </row>
    <row r="277" spans="1:39" x14ac:dyDescent="0.25">
      <c r="A277" t="s">
        <v>23</v>
      </c>
      <c r="B277" t="s">
        <v>33</v>
      </c>
      <c r="C277">
        <v>77.42</v>
      </c>
      <c r="D277">
        <v>302</v>
      </c>
      <c r="E277" t="b">
        <v>1</v>
      </c>
      <c r="F277" t="b">
        <v>0</v>
      </c>
      <c r="G277" t="b">
        <v>1</v>
      </c>
      <c r="H277" t="s">
        <v>25</v>
      </c>
      <c r="I277" t="s">
        <v>63</v>
      </c>
      <c r="J277" t="s">
        <v>36</v>
      </c>
      <c r="K277" t="s">
        <v>46</v>
      </c>
      <c r="L277" t="s">
        <v>69</v>
      </c>
      <c r="M277" t="s">
        <v>39</v>
      </c>
      <c r="N277" t="s">
        <v>46</v>
      </c>
      <c r="O277" t="b">
        <v>1</v>
      </c>
      <c r="P277" t="b">
        <v>0</v>
      </c>
      <c r="Q277">
        <v>10</v>
      </c>
      <c r="R277" t="b">
        <v>1</v>
      </c>
      <c r="S277" t="s">
        <v>75</v>
      </c>
      <c r="T277">
        <v>18.8</v>
      </c>
      <c r="U277">
        <v>90.25</v>
      </c>
      <c r="V277" t="b">
        <v>1</v>
      </c>
      <c r="W277" t="s">
        <v>31</v>
      </c>
      <c r="AE277" t="str">
        <f t="shared" si="28"/>
        <v>No</v>
      </c>
      <c r="AF277" t="str">
        <f t="shared" si="29"/>
        <v>Medium</v>
      </c>
      <c r="AG277" t="str">
        <f t="shared" si="30"/>
        <v>Yes</v>
      </c>
      <c r="AH277" t="str">
        <f t="shared" si="31"/>
        <v>Asked Colleague</v>
      </c>
      <c r="AJ277" t="str">
        <f t="shared" si="32"/>
        <v>High Trust</v>
      </c>
      <c r="AL277">
        <f t="shared" si="33"/>
        <v>90.3</v>
      </c>
      <c r="AM277" t="str">
        <f t="shared" si="34"/>
        <v>PhD</v>
      </c>
    </row>
    <row r="278" spans="1:39" x14ac:dyDescent="0.25">
      <c r="A278" t="s">
        <v>32</v>
      </c>
      <c r="B278" t="s">
        <v>71</v>
      </c>
      <c r="C278">
        <v>48.79</v>
      </c>
      <c r="D278">
        <v>435</v>
      </c>
      <c r="E278" t="b">
        <v>1</v>
      </c>
      <c r="F278" t="b">
        <v>0</v>
      </c>
      <c r="G278" t="b">
        <v>0</v>
      </c>
      <c r="H278" t="s">
        <v>53</v>
      </c>
      <c r="I278" t="s">
        <v>57</v>
      </c>
      <c r="J278" t="s">
        <v>27</v>
      </c>
      <c r="K278" t="s">
        <v>28</v>
      </c>
      <c r="L278" t="s">
        <v>37</v>
      </c>
      <c r="M278" t="s">
        <v>28</v>
      </c>
      <c r="N278" t="s">
        <v>46</v>
      </c>
      <c r="O278" t="b">
        <v>1</v>
      </c>
      <c r="P278" t="b">
        <v>1</v>
      </c>
      <c r="Q278">
        <v>8.1</v>
      </c>
      <c r="R278" t="b">
        <v>0</v>
      </c>
      <c r="T278">
        <v>0</v>
      </c>
      <c r="U278">
        <v>41.67</v>
      </c>
      <c r="V278" t="b">
        <v>0</v>
      </c>
      <c r="W278" t="s">
        <v>58</v>
      </c>
      <c r="AE278" t="str">
        <f t="shared" si="28"/>
        <v>No</v>
      </c>
      <c r="AF278" t="str">
        <f t="shared" si="29"/>
        <v>Medium</v>
      </c>
      <c r="AG278" t="str">
        <f t="shared" si="30"/>
        <v>Yes</v>
      </c>
      <c r="AH278" t="str">
        <f t="shared" si="31"/>
        <v>Unknown</v>
      </c>
      <c r="AJ278" t="str">
        <f t="shared" si="32"/>
        <v>High Trust</v>
      </c>
      <c r="AL278">
        <f t="shared" si="33"/>
        <v>41.7</v>
      </c>
      <c r="AM278" t="str">
        <f t="shared" si="34"/>
        <v>Bachelors</v>
      </c>
    </row>
    <row r="279" spans="1:39" x14ac:dyDescent="0.25">
      <c r="A279" t="s">
        <v>68</v>
      </c>
      <c r="B279" t="s">
        <v>70</v>
      </c>
      <c r="C279">
        <v>94.03</v>
      </c>
      <c r="D279">
        <v>388</v>
      </c>
      <c r="E279" t="b">
        <v>0</v>
      </c>
      <c r="F279" t="b">
        <v>1</v>
      </c>
      <c r="G279" t="b">
        <v>1</v>
      </c>
      <c r="H279" t="s">
        <v>34</v>
      </c>
      <c r="I279" t="s">
        <v>63</v>
      </c>
      <c r="J279" t="s">
        <v>50</v>
      </c>
      <c r="K279" t="s">
        <v>28</v>
      </c>
      <c r="L279" t="s">
        <v>51</v>
      </c>
      <c r="M279" t="s">
        <v>47</v>
      </c>
      <c r="O279" t="b">
        <v>1</v>
      </c>
      <c r="P279" t="b">
        <v>0</v>
      </c>
      <c r="Q279">
        <v>9.6</v>
      </c>
      <c r="R279" t="b">
        <v>1</v>
      </c>
      <c r="S279" t="s">
        <v>40</v>
      </c>
      <c r="T279">
        <v>35.5</v>
      </c>
      <c r="U279">
        <v>84.51</v>
      </c>
      <c r="V279" t="b">
        <v>1</v>
      </c>
      <c r="W279" t="s">
        <v>31</v>
      </c>
      <c r="AE279" t="str">
        <f t="shared" si="28"/>
        <v>Yes</v>
      </c>
      <c r="AF279" t="str">
        <f t="shared" si="29"/>
        <v>Unknown</v>
      </c>
      <c r="AG279" t="str">
        <f t="shared" si="30"/>
        <v>Yes</v>
      </c>
      <c r="AH279" t="str">
        <f t="shared" si="31"/>
        <v>Asked Expert</v>
      </c>
      <c r="AJ279" t="str">
        <f t="shared" si="32"/>
        <v>High Trust</v>
      </c>
      <c r="AL279">
        <f t="shared" si="33"/>
        <v>84.5</v>
      </c>
      <c r="AM279" t="str">
        <f t="shared" si="34"/>
        <v>Professional</v>
      </c>
    </row>
    <row r="280" spans="1:39" x14ac:dyDescent="0.25">
      <c r="A280" t="s">
        <v>32</v>
      </c>
      <c r="B280" t="s">
        <v>71</v>
      </c>
      <c r="C280">
        <v>50.24</v>
      </c>
      <c r="D280">
        <v>721</v>
      </c>
      <c r="E280" t="b">
        <v>1</v>
      </c>
      <c r="F280" t="b">
        <v>0</v>
      </c>
      <c r="G280" t="b">
        <v>0</v>
      </c>
      <c r="H280" t="s">
        <v>25</v>
      </c>
      <c r="I280" t="s">
        <v>35</v>
      </c>
      <c r="J280" t="s">
        <v>54</v>
      </c>
      <c r="K280" t="s">
        <v>46</v>
      </c>
      <c r="L280" t="s">
        <v>37</v>
      </c>
      <c r="M280" t="s">
        <v>28</v>
      </c>
      <c r="N280" t="s">
        <v>46</v>
      </c>
      <c r="O280" t="b">
        <v>1</v>
      </c>
      <c r="P280" t="b">
        <v>0</v>
      </c>
      <c r="Q280">
        <v>9.1</v>
      </c>
      <c r="R280" t="b">
        <v>0</v>
      </c>
      <c r="T280">
        <v>0</v>
      </c>
      <c r="U280">
        <v>27.7</v>
      </c>
      <c r="V280" t="b">
        <v>0</v>
      </c>
      <c r="W280" t="s">
        <v>58</v>
      </c>
      <c r="AE280" t="str">
        <f t="shared" si="28"/>
        <v>No</v>
      </c>
      <c r="AF280" t="str">
        <f t="shared" si="29"/>
        <v>Medium</v>
      </c>
      <c r="AG280" t="str">
        <f t="shared" si="30"/>
        <v>Yes</v>
      </c>
      <c r="AH280" t="str">
        <f t="shared" si="31"/>
        <v>Unknown</v>
      </c>
      <c r="AJ280" t="str">
        <f t="shared" si="32"/>
        <v>High Trust</v>
      </c>
      <c r="AL280">
        <f t="shared" si="33"/>
        <v>27.7</v>
      </c>
      <c r="AM280" t="str">
        <f t="shared" si="34"/>
        <v>Masters</v>
      </c>
    </row>
    <row r="281" spans="1:39" x14ac:dyDescent="0.25">
      <c r="A281" t="s">
        <v>61</v>
      </c>
      <c r="B281" t="s">
        <v>73</v>
      </c>
      <c r="C281">
        <v>46.17</v>
      </c>
      <c r="D281">
        <v>234</v>
      </c>
      <c r="E281" t="b">
        <v>1</v>
      </c>
      <c r="F281" t="b">
        <v>1</v>
      </c>
      <c r="G281" t="b">
        <v>0</v>
      </c>
      <c r="H281" t="s">
        <v>34</v>
      </c>
      <c r="I281" t="s">
        <v>57</v>
      </c>
      <c r="J281" t="s">
        <v>50</v>
      </c>
      <c r="K281" t="s">
        <v>46</v>
      </c>
      <c r="L281" t="s">
        <v>38</v>
      </c>
      <c r="M281" t="s">
        <v>46</v>
      </c>
      <c r="N281" t="s">
        <v>28</v>
      </c>
      <c r="P281" t="b">
        <v>0</v>
      </c>
      <c r="Q281">
        <v>6.7</v>
      </c>
      <c r="R281" t="b">
        <v>1</v>
      </c>
      <c r="S281" t="s">
        <v>52</v>
      </c>
      <c r="T281">
        <v>31.4</v>
      </c>
      <c r="U281">
        <v>55.51</v>
      </c>
      <c r="V281" t="b">
        <v>1</v>
      </c>
      <c r="W281" t="s">
        <v>41</v>
      </c>
      <c r="AE281" t="str">
        <f t="shared" si="28"/>
        <v>Yes</v>
      </c>
      <c r="AF281" t="str">
        <f t="shared" si="29"/>
        <v>Low</v>
      </c>
      <c r="AG281" t="str">
        <f t="shared" si="30"/>
        <v>No</v>
      </c>
      <c r="AH281" t="str">
        <f t="shared" si="31"/>
        <v>Checked Official Source</v>
      </c>
      <c r="AJ281" t="str">
        <f t="shared" si="32"/>
        <v>Moderate Trust</v>
      </c>
      <c r="AL281">
        <f t="shared" si="33"/>
        <v>55.5</v>
      </c>
      <c r="AM281" t="str">
        <f t="shared" si="34"/>
        <v>Professional</v>
      </c>
    </row>
    <row r="282" spans="1:39" x14ac:dyDescent="0.25">
      <c r="A282" t="s">
        <v>32</v>
      </c>
      <c r="B282" t="s">
        <v>49</v>
      </c>
      <c r="C282">
        <v>70.03</v>
      </c>
      <c r="D282">
        <v>773</v>
      </c>
      <c r="E282" t="b">
        <v>0</v>
      </c>
      <c r="F282" t="b">
        <v>1</v>
      </c>
      <c r="G282" t="b">
        <v>1</v>
      </c>
      <c r="H282" t="s">
        <v>34</v>
      </c>
      <c r="I282" t="s">
        <v>35</v>
      </c>
      <c r="J282" t="s">
        <v>54</v>
      </c>
      <c r="K282" t="s">
        <v>39</v>
      </c>
      <c r="L282" t="s">
        <v>38</v>
      </c>
      <c r="M282" t="s">
        <v>47</v>
      </c>
      <c r="N282" t="s">
        <v>39</v>
      </c>
      <c r="O282" t="b">
        <v>0</v>
      </c>
      <c r="P282" t="b">
        <v>0</v>
      </c>
      <c r="Q282">
        <v>5.9</v>
      </c>
      <c r="R282" t="b">
        <v>1</v>
      </c>
      <c r="S282" t="s">
        <v>75</v>
      </c>
      <c r="T282">
        <v>17</v>
      </c>
      <c r="U282">
        <v>71.739999999999995</v>
      </c>
      <c r="V282" t="b">
        <v>1</v>
      </c>
      <c r="W282" t="s">
        <v>41</v>
      </c>
      <c r="AE282" t="str">
        <f t="shared" si="28"/>
        <v>Yes</v>
      </c>
      <c r="AF282" t="str">
        <f t="shared" si="29"/>
        <v>High</v>
      </c>
      <c r="AG282" t="str">
        <f t="shared" si="30"/>
        <v>No</v>
      </c>
      <c r="AH282" t="str">
        <f t="shared" si="31"/>
        <v>Asked Colleague</v>
      </c>
      <c r="AJ282" t="str">
        <f t="shared" si="32"/>
        <v>Moderate Trust</v>
      </c>
      <c r="AL282">
        <f t="shared" si="33"/>
        <v>71.7</v>
      </c>
      <c r="AM282" t="str">
        <f t="shared" si="34"/>
        <v>Masters</v>
      </c>
    </row>
    <row r="283" spans="1:39" x14ac:dyDescent="0.25">
      <c r="A283" t="s">
        <v>61</v>
      </c>
      <c r="B283" t="s">
        <v>42</v>
      </c>
      <c r="C283">
        <v>78.8</v>
      </c>
      <c r="D283">
        <v>722</v>
      </c>
      <c r="E283" t="b">
        <v>0</v>
      </c>
      <c r="F283" t="b">
        <v>0</v>
      </c>
      <c r="G283" t="b">
        <v>1</v>
      </c>
      <c r="H283" t="s">
        <v>34</v>
      </c>
      <c r="I283" t="s">
        <v>67</v>
      </c>
      <c r="J283" t="s">
        <v>27</v>
      </c>
      <c r="K283" t="s">
        <v>39</v>
      </c>
      <c r="L283" t="s">
        <v>69</v>
      </c>
      <c r="M283" t="s">
        <v>47</v>
      </c>
      <c r="N283" t="s">
        <v>39</v>
      </c>
      <c r="O283" t="b">
        <v>0</v>
      </c>
      <c r="P283" t="b">
        <v>1</v>
      </c>
      <c r="Q283">
        <v>6.5</v>
      </c>
      <c r="R283" t="b">
        <v>0</v>
      </c>
      <c r="T283">
        <v>0</v>
      </c>
      <c r="U283">
        <v>70.040000000000006</v>
      </c>
      <c r="V283" t="b">
        <v>1</v>
      </c>
      <c r="W283" t="s">
        <v>31</v>
      </c>
      <c r="AE283" t="str">
        <f t="shared" si="28"/>
        <v>No</v>
      </c>
      <c r="AF283" t="str">
        <f t="shared" si="29"/>
        <v>High</v>
      </c>
      <c r="AG283" t="str">
        <f t="shared" si="30"/>
        <v>No</v>
      </c>
      <c r="AH283" t="str">
        <f t="shared" si="31"/>
        <v>Unknown</v>
      </c>
      <c r="AJ283" t="str">
        <f t="shared" si="32"/>
        <v>Moderate Trust</v>
      </c>
      <c r="AL283">
        <f t="shared" si="33"/>
        <v>70</v>
      </c>
      <c r="AM283" t="str">
        <f t="shared" si="34"/>
        <v>Bachelors</v>
      </c>
    </row>
    <row r="284" spans="1:39" x14ac:dyDescent="0.25">
      <c r="A284" t="s">
        <v>61</v>
      </c>
      <c r="B284" t="s">
        <v>73</v>
      </c>
      <c r="C284">
        <v>59.84</v>
      </c>
      <c r="D284">
        <v>780</v>
      </c>
      <c r="E284" t="b">
        <v>0</v>
      </c>
      <c r="F284" t="b">
        <v>0</v>
      </c>
      <c r="G284" t="b">
        <v>1</v>
      </c>
      <c r="H284" t="s">
        <v>43</v>
      </c>
      <c r="I284" t="s">
        <v>26</v>
      </c>
      <c r="J284" t="s">
        <v>45</v>
      </c>
      <c r="K284" t="s">
        <v>39</v>
      </c>
      <c r="L284" t="s">
        <v>29</v>
      </c>
      <c r="M284" t="s">
        <v>28</v>
      </c>
      <c r="N284" t="s">
        <v>39</v>
      </c>
      <c r="O284" t="b">
        <v>0</v>
      </c>
      <c r="P284" t="b">
        <v>0</v>
      </c>
      <c r="Q284">
        <v>5.0999999999999996</v>
      </c>
      <c r="R284" t="b">
        <v>1</v>
      </c>
      <c r="S284" t="s">
        <v>64</v>
      </c>
      <c r="T284">
        <v>4.5999999999999996</v>
      </c>
      <c r="U284">
        <v>47.53</v>
      </c>
      <c r="V284" t="b">
        <v>1</v>
      </c>
      <c r="W284" t="s">
        <v>41</v>
      </c>
      <c r="AE284" t="str">
        <f t="shared" si="28"/>
        <v>No</v>
      </c>
      <c r="AF284" t="str">
        <f t="shared" si="29"/>
        <v>High</v>
      </c>
      <c r="AG284" t="str">
        <f t="shared" si="30"/>
        <v>No</v>
      </c>
      <c r="AH284" t="str">
        <f t="shared" si="31"/>
        <v>Personal Testing</v>
      </c>
      <c r="AJ284" t="str">
        <f t="shared" si="32"/>
        <v>Moderate Trust</v>
      </c>
      <c r="AL284">
        <f t="shared" si="33"/>
        <v>47.5</v>
      </c>
      <c r="AM284" t="str">
        <f t="shared" si="34"/>
        <v>High School</v>
      </c>
    </row>
    <row r="285" spans="1:39" x14ac:dyDescent="0.25">
      <c r="A285" t="s">
        <v>61</v>
      </c>
      <c r="B285" t="s">
        <v>76</v>
      </c>
      <c r="C285">
        <v>76.55</v>
      </c>
      <c r="D285">
        <v>75</v>
      </c>
      <c r="E285" t="b">
        <v>0</v>
      </c>
      <c r="F285" t="b">
        <v>1</v>
      </c>
      <c r="G285" t="b">
        <v>0</v>
      </c>
      <c r="H285" t="s">
        <v>25</v>
      </c>
      <c r="I285" t="s">
        <v>67</v>
      </c>
      <c r="J285" t="s">
        <v>54</v>
      </c>
      <c r="K285" t="s">
        <v>46</v>
      </c>
      <c r="L285" t="s">
        <v>37</v>
      </c>
      <c r="M285" t="s">
        <v>28</v>
      </c>
      <c r="N285" t="s">
        <v>39</v>
      </c>
      <c r="O285" t="b">
        <v>0</v>
      </c>
      <c r="P285" t="b">
        <v>0</v>
      </c>
      <c r="Q285">
        <v>7.6</v>
      </c>
      <c r="R285" t="b">
        <v>0</v>
      </c>
      <c r="T285">
        <v>0</v>
      </c>
      <c r="U285">
        <v>75.150000000000006</v>
      </c>
      <c r="V285" t="b">
        <v>1</v>
      </c>
      <c r="W285" t="s">
        <v>31</v>
      </c>
      <c r="AE285" t="str">
        <f t="shared" si="28"/>
        <v>Yes</v>
      </c>
      <c r="AF285" t="str">
        <f t="shared" si="29"/>
        <v>High</v>
      </c>
      <c r="AG285" t="str">
        <f t="shared" si="30"/>
        <v>No</v>
      </c>
      <c r="AH285" t="str">
        <f t="shared" si="31"/>
        <v>Unknown</v>
      </c>
      <c r="AJ285" t="str">
        <f t="shared" si="32"/>
        <v>Moderate Trust</v>
      </c>
      <c r="AL285">
        <f t="shared" si="33"/>
        <v>75.2</v>
      </c>
      <c r="AM285" t="str">
        <f t="shared" si="34"/>
        <v>Masters</v>
      </c>
    </row>
    <row r="286" spans="1:39" x14ac:dyDescent="0.25">
      <c r="A286" t="s">
        <v>68</v>
      </c>
      <c r="B286" t="s">
        <v>49</v>
      </c>
      <c r="C286">
        <v>62.98</v>
      </c>
      <c r="D286">
        <v>199</v>
      </c>
      <c r="E286" t="b">
        <v>0</v>
      </c>
      <c r="F286" t="b">
        <v>1</v>
      </c>
      <c r="G286" t="b">
        <v>0</v>
      </c>
      <c r="H286" t="s">
        <v>25</v>
      </c>
      <c r="I286" t="s">
        <v>26</v>
      </c>
      <c r="J286" t="s">
        <v>50</v>
      </c>
      <c r="K286" t="s">
        <v>37</v>
      </c>
      <c r="L286" t="s">
        <v>69</v>
      </c>
      <c r="M286" t="s">
        <v>39</v>
      </c>
      <c r="N286" t="s">
        <v>46</v>
      </c>
      <c r="O286" t="b">
        <v>0</v>
      </c>
      <c r="P286" t="b">
        <v>0</v>
      </c>
      <c r="Q286">
        <v>5.2</v>
      </c>
      <c r="R286" t="b">
        <v>1</v>
      </c>
      <c r="S286" t="s">
        <v>75</v>
      </c>
      <c r="T286">
        <v>17.2</v>
      </c>
      <c r="U286">
        <v>63.65</v>
      </c>
      <c r="V286" t="b">
        <v>1</v>
      </c>
      <c r="W286" t="s">
        <v>41</v>
      </c>
      <c r="AE286" t="str">
        <f t="shared" si="28"/>
        <v>Yes</v>
      </c>
      <c r="AF286" t="str">
        <f t="shared" si="29"/>
        <v>Medium</v>
      </c>
      <c r="AG286" t="str">
        <f t="shared" si="30"/>
        <v>No</v>
      </c>
      <c r="AH286" t="str">
        <f t="shared" si="31"/>
        <v>Asked Colleague</v>
      </c>
      <c r="AJ286" t="str">
        <f t="shared" si="32"/>
        <v>Moderate Trust</v>
      </c>
      <c r="AL286">
        <f t="shared" si="33"/>
        <v>63.7</v>
      </c>
      <c r="AM286" t="str">
        <f t="shared" si="34"/>
        <v>Professional</v>
      </c>
    </row>
    <row r="287" spans="1:39" x14ac:dyDescent="0.25">
      <c r="A287" t="s">
        <v>68</v>
      </c>
      <c r="B287" t="s">
        <v>59</v>
      </c>
      <c r="C287">
        <v>79.290000000000006</v>
      </c>
      <c r="D287">
        <v>443</v>
      </c>
      <c r="E287" t="b">
        <v>1</v>
      </c>
      <c r="F287" t="b">
        <v>1</v>
      </c>
      <c r="G287" t="b">
        <v>0</v>
      </c>
      <c r="H287" t="s">
        <v>25</v>
      </c>
      <c r="I287" t="s">
        <v>26</v>
      </c>
      <c r="J287" t="s">
        <v>36</v>
      </c>
      <c r="K287" t="s">
        <v>46</v>
      </c>
      <c r="L287" t="s">
        <v>29</v>
      </c>
      <c r="M287" t="s">
        <v>46</v>
      </c>
      <c r="N287" t="s">
        <v>46</v>
      </c>
      <c r="P287" t="b">
        <v>0</v>
      </c>
      <c r="Q287">
        <v>9.5</v>
      </c>
      <c r="R287" t="b">
        <v>0</v>
      </c>
      <c r="T287">
        <v>0</v>
      </c>
      <c r="U287">
        <v>90.43</v>
      </c>
      <c r="V287" t="b">
        <v>1</v>
      </c>
      <c r="W287" t="s">
        <v>58</v>
      </c>
      <c r="AE287" t="str">
        <f t="shared" si="28"/>
        <v>Yes</v>
      </c>
      <c r="AF287" t="str">
        <f t="shared" si="29"/>
        <v>Medium</v>
      </c>
      <c r="AG287" t="str">
        <f t="shared" si="30"/>
        <v>No</v>
      </c>
      <c r="AH287" t="str">
        <f t="shared" si="31"/>
        <v>Unknown</v>
      </c>
      <c r="AJ287" t="str">
        <f t="shared" si="32"/>
        <v>High Trust</v>
      </c>
      <c r="AL287">
        <f t="shared" si="33"/>
        <v>90.4</v>
      </c>
      <c r="AM287" t="str">
        <f t="shared" si="34"/>
        <v>PhD</v>
      </c>
    </row>
    <row r="288" spans="1:39" x14ac:dyDescent="0.25">
      <c r="A288" t="s">
        <v>74</v>
      </c>
      <c r="B288" t="s">
        <v>24</v>
      </c>
      <c r="C288">
        <v>95.15</v>
      </c>
      <c r="D288">
        <v>628</v>
      </c>
      <c r="E288" t="b">
        <v>0</v>
      </c>
      <c r="F288" t="b">
        <v>1</v>
      </c>
      <c r="G288" t="b">
        <v>1</v>
      </c>
      <c r="H288" t="s">
        <v>43</v>
      </c>
      <c r="I288" t="s">
        <v>63</v>
      </c>
      <c r="J288" t="s">
        <v>45</v>
      </c>
      <c r="K288" t="s">
        <v>28</v>
      </c>
      <c r="L288" t="s">
        <v>29</v>
      </c>
      <c r="M288" t="s">
        <v>47</v>
      </c>
      <c r="N288" t="s">
        <v>39</v>
      </c>
      <c r="O288" t="b">
        <v>1</v>
      </c>
      <c r="P288" t="b">
        <v>0</v>
      </c>
      <c r="Q288">
        <v>9.6</v>
      </c>
      <c r="R288" t="b">
        <v>0</v>
      </c>
      <c r="T288">
        <v>0</v>
      </c>
      <c r="U288">
        <v>95.32</v>
      </c>
      <c r="V288" t="b">
        <v>1</v>
      </c>
      <c r="W288" t="s">
        <v>58</v>
      </c>
      <c r="AE288" t="str">
        <f t="shared" si="28"/>
        <v>Yes</v>
      </c>
      <c r="AF288" t="str">
        <f t="shared" si="29"/>
        <v>High</v>
      </c>
      <c r="AG288" t="str">
        <f t="shared" si="30"/>
        <v>Yes</v>
      </c>
      <c r="AH288" t="str">
        <f t="shared" si="31"/>
        <v>Unknown</v>
      </c>
      <c r="AJ288" t="str">
        <f t="shared" si="32"/>
        <v>High Trust</v>
      </c>
      <c r="AL288">
        <f t="shared" si="33"/>
        <v>95.3</v>
      </c>
      <c r="AM288" t="str">
        <f t="shared" si="34"/>
        <v>High School</v>
      </c>
    </row>
    <row r="289" spans="1:39" x14ac:dyDescent="0.25">
      <c r="A289" t="s">
        <v>74</v>
      </c>
      <c r="B289" t="s">
        <v>62</v>
      </c>
      <c r="C289">
        <v>70.069999999999993</v>
      </c>
      <c r="D289">
        <v>796</v>
      </c>
      <c r="E289" t="b">
        <v>1</v>
      </c>
      <c r="F289" t="b">
        <v>1</v>
      </c>
      <c r="G289" t="b">
        <v>0</v>
      </c>
      <c r="H289" t="s">
        <v>53</v>
      </c>
      <c r="I289" t="s">
        <v>63</v>
      </c>
      <c r="J289" t="s">
        <v>50</v>
      </c>
      <c r="K289" t="s">
        <v>28</v>
      </c>
      <c r="L289" t="s">
        <v>38</v>
      </c>
      <c r="M289" t="s">
        <v>28</v>
      </c>
      <c r="N289" t="s">
        <v>46</v>
      </c>
      <c r="O289" t="b">
        <v>1</v>
      </c>
      <c r="P289" t="b">
        <v>0</v>
      </c>
      <c r="Q289">
        <v>10</v>
      </c>
      <c r="R289" t="b">
        <v>0</v>
      </c>
      <c r="T289">
        <v>0</v>
      </c>
      <c r="U289">
        <v>64.77</v>
      </c>
      <c r="V289" t="b">
        <v>0</v>
      </c>
      <c r="W289" t="s">
        <v>58</v>
      </c>
      <c r="AE289" t="str">
        <f t="shared" si="28"/>
        <v>Yes</v>
      </c>
      <c r="AF289" t="str">
        <f t="shared" si="29"/>
        <v>Medium</v>
      </c>
      <c r="AG289" t="str">
        <f t="shared" si="30"/>
        <v>Yes</v>
      </c>
      <c r="AH289" t="str">
        <f t="shared" si="31"/>
        <v>Unknown</v>
      </c>
      <c r="AJ289" t="str">
        <f t="shared" si="32"/>
        <v>High Trust</v>
      </c>
      <c r="AL289">
        <f t="shared" si="33"/>
        <v>64.8</v>
      </c>
      <c r="AM289" t="str">
        <f t="shared" si="34"/>
        <v>Professional</v>
      </c>
    </row>
    <row r="290" spans="1:39" x14ac:dyDescent="0.25">
      <c r="A290" t="s">
        <v>68</v>
      </c>
      <c r="B290" t="s">
        <v>24</v>
      </c>
      <c r="C290">
        <v>89.45</v>
      </c>
      <c r="D290">
        <v>372</v>
      </c>
      <c r="E290" t="b">
        <v>1</v>
      </c>
      <c r="F290" t="b">
        <v>0</v>
      </c>
      <c r="G290" t="b">
        <v>1</v>
      </c>
      <c r="H290" t="s">
        <v>34</v>
      </c>
      <c r="I290" t="s">
        <v>35</v>
      </c>
      <c r="J290" t="s">
        <v>54</v>
      </c>
      <c r="K290" t="s">
        <v>28</v>
      </c>
      <c r="L290" t="s">
        <v>69</v>
      </c>
      <c r="M290" t="s">
        <v>39</v>
      </c>
      <c r="N290" t="s">
        <v>46</v>
      </c>
      <c r="P290" t="b">
        <v>0</v>
      </c>
      <c r="Q290">
        <v>10</v>
      </c>
      <c r="R290" t="b">
        <v>1</v>
      </c>
      <c r="S290" t="s">
        <v>52</v>
      </c>
      <c r="T290">
        <v>18.399999999999999</v>
      </c>
      <c r="U290">
        <v>85.31</v>
      </c>
      <c r="V290" t="b">
        <v>1</v>
      </c>
      <c r="W290" t="s">
        <v>31</v>
      </c>
      <c r="AE290" t="str">
        <f t="shared" si="28"/>
        <v>No</v>
      </c>
      <c r="AF290" t="str">
        <f t="shared" si="29"/>
        <v>Medium</v>
      </c>
      <c r="AG290" t="str">
        <f t="shared" si="30"/>
        <v>No</v>
      </c>
      <c r="AH290" t="str">
        <f t="shared" si="31"/>
        <v>Checked Official Source</v>
      </c>
      <c r="AJ290" t="str">
        <f t="shared" si="32"/>
        <v>High Trust</v>
      </c>
      <c r="AL290">
        <f t="shared" si="33"/>
        <v>85.3</v>
      </c>
      <c r="AM290" t="str">
        <f t="shared" si="34"/>
        <v>Masters</v>
      </c>
    </row>
    <row r="291" spans="1:39" x14ac:dyDescent="0.25">
      <c r="A291" t="s">
        <v>68</v>
      </c>
      <c r="B291" t="s">
        <v>73</v>
      </c>
      <c r="C291">
        <v>58.67</v>
      </c>
      <c r="D291">
        <v>212</v>
      </c>
      <c r="E291" t="b">
        <v>0</v>
      </c>
      <c r="F291" t="b">
        <v>0</v>
      </c>
      <c r="G291" t="b">
        <v>0</v>
      </c>
      <c r="H291" t="s">
        <v>25</v>
      </c>
      <c r="I291" t="s">
        <v>26</v>
      </c>
      <c r="J291" t="s">
        <v>54</v>
      </c>
      <c r="K291" t="s">
        <v>39</v>
      </c>
      <c r="L291" t="s">
        <v>38</v>
      </c>
      <c r="M291" t="s">
        <v>28</v>
      </c>
      <c r="O291" t="b">
        <v>1</v>
      </c>
      <c r="P291" t="b">
        <v>0</v>
      </c>
      <c r="Q291">
        <v>8.6</v>
      </c>
      <c r="R291" t="b">
        <v>0</v>
      </c>
      <c r="T291">
        <v>0</v>
      </c>
      <c r="U291">
        <v>73.37</v>
      </c>
      <c r="V291" t="b">
        <v>1</v>
      </c>
      <c r="W291" t="s">
        <v>58</v>
      </c>
      <c r="AE291" t="str">
        <f t="shared" si="28"/>
        <v>No</v>
      </c>
      <c r="AF291" t="str">
        <f t="shared" si="29"/>
        <v>Unknown</v>
      </c>
      <c r="AG291" t="str">
        <f t="shared" si="30"/>
        <v>Yes</v>
      </c>
      <c r="AH291" t="str">
        <f t="shared" si="31"/>
        <v>Unknown</v>
      </c>
      <c r="AJ291" t="str">
        <f t="shared" si="32"/>
        <v>High Trust</v>
      </c>
      <c r="AL291">
        <f t="shared" si="33"/>
        <v>73.400000000000006</v>
      </c>
      <c r="AM291" t="str">
        <f t="shared" si="34"/>
        <v>Masters</v>
      </c>
    </row>
    <row r="292" spans="1:39" x14ac:dyDescent="0.25">
      <c r="A292" t="s">
        <v>74</v>
      </c>
      <c r="B292" t="s">
        <v>70</v>
      </c>
      <c r="C292">
        <v>72.13</v>
      </c>
      <c r="D292">
        <v>287</v>
      </c>
      <c r="E292" t="b">
        <v>1</v>
      </c>
      <c r="F292" t="b">
        <v>1</v>
      </c>
      <c r="G292" t="b">
        <v>1</v>
      </c>
      <c r="H292" t="s">
        <v>25</v>
      </c>
      <c r="I292" t="s">
        <v>44</v>
      </c>
      <c r="J292" t="s">
        <v>45</v>
      </c>
      <c r="K292" t="s">
        <v>37</v>
      </c>
      <c r="L292" t="s">
        <v>69</v>
      </c>
      <c r="M292" t="s">
        <v>28</v>
      </c>
      <c r="N292" t="s">
        <v>39</v>
      </c>
      <c r="P292" t="b">
        <v>0</v>
      </c>
      <c r="Q292">
        <v>9.6</v>
      </c>
      <c r="R292" t="b">
        <v>0</v>
      </c>
      <c r="T292">
        <v>0</v>
      </c>
      <c r="U292">
        <v>61.54</v>
      </c>
      <c r="V292" t="b">
        <v>0</v>
      </c>
      <c r="W292" t="s">
        <v>58</v>
      </c>
      <c r="AE292" t="str">
        <f t="shared" si="28"/>
        <v>Yes</v>
      </c>
      <c r="AF292" t="str">
        <f t="shared" si="29"/>
        <v>High</v>
      </c>
      <c r="AG292" t="str">
        <f t="shared" si="30"/>
        <v>No</v>
      </c>
      <c r="AH292" t="str">
        <f t="shared" si="31"/>
        <v>Unknown</v>
      </c>
      <c r="AJ292" t="str">
        <f t="shared" si="32"/>
        <v>High Trust</v>
      </c>
      <c r="AL292">
        <f t="shared" si="33"/>
        <v>61.5</v>
      </c>
      <c r="AM292" t="str">
        <f t="shared" si="34"/>
        <v>High School</v>
      </c>
    </row>
    <row r="293" spans="1:39" x14ac:dyDescent="0.25">
      <c r="A293" t="s">
        <v>61</v>
      </c>
      <c r="B293" t="s">
        <v>49</v>
      </c>
      <c r="C293">
        <v>73.069999999999993</v>
      </c>
      <c r="D293">
        <v>573</v>
      </c>
      <c r="E293" t="b">
        <v>0</v>
      </c>
      <c r="F293" t="b">
        <v>0</v>
      </c>
      <c r="G293" t="b">
        <v>1</v>
      </c>
      <c r="H293" t="s">
        <v>34</v>
      </c>
      <c r="I293" t="s">
        <v>63</v>
      </c>
      <c r="J293" t="s">
        <v>50</v>
      </c>
      <c r="K293" t="s">
        <v>46</v>
      </c>
      <c r="L293" t="s">
        <v>38</v>
      </c>
      <c r="M293" t="s">
        <v>28</v>
      </c>
      <c r="N293" t="s">
        <v>28</v>
      </c>
      <c r="P293" t="b">
        <v>0</v>
      </c>
      <c r="Q293">
        <v>9</v>
      </c>
      <c r="R293" t="b">
        <v>1</v>
      </c>
      <c r="S293" t="s">
        <v>52</v>
      </c>
      <c r="T293">
        <v>30</v>
      </c>
      <c r="U293">
        <v>79.33</v>
      </c>
      <c r="V293" t="b">
        <v>1</v>
      </c>
      <c r="W293" t="s">
        <v>31</v>
      </c>
      <c r="AE293" t="str">
        <f t="shared" si="28"/>
        <v>No</v>
      </c>
      <c r="AF293" t="str">
        <f t="shared" si="29"/>
        <v>Low</v>
      </c>
      <c r="AG293" t="str">
        <f t="shared" si="30"/>
        <v>No</v>
      </c>
      <c r="AH293" t="str">
        <f t="shared" si="31"/>
        <v>Checked Official Source</v>
      </c>
      <c r="AJ293" t="str">
        <f t="shared" si="32"/>
        <v>High Trust</v>
      </c>
      <c r="AL293">
        <f t="shared" si="33"/>
        <v>79.3</v>
      </c>
      <c r="AM293" t="str">
        <f t="shared" si="34"/>
        <v>Professional</v>
      </c>
    </row>
    <row r="294" spans="1:39" x14ac:dyDescent="0.25">
      <c r="A294" t="s">
        <v>23</v>
      </c>
      <c r="B294" t="s">
        <v>33</v>
      </c>
      <c r="C294">
        <v>77.31</v>
      </c>
      <c r="D294">
        <v>415</v>
      </c>
      <c r="E294" t="b">
        <v>1</v>
      </c>
      <c r="F294" t="b">
        <v>0</v>
      </c>
      <c r="G294" t="b">
        <v>0</v>
      </c>
      <c r="H294" t="s">
        <v>43</v>
      </c>
      <c r="I294" t="s">
        <v>26</v>
      </c>
      <c r="J294" t="s">
        <v>45</v>
      </c>
      <c r="K294" t="s">
        <v>46</v>
      </c>
      <c r="L294" t="s">
        <v>38</v>
      </c>
      <c r="M294" t="s">
        <v>39</v>
      </c>
      <c r="N294" t="s">
        <v>28</v>
      </c>
      <c r="P294" t="b">
        <v>0</v>
      </c>
      <c r="Q294">
        <v>9.8000000000000007</v>
      </c>
      <c r="R294" t="b">
        <v>1</v>
      </c>
      <c r="S294" t="s">
        <v>48</v>
      </c>
      <c r="T294">
        <v>35.5</v>
      </c>
      <c r="U294">
        <v>87.74</v>
      </c>
      <c r="V294" t="b">
        <v>1</v>
      </c>
      <c r="W294" t="s">
        <v>31</v>
      </c>
      <c r="AE294" t="str">
        <f t="shared" si="28"/>
        <v>No</v>
      </c>
      <c r="AF294" t="str">
        <f t="shared" si="29"/>
        <v>Low</v>
      </c>
      <c r="AG294" t="str">
        <f t="shared" si="30"/>
        <v>No</v>
      </c>
      <c r="AH294" t="str">
        <f t="shared" si="31"/>
        <v>Consulted Documentation</v>
      </c>
      <c r="AJ294" t="str">
        <f t="shared" si="32"/>
        <v>High Trust</v>
      </c>
      <c r="AL294">
        <f t="shared" si="33"/>
        <v>87.7</v>
      </c>
      <c r="AM294" t="str">
        <f t="shared" si="34"/>
        <v>High School</v>
      </c>
    </row>
    <row r="295" spans="1:39" x14ac:dyDescent="0.25">
      <c r="A295" t="s">
        <v>32</v>
      </c>
      <c r="B295" t="s">
        <v>49</v>
      </c>
      <c r="C295">
        <v>65.88</v>
      </c>
      <c r="D295">
        <v>91</v>
      </c>
      <c r="E295" t="b">
        <v>0</v>
      </c>
      <c r="F295" t="b">
        <v>1</v>
      </c>
      <c r="G295" t="b">
        <v>1</v>
      </c>
      <c r="H295" t="s">
        <v>43</v>
      </c>
      <c r="I295" t="s">
        <v>67</v>
      </c>
      <c r="J295" t="s">
        <v>36</v>
      </c>
      <c r="K295" t="s">
        <v>46</v>
      </c>
      <c r="L295" t="s">
        <v>51</v>
      </c>
      <c r="M295" t="s">
        <v>39</v>
      </c>
      <c r="N295" t="s">
        <v>46</v>
      </c>
      <c r="O295" t="b">
        <v>1</v>
      </c>
      <c r="P295" t="b">
        <v>1</v>
      </c>
      <c r="Q295">
        <v>7.9</v>
      </c>
      <c r="R295" t="b">
        <v>1</v>
      </c>
      <c r="S295" t="s">
        <v>64</v>
      </c>
      <c r="T295">
        <v>18.8</v>
      </c>
      <c r="U295">
        <v>68.209999999999994</v>
      </c>
      <c r="V295" t="b">
        <v>1</v>
      </c>
      <c r="W295" t="s">
        <v>41</v>
      </c>
      <c r="AE295" t="str">
        <f t="shared" si="28"/>
        <v>Yes</v>
      </c>
      <c r="AF295" t="str">
        <f t="shared" si="29"/>
        <v>Medium</v>
      </c>
      <c r="AG295" t="str">
        <f t="shared" si="30"/>
        <v>Yes</v>
      </c>
      <c r="AH295" t="str">
        <f t="shared" si="31"/>
        <v>Personal Testing</v>
      </c>
      <c r="AJ295" t="str">
        <f t="shared" si="32"/>
        <v>Moderate Trust</v>
      </c>
      <c r="AL295">
        <f t="shared" si="33"/>
        <v>68.2</v>
      </c>
      <c r="AM295" t="str">
        <f t="shared" si="34"/>
        <v>PhD</v>
      </c>
    </row>
    <row r="296" spans="1:39" x14ac:dyDescent="0.25">
      <c r="A296" t="s">
        <v>32</v>
      </c>
      <c r="B296" t="s">
        <v>73</v>
      </c>
      <c r="C296">
        <v>53.13</v>
      </c>
      <c r="D296">
        <v>275</v>
      </c>
      <c r="E296" t="b">
        <v>0</v>
      </c>
      <c r="F296" t="b">
        <v>0</v>
      </c>
      <c r="G296" t="b">
        <v>1</v>
      </c>
      <c r="H296" t="s">
        <v>25</v>
      </c>
      <c r="I296" t="s">
        <v>57</v>
      </c>
      <c r="J296" t="s">
        <v>54</v>
      </c>
      <c r="K296" t="s">
        <v>28</v>
      </c>
      <c r="L296" t="s">
        <v>29</v>
      </c>
      <c r="M296" t="s">
        <v>28</v>
      </c>
      <c r="N296" t="s">
        <v>46</v>
      </c>
      <c r="O296" t="b">
        <v>1</v>
      </c>
      <c r="P296" t="b">
        <v>0</v>
      </c>
      <c r="Q296">
        <v>7.9</v>
      </c>
      <c r="R296" t="b">
        <v>1</v>
      </c>
      <c r="S296" t="s">
        <v>75</v>
      </c>
      <c r="T296">
        <v>14.8</v>
      </c>
      <c r="U296">
        <v>66.22</v>
      </c>
      <c r="V296" t="b">
        <v>1</v>
      </c>
      <c r="W296" t="s">
        <v>41</v>
      </c>
      <c r="AE296" t="str">
        <f t="shared" si="28"/>
        <v>No</v>
      </c>
      <c r="AF296" t="str">
        <f t="shared" si="29"/>
        <v>Medium</v>
      </c>
      <c r="AG296" t="str">
        <f t="shared" si="30"/>
        <v>Yes</v>
      </c>
      <c r="AH296" t="str">
        <f t="shared" si="31"/>
        <v>Asked Colleague</v>
      </c>
      <c r="AJ296" t="str">
        <f t="shared" si="32"/>
        <v>Moderate Trust</v>
      </c>
      <c r="AL296">
        <f t="shared" si="33"/>
        <v>66.2</v>
      </c>
      <c r="AM296" t="str">
        <f t="shared" si="34"/>
        <v>Masters</v>
      </c>
    </row>
    <row r="297" spans="1:39" x14ac:dyDescent="0.25">
      <c r="A297" t="s">
        <v>74</v>
      </c>
      <c r="B297" t="s">
        <v>62</v>
      </c>
      <c r="C297">
        <v>71.23</v>
      </c>
      <c r="D297">
        <v>197</v>
      </c>
      <c r="E297" t="b">
        <v>1</v>
      </c>
      <c r="F297" t="b">
        <v>1</v>
      </c>
      <c r="G297" t="b">
        <v>0</v>
      </c>
      <c r="H297" t="s">
        <v>53</v>
      </c>
      <c r="I297" t="s">
        <v>26</v>
      </c>
      <c r="J297" t="s">
        <v>45</v>
      </c>
      <c r="K297" t="s">
        <v>28</v>
      </c>
      <c r="L297" t="s">
        <v>69</v>
      </c>
      <c r="M297" t="s">
        <v>39</v>
      </c>
      <c r="O297" t="b">
        <v>1</v>
      </c>
      <c r="P297" t="b">
        <v>1</v>
      </c>
      <c r="Q297">
        <v>10</v>
      </c>
      <c r="R297" t="b">
        <v>1</v>
      </c>
      <c r="S297" t="s">
        <v>30</v>
      </c>
      <c r="T297">
        <v>44.4</v>
      </c>
      <c r="U297">
        <v>70.760000000000005</v>
      </c>
      <c r="V297" t="b">
        <v>0</v>
      </c>
      <c r="W297" t="s">
        <v>31</v>
      </c>
      <c r="AE297" t="str">
        <f t="shared" si="28"/>
        <v>Yes</v>
      </c>
      <c r="AF297" t="str">
        <f t="shared" si="29"/>
        <v>Unknown</v>
      </c>
      <c r="AG297" t="str">
        <f t="shared" si="30"/>
        <v>Yes</v>
      </c>
      <c r="AH297" t="str">
        <f t="shared" si="31"/>
        <v>Google Search</v>
      </c>
      <c r="AJ297" t="str">
        <f t="shared" si="32"/>
        <v>High Trust</v>
      </c>
      <c r="AL297">
        <f t="shared" si="33"/>
        <v>70.8</v>
      </c>
      <c r="AM297" t="str">
        <f t="shared" si="34"/>
        <v>High School</v>
      </c>
    </row>
    <row r="298" spans="1:39" x14ac:dyDescent="0.25">
      <c r="A298" t="s">
        <v>32</v>
      </c>
      <c r="B298" t="s">
        <v>73</v>
      </c>
      <c r="C298">
        <v>69.92</v>
      </c>
      <c r="D298">
        <v>246</v>
      </c>
      <c r="E298" t="b">
        <v>1</v>
      </c>
      <c r="F298" t="b">
        <v>0</v>
      </c>
      <c r="G298" t="b">
        <v>0</v>
      </c>
      <c r="H298" t="s">
        <v>43</v>
      </c>
      <c r="I298" t="s">
        <v>67</v>
      </c>
      <c r="J298" t="s">
        <v>27</v>
      </c>
      <c r="K298" t="s">
        <v>39</v>
      </c>
      <c r="L298" t="s">
        <v>69</v>
      </c>
      <c r="M298" t="s">
        <v>28</v>
      </c>
      <c r="O298" t="b">
        <v>1</v>
      </c>
      <c r="P298" t="b">
        <v>0</v>
      </c>
      <c r="Q298">
        <v>10</v>
      </c>
      <c r="R298" t="b">
        <v>0</v>
      </c>
      <c r="T298">
        <v>0</v>
      </c>
      <c r="U298">
        <v>58.55</v>
      </c>
      <c r="V298" t="b">
        <v>0</v>
      </c>
      <c r="W298" t="s">
        <v>58</v>
      </c>
      <c r="AE298" t="str">
        <f t="shared" si="28"/>
        <v>No</v>
      </c>
      <c r="AF298" t="str">
        <f t="shared" si="29"/>
        <v>Unknown</v>
      </c>
      <c r="AG298" t="str">
        <f t="shared" si="30"/>
        <v>Yes</v>
      </c>
      <c r="AH298" t="str">
        <f t="shared" si="31"/>
        <v>Unknown</v>
      </c>
      <c r="AJ298" t="str">
        <f t="shared" si="32"/>
        <v>High Trust</v>
      </c>
      <c r="AL298">
        <f t="shared" si="33"/>
        <v>58.6</v>
      </c>
      <c r="AM298" t="str">
        <f t="shared" si="34"/>
        <v>Bachelors</v>
      </c>
    </row>
    <row r="299" spans="1:39" x14ac:dyDescent="0.25">
      <c r="A299" t="s">
        <v>23</v>
      </c>
      <c r="B299" t="s">
        <v>24</v>
      </c>
      <c r="C299">
        <v>96.82</v>
      </c>
      <c r="D299">
        <v>539</v>
      </c>
      <c r="E299" t="b">
        <v>0</v>
      </c>
      <c r="F299" t="b">
        <v>1</v>
      </c>
      <c r="G299" t="b">
        <v>1</v>
      </c>
      <c r="H299" t="s">
        <v>25</v>
      </c>
      <c r="I299" t="s">
        <v>44</v>
      </c>
      <c r="J299" t="s">
        <v>27</v>
      </c>
      <c r="K299" t="s">
        <v>46</v>
      </c>
      <c r="L299" t="s">
        <v>51</v>
      </c>
      <c r="M299" t="s">
        <v>28</v>
      </c>
      <c r="N299" t="s">
        <v>46</v>
      </c>
      <c r="P299" t="b">
        <v>1</v>
      </c>
      <c r="Q299">
        <v>10</v>
      </c>
      <c r="R299" t="b">
        <v>0</v>
      </c>
      <c r="T299">
        <v>0</v>
      </c>
      <c r="U299">
        <v>89.24</v>
      </c>
      <c r="V299" t="b">
        <v>1</v>
      </c>
      <c r="W299" t="s">
        <v>58</v>
      </c>
      <c r="AE299" t="str">
        <f t="shared" si="28"/>
        <v>Yes</v>
      </c>
      <c r="AF299" t="str">
        <f t="shared" si="29"/>
        <v>Medium</v>
      </c>
      <c r="AG299" t="str">
        <f t="shared" si="30"/>
        <v>No</v>
      </c>
      <c r="AH299" t="str">
        <f t="shared" si="31"/>
        <v>Unknown</v>
      </c>
      <c r="AJ299" t="str">
        <f t="shared" si="32"/>
        <v>High Trust</v>
      </c>
      <c r="AL299">
        <f t="shared" si="33"/>
        <v>89.2</v>
      </c>
      <c r="AM299" t="str">
        <f t="shared" si="34"/>
        <v>Bachelors</v>
      </c>
    </row>
    <row r="300" spans="1:39" x14ac:dyDescent="0.25">
      <c r="A300" t="s">
        <v>32</v>
      </c>
      <c r="B300" t="s">
        <v>62</v>
      </c>
      <c r="C300">
        <v>58.9</v>
      </c>
      <c r="D300">
        <v>125</v>
      </c>
      <c r="E300" t="b">
        <v>0</v>
      </c>
      <c r="F300" t="b">
        <v>0</v>
      </c>
      <c r="G300" t="b">
        <v>1</v>
      </c>
      <c r="H300" t="s">
        <v>25</v>
      </c>
      <c r="I300" t="s">
        <v>63</v>
      </c>
      <c r="J300" t="s">
        <v>45</v>
      </c>
      <c r="K300" t="s">
        <v>37</v>
      </c>
      <c r="L300" t="s">
        <v>37</v>
      </c>
      <c r="M300" t="s">
        <v>46</v>
      </c>
      <c r="N300" t="s">
        <v>46</v>
      </c>
      <c r="O300" t="b">
        <v>0</v>
      </c>
      <c r="P300" t="b">
        <v>1</v>
      </c>
      <c r="Q300">
        <v>5</v>
      </c>
      <c r="R300" t="b">
        <v>1</v>
      </c>
      <c r="S300" t="s">
        <v>40</v>
      </c>
      <c r="T300">
        <v>24.1</v>
      </c>
      <c r="U300">
        <v>68.05</v>
      </c>
      <c r="V300" t="b">
        <v>1</v>
      </c>
      <c r="W300" t="s">
        <v>41</v>
      </c>
      <c r="AE300" t="str">
        <f t="shared" si="28"/>
        <v>No</v>
      </c>
      <c r="AF300" t="str">
        <f t="shared" si="29"/>
        <v>Medium</v>
      </c>
      <c r="AG300" t="str">
        <f t="shared" si="30"/>
        <v>No</v>
      </c>
      <c r="AH300" t="str">
        <f t="shared" si="31"/>
        <v>Asked Expert</v>
      </c>
      <c r="AJ300" t="str">
        <f t="shared" si="32"/>
        <v>Low Trust</v>
      </c>
      <c r="AL300">
        <f t="shared" si="33"/>
        <v>68.099999999999994</v>
      </c>
      <c r="AM300" t="str">
        <f t="shared" si="34"/>
        <v>High School</v>
      </c>
    </row>
    <row r="301" spans="1:39" x14ac:dyDescent="0.25">
      <c r="A301" t="s">
        <v>68</v>
      </c>
      <c r="B301" t="s">
        <v>60</v>
      </c>
      <c r="C301">
        <v>44.99</v>
      </c>
      <c r="D301">
        <v>405</v>
      </c>
      <c r="E301" t="b">
        <v>0</v>
      </c>
      <c r="F301" t="b">
        <v>1</v>
      </c>
      <c r="G301" t="b">
        <v>1</v>
      </c>
      <c r="H301" t="s">
        <v>53</v>
      </c>
      <c r="I301" t="s">
        <v>63</v>
      </c>
      <c r="J301" t="s">
        <v>45</v>
      </c>
      <c r="K301" t="s">
        <v>37</v>
      </c>
      <c r="L301" t="s">
        <v>37</v>
      </c>
      <c r="M301" t="s">
        <v>47</v>
      </c>
      <c r="N301" t="s">
        <v>28</v>
      </c>
      <c r="O301" t="b">
        <v>0</v>
      </c>
      <c r="P301" t="b">
        <v>1</v>
      </c>
      <c r="Q301">
        <v>1.8</v>
      </c>
      <c r="R301" t="b">
        <v>1</v>
      </c>
      <c r="S301" t="s">
        <v>30</v>
      </c>
      <c r="T301">
        <v>32.700000000000003</v>
      </c>
      <c r="U301">
        <v>42.14</v>
      </c>
      <c r="V301" t="b">
        <v>0</v>
      </c>
      <c r="W301" t="s">
        <v>72</v>
      </c>
      <c r="AE301" t="str">
        <f t="shared" si="28"/>
        <v>Yes</v>
      </c>
      <c r="AF301" t="str">
        <f t="shared" si="29"/>
        <v>Low</v>
      </c>
      <c r="AG301" t="str">
        <f t="shared" si="30"/>
        <v>No</v>
      </c>
      <c r="AH301" t="str">
        <f t="shared" si="31"/>
        <v>Google Search</v>
      </c>
      <c r="AJ301" t="str">
        <f t="shared" si="32"/>
        <v>Moderate Trust</v>
      </c>
      <c r="AL301">
        <f t="shared" si="33"/>
        <v>42.1</v>
      </c>
      <c r="AM301" t="str">
        <f t="shared" si="34"/>
        <v>High School</v>
      </c>
    </row>
    <row r="302" spans="1:39" x14ac:dyDescent="0.25">
      <c r="A302" t="s">
        <v>74</v>
      </c>
      <c r="B302" t="s">
        <v>70</v>
      </c>
      <c r="C302">
        <v>81.25</v>
      </c>
      <c r="D302">
        <v>446</v>
      </c>
      <c r="E302" t="b">
        <v>1</v>
      </c>
      <c r="F302" t="b">
        <v>1</v>
      </c>
      <c r="G302" t="b">
        <v>1</v>
      </c>
      <c r="H302" t="s">
        <v>43</v>
      </c>
      <c r="I302" t="s">
        <v>26</v>
      </c>
      <c r="J302" t="s">
        <v>50</v>
      </c>
      <c r="K302" t="s">
        <v>39</v>
      </c>
      <c r="L302" t="s">
        <v>38</v>
      </c>
      <c r="M302" t="s">
        <v>39</v>
      </c>
      <c r="N302" t="s">
        <v>28</v>
      </c>
      <c r="O302" t="b">
        <v>1</v>
      </c>
      <c r="P302" t="b">
        <v>1</v>
      </c>
      <c r="Q302">
        <v>10</v>
      </c>
      <c r="R302" t="b">
        <v>1</v>
      </c>
      <c r="S302" t="s">
        <v>30</v>
      </c>
      <c r="T302">
        <v>28.5</v>
      </c>
      <c r="U302">
        <v>76.94</v>
      </c>
      <c r="V302" t="b">
        <v>0</v>
      </c>
      <c r="W302" t="s">
        <v>31</v>
      </c>
      <c r="AE302" t="str">
        <f t="shared" si="28"/>
        <v>Yes</v>
      </c>
      <c r="AF302" t="str">
        <f t="shared" si="29"/>
        <v>Low</v>
      </c>
      <c r="AG302" t="str">
        <f t="shared" si="30"/>
        <v>Yes</v>
      </c>
      <c r="AH302" t="str">
        <f t="shared" si="31"/>
        <v>Google Search</v>
      </c>
      <c r="AJ302" t="str">
        <f t="shared" si="32"/>
        <v>High Trust</v>
      </c>
      <c r="AL302">
        <f t="shared" si="33"/>
        <v>76.900000000000006</v>
      </c>
      <c r="AM302" t="str">
        <f t="shared" si="34"/>
        <v>Professional</v>
      </c>
    </row>
    <row r="303" spans="1:39" x14ac:dyDescent="0.25">
      <c r="A303" t="s">
        <v>61</v>
      </c>
      <c r="B303" t="s">
        <v>62</v>
      </c>
      <c r="C303">
        <v>62.98</v>
      </c>
      <c r="D303">
        <v>268</v>
      </c>
      <c r="E303" t="b">
        <v>1</v>
      </c>
      <c r="F303" t="b">
        <v>0</v>
      </c>
      <c r="G303" t="b">
        <v>0</v>
      </c>
      <c r="H303" t="s">
        <v>25</v>
      </c>
      <c r="I303" t="s">
        <v>67</v>
      </c>
      <c r="J303" t="s">
        <v>50</v>
      </c>
      <c r="K303" t="s">
        <v>37</v>
      </c>
      <c r="L303" t="s">
        <v>38</v>
      </c>
      <c r="M303" t="s">
        <v>39</v>
      </c>
      <c r="N303" t="s">
        <v>28</v>
      </c>
      <c r="P303" t="b">
        <v>0</v>
      </c>
      <c r="Q303">
        <v>8.1999999999999993</v>
      </c>
      <c r="R303" t="b">
        <v>1</v>
      </c>
      <c r="S303" t="s">
        <v>48</v>
      </c>
      <c r="T303">
        <v>36.1</v>
      </c>
      <c r="U303">
        <v>61.84</v>
      </c>
      <c r="V303" t="b">
        <v>0</v>
      </c>
      <c r="W303" t="s">
        <v>31</v>
      </c>
      <c r="AE303" t="str">
        <f t="shared" si="28"/>
        <v>No</v>
      </c>
      <c r="AF303" t="str">
        <f t="shared" si="29"/>
        <v>Low</v>
      </c>
      <c r="AG303" t="str">
        <f t="shared" si="30"/>
        <v>No</v>
      </c>
      <c r="AH303" t="str">
        <f t="shared" si="31"/>
        <v>Consulted Documentation</v>
      </c>
      <c r="AJ303" t="str">
        <f t="shared" si="32"/>
        <v>High Trust</v>
      </c>
      <c r="AL303">
        <f t="shared" si="33"/>
        <v>61.8</v>
      </c>
      <c r="AM303" t="str">
        <f t="shared" si="34"/>
        <v>Professional</v>
      </c>
    </row>
    <row r="304" spans="1:39" x14ac:dyDescent="0.25">
      <c r="A304" t="s">
        <v>74</v>
      </c>
      <c r="B304" t="s">
        <v>76</v>
      </c>
      <c r="C304">
        <v>88.12</v>
      </c>
      <c r="D304">
        <v>514</v>
      </c>
      <c r="E304" t="b">
        <v>0</v>
      </c>
      <c r="F304" t="b">
        <v>0</v>
      </c>
      <c r="G304" t="b">
        <v>1</v>
      </c>
      <c r="H304" t="s">
        <v>25</v>
      </c>
      <c r="I304" t="s">
        <v>57</v>
      </c>
      <c r="J304" t="s">
        <v>45</v>
      </c>
      <c r="K304" t="s">
        <v>39</v>
      </c>
      <c r="L304" t="s">
        <v>29</v>
      </c>
      <c r="M304" t="s">
        <v>47</v>
      </c>
      <c r="N304" t="s">
        <v>46</v>
      </c>
      <c r="O304" t="b">
        <v>1</v>
      </c>
      <c r="P304" t="b">
        <v>0</v>
      </c>
      <c r="Q304">
        <v>8.8000000000000007</v>
      </c>
      <c r="R304" t="b">
        <v>1</v>
      </c>
      <c r="S304" t="s">
        <v>65</v>
      </c>
      <c r="T304">
        <v>40.799999999999997</v>
      </c>
      <c r="U304">
        <v>100</v>
      </c>
      <c r="V304" t="b">
        <v>1</v>
      </c>
      <c r="W304" t="s">
        <v>31</v>
      </c>
      <c r="AE304" t="str">
        <f t="shared" si="28"/>
        <v>No</v>
      </c>
      <c r="AF304" t="str">
        <f t="shared" si="29"/>
        <v>Medium</v>
      </c>
      <c r="AG304" t="str">
        <f t="shared" si="30"/>
        <v>Yes</v>
      </c>
      <c r="AH304" t="str">
        <f t="shared" si="31"/>
        <v>Cross-referenced Multiple AIs</v>
      </c>
      <c r="AJ304" t="str">
        <f t="shared" si="32"/>
        <v>High Trust</v>
      </c>
      <c r="AL304">
        <f t="shared" si="33"/>
        <v>100</v>
      </c>
      <c r="AM304" t="str">
        <f t="shared" si="34"/>
        <v>High School</v>
      </c>
    </row>
    <row r="305" spans="1:39" x14ac:dyDescent="0.25">
      <c r="A305" t="s">
        <v>32</v>
      </c>
      <c r="B305" t="s">
        <v>24</v>
      </c>
      <c r="C305">
        <v>85.08</v>
      </c>
      <c r="D305">
        <v>661</v>
      </c>
      <c r="E305" t="b">
        <v>0</v>
      </c>
      <c r="F305" t="b">
        <v>0</v>
      </c>
      <c r="G305" t="b">
        <v>1</v>
      </c>
      <c r="H305" t="s">
        <v>34</v>
      </c>
      <c r="I305" t="s">
        <v>44</v>
      </c>
      <c r="J305" t="s">
        <v>45</v>
      </c>
      <c r="K305" t="s">
        <v>46</v>
      </c>
      <c r="L305" t="s">
        <v>29</v>
      </c>
      <c r="M305" t="s">
        <v>47</v>
      </c>
      <c r="N305" t="s">
        <v>28</v>
      </c>
      <c r="P305" t="b">
        <v>1</v>
      </c>
      <c r="Q305">
        <v>7.9</v>
      </c>
      <c r="R305" t="b">
        <v>1</v>
      </c>
      <c r="S305" t="s">
        <v>30</v>
      </c>
      <c r="T305">
        <v>33.700000000000003</v>
      </c>
      <c r="U305">
        <v>74.87</v>
      </c>
      <c r="V305" t="b">
        <v>1</v>
      </c>
      <c r="W305" t="s">
        <v>41</v>
      </c>
      <c r="AE305" t="str">
        <f t="shared" si="28"/>
        <v>No</v>
      </c>
      <c r="AF305" t="str">
        <f t="shared" si="29"/>
        <v>Low</v>
      </c>
      <c r="AG305" t="str">
        <f t="shared" si="30"/>
        <v>No</v>
      </c>
      <c r="AH305" t="str">
        <f t="shared" si="31"/>
        <v>Google Search</v>
      </c>
      <c r="AJ305" t="str">
        <f t="shared" si="32"/>
        <v>Moderate Trust</v>
      </c>
      <c r="AL305">
        <f t="shared" si="33"/>
        <v>74.900000000000006</v>
      </c>
      <c r="AM305" t="str">
        <f t="shared" si="34"/>
        <v>High School</v>
      </c>
    </row>
    <row r="306" spans="1:39" x14ac:dyDescent="0.25">
      <c r="A306" t="s">
        <v>61</v>
      </c>
      <c r="B306" t="s">
        <v>66</v>
      </c>
      <c r="C306">
        <v>65.52</v>
      </c>
      <c r="D306">
        <v>459</v>
      </c>
      <c r="E306" t="b">
        <v>0</v>
      </c>
      <c r="F306" t="b">
        <v>1</v>
      </c>
      <c r="G306" t="b">
        <v>0</v>
      </c>
      <c r="H306" t="s">
        <v>25</v>
      </c>
      <c r="I306" t="s">
        <v>44</v>
      </c>
      <c r="J306" t="s">
        <v>50</v>
      </c>
      <c r="K306" t="s">
        <v>28</v>
      </c>
      <c r="L306" t="s">
        <v>38</v>
      </c>
      <c r="M306" t="s">
        <v>46</v>
      </c>
      <c r="N306" t="s">
        <v>46</v>
      </c>
      <c r="O306" t="b">
        <v>0</v>
      </c>
      <c r="P306" t="b">
        <v>1</v>
      </c>
      <c r="Q306">
        <v>6.5</v>
      </c>
      <c r="R306" t="b">
        <v>1</v>
      </c>
      <c r="S306" t="s">
        <v>48</v>
      </c>
      <c r="T306">
        <v>15.5</v>
      </c>
      <c r="U306">
        <v>66.39</v>
      </c>
      <c r="V306" t="b">
        <v>1</v>
      </c>
      <c r="W306" t="s">
        <v>41</v>
      </c>
      <c r="AE306" t="str">
        <f t="shared" si="28"/>
        <v>Yes</v>
      </c>
      <c r="AF306" t="str">
        <f t="shared" si="29"/>
        <v>Medium</v>
      </c>
      <c r="AG306" t="str">
        <f t="shared" si="30"/>
        <v>No</v>
      </c>
      <c r="AH306" t="str">
        <f t="shared" si="31"/>
        <v>Consulted Documentation</v>
      </c>
      <c r="AJ306" t="str">
        <f t="shared" si="32"/>
        <v>Moderate Trust</v>
      </c>
      <c r="AL306">
        <f t="shared" si="33"/>
        <v>66.400000000000006</v>
      </c>
      <c r="AM306" t="str">
        <f t="shared" si="34"/>
        <v>Professional</v>
      </c>
    </row>
    <row r="307" spans="1:39" x14ac:dyDescent="0.25">
      <c r="A307" t="s">
        <v>32</v>
      </c>
      <c r="B307" t="s">
        <v>59</v>
      </c>
      <c r="C307">
        <v>75.239999999999995</v>
      </c>
      <c r="D307">
        <v>234</v>
      </c>
      <c r="E307" t="b">
        <v>1</v>
      </c>
      <c r="F307" t="b">
        <v>1</v>
      </c>
      <c r="G307" t="b">
        <v>1</v>
      </c>
      <c r="H307" t="s">
        <v>25</v>
      </c>
      <c r="I307" t="s">
        <v>57</v>
      </c>
      <c r="J307" t="s">
        <v>50</v>
      </c>
      <c r="K307" t="s">
        <v>39</v>
      </c>
      <c r="L307" t="s">
        <v>29</v>
      </c>
      <c r="M307" t="s">
        <v>28</v>
      </c>
      <c r="N307" t="s">
        <v>39</v>
      </c>
      <c r="P307" t="b">
        <v>0</v>
      </c>
      <c r="Q307">
        <v>8.6</v>
      </c>
      <c r="R307" t="b">
        <v>0</v>
      </c>
      <c r="T307">
        <v>0</v>
      </c>
      <c r="U307">
        <v>88.62</v>
      </c>
      <c r="V307" t="b">
        <v>1</v>
      </c>
      <c r="W307" t="s">
        <v>58</v>
      </c>
      <c r="AE307" t="str">
        <f t="shared" si="28"/>
        <v>Yes</v>
      </c>
      <c r="AF307" t="str">
        <f t="shared" si="29"/>
        <v>High</v>
      </c>
      <c r="AG307" t="str">
        <f t="shared" si="30"/>
        <v>No</v>
      </c>
      <c r="AH307" t="str">
        <f t="shared" si="31"/>
        <v>Unknown</v>
      </c>
      <c r="AJ307" t="str">
        <f t="shared" si="32"/>
        <v>High Trust</v>
      </c>
      <c r="AL307">
        <f t="shared" si="33"/>
        <v>88.6</v>
      </c>
      <c r="AM307" t="str">
        <f t="shared" si="34"/>
        <v>Professional</v>
      </c>
    </row>
    <row r="308" spans="1:39" x14ac:dyDescent="0.25">
      <c r="A308" t="s">
        <v>68</v>
      </c>
      <c r="B308" t="s">
        <v>59</v>
      </c>
      <c r="C308">
        <v>91.12</v>
      </c>
      <c r="D308">
        <v>389</v>
      </c>
      <c r="E308" t="b">
        <v>0</v>
      </c>
      <c r="F308" t="b">
        <v>1</v>
      </c>
      <c r="G308" t="b">
        <v>0</v>
      </c>
      <c r="H308" t="s">
        <v>34</v>
      </c>
      <c r="I308" t="s">
        <v>35</v>
      </c>
      <c r="J308" t="s">
        <v>36</v>
      </c>
      <c r="K308" t="s">
        <v>46</v>
      </c>
      <c r="L308" t="s">
        <v>37</v>
      </c>
      <c r="M308" t="s">
        <v>39</v>
      </c>
      <c r="O308" t="b">
        <v>0</v>
      </c>
      <c r="P308" t="b">
        <v>0</v>
      </c>
      <c r="Q308">
        <v>7.5</v>
      </c>
      <c r="R308" t="b">
        <v>1</v>
      </c>
      <c r="S308" t="s">
        <v>48</v>
      </c>
      <c r="T308">
        <v>15.3</v>
      </c>
      <c r="U308">
        <v>99.49</v>
      </c>
      <c r="V308" t="b">
        <v>0</v>
      </c>
      <c r="W308" t="s">
        <v>41</v>
      </c>
      <c r="AE308" t="str">
        <f t="shared" si="28"/>
        <v>Yes</v>
      </c>
      <c r="AF308" t="str">
        <f t="shared" si="29"/>
        <v>Unknown</v>
      </c>
      <c r="AG308" t="str">
        <f t="shared" si="30"/>
        <v>No</v>
      </c>
      <c r="AH308" t="str">
        <f t="shared" si="31"/>
        <v>Consulted Documentation</v>
      </c>
      <c r="AJ308" t="str">
        <f t="shared" si="32"/>
        <v>Moderate Trust</v>
      </c>
      <c r="AL308">
        <f t="shared" si="33"/>
        <v>99.5</v>
      </c>
      <c r="AM308" t="str">
        <f t="shared" si="34"/>
        <v>PhD</v>
      </c>
    </row>
    <row r="309" spans="1:39" x14ac:dyDescent="0.25">
      <c r="A309" t="s">
        <v>23</v>
      </c>
      <c r="B309" t="s">
        <v>71</v>
      </c>
      <c r="C309">
        <v>46.85</v>
      </c>
      <c r="D309">
        <v>568</v>
      </c>
      <c r="E309" t="b">
        <v>1</v>
      </c>
      <c r="F309" t="b">
        <v>1</v>
      </c>
      <c r="G309" t="b">
        <v>0</v>
      </c>
      <c r="H309" t="s">
        <v>34</v>
      </c>
      <c r="I309" t="s">
        <v>35</v>
      </c>
      <c r="J309" t="s">
        <v>45</v>
      </c>
      <c r="K309" t="s">
        <v>28</v>
      </c>
      <c r="L309" t="s">
        <v>38</v>
      </c>
      <c r="M309" t="s">
        <v>46</v>
      </c>
      <c r="N309" t="s">
        <v>28</v>
      </c>
      <c r="O309" t="b">
        <v>1</v>
      </c>
      <c r="P309" t="b">
        <v>0</v>
      </c>
      <c r="Q309">
        <v>7.3</v>
      </c>
      <c r="R309" t="b">
        <v>1</v>
      </c>
      <c r="S309" t="s">
        <v>30</v>
      </c>
      <c r="T309">
        <v>17.3</v>
      </c>
      <c r="U309">
        <v>36.869999999999997</v>
      </c>
      <c r="V309" t="b">
        <v>0</v>
      </c>
      <c r="W309" t="s">
        <v>41</v>
      </c>
      <c r="AE309" t="str">
        <f t="shared" si="28"/>
        <v>Yes</v>
      </c>
      <c r="AF309" t="str">
        <f t="shared" si="29"/>
        <v>Low</v>
      </c>
      <c r="AG309" t="str">
        <f t="shared" si="30"/>
        <v>Yes</v>
      </c>
      <c r="AH309" t="str">
        <f t="shared" si="31"/>
        <v>Google Search</v>
      </c>
      <c r="AJ309" t="str">
        <f t="shared" si="32"/>
        <v>Moderate Trust</v>
      </c>
      <c r="AL309">
        <f t="shared" si="33"/>
        <v>36.9</v>
      </c>
      <c r="AM309" t="str">
        <f t="shared" si="34"/>
        <v>High School</v>
      </c>
    </row>
    <row r="310" spans="1:39" x14ac:dyDescent="0.25">
      <c r="A310" t="s">
        <v>68</v>
      </c>
      <c r="B310" t="s">
        <v>70</v>
      </c>
      <c r="C310">
        <v>90.92</v>
      </c>
      <c r="D310">
        <v>560</v>
      </c>
      <c r="E310" t="b">
        <v>0</v>
      </c>
      <c r="F310" t="b">
        <v>0</v>
      </c>
      <c r="G310" t="b">
        <v>0</v>
      </c>
      <c r="H310" t="s">
        <v>53</v>
      </c>
      <c r="I310" t="s">
        <v>67</v>
      </c>
      <c r="J310" t="s">
        <v>27</v>
      </c>
      <c r="K310" t="s">
        <v>37</v>
      </c>
      <c r="L310" t="s">
        <v>37</v>
      </c>
      <c r="M310" t="s">
        <v>39</v>
      </c>
      <c r="N310" t="s">
        <v>46</v>
      </c>
      <c r="O310" t="b">
        <v>1</v>
      </c>
      <c r="P310" t="b">
        <v>1</v>
      </c>
      <c r="Q310">
        <v>10</v>
      </c>
      <c r="R310" t="b">
        <v>1</v>
      </c>
      <c r="S310" t="s">
        <v>64</v>
      </c>
      <c r="T310">
        <v>23</v>
      </c>
      <c r="U310">
        <v>79.09</v>
      </c>
      <c r="V310" t="b">
        <v>0</v>
      </c>
      <c r="W310" t="s">
        <v>31</v>
      </c>
      <c r="AE310" t="str">
        <f t="shared" si="28"/>
        <v>No</v>
      </c>
      <c r="AF310" t="str">
        <f t="shared" si="29"/>
        <v>Medium</v>
      </c>
      <c r="AG310" t="str">
        <f t="shared" si="30"/>
        <v>Yes</v>
      </c>
      <c r="AH310" t="str">
        <f t="shared" si="31"/>
        <v>Personal Testing</v>
      </c>
      <c r="AJ310" t="str">
        <f t="shared" si="32"/>
        <v>High Trust</v>
      </c>
      <c r="AL310">
        <f t="shared" si="33"/>
        <v>79.099999999999994</v>
      </c>
      <c r="AM310" t="str">
        <f t="shared" si="34"/>
        <v>Bachelors</v>
      </c>
    </row>
    <row r="311" spans="1:39" x14ac:dyDescent="0.25">
      <c r="A311" t="s">
        <v>68</v>
      </c>
      <c r="B311" t="s">
        <v>42</v>
      </c>
      <c r="C311">
        <v>83.18</v>
      </c>
      <c r="D311">
        <v>420</v>
      </c>
      <c r="E311" t="b">
        <v>0</v>
      </c>
      <c r="F311" t="b">
        <v>1</v>
      </c>
      <c r="G311" t="b">
        <v>1</v>
      </c>
      <c r="H311" t="s">
        <v>43</v>
      </c>
      <c r="I311" t="s">
        <v>44</v>
      </c>
      <c r="J311" t="s">
        <v>50</v>
      </c>
      <c r="K311" t="s">
        <v>37</v>
      </c>
      <c r="L311" t="s">
        <v>37</v>
      </c>
      <c r="M311" t="s">
        <v>47</v>
      </c>
      <c r="P311" t="b">
        <v>0</v>
      </c>
      <c r="Q311">
        <v>6.5</v>
      </c>
      <c r="R311" t="b">
        <v>1</v>
      </c>
      <c r="S311" t="s">
        <v>65</v>
      </c>
      <c r="T311">
        <v>3.4</v>
      </c>
      <c r="U311">
        <v>78.989999999999995</v>
      </c>
      <c r="V311" t="b">
        <v>1</v>
      </c>
      <c r="W311" t="s">
        <v>41</v>
      </c>
      <c r="AE311" t="str">
        <f t="shared" si="28"/>
        <v>Yes</v>
      </c>
      <c r="AF311" t="str">
        <f t="shared" si="29"/>
        <v>Unknown</v>
      </c>
      <c r="AG311" t="str">
        <f t="shared" si="30"/>
        <v>No</v>
      </c>
      <c r="AH311" t="str">
        <f t="shared" si="31"/>
        <v>Cross-referenced Multiple AIs</v>
      </c>
      <c r="AJ311" t="str">
        <f t="shared" si="32"/>
        <v>Moderate Trust</v>
      </c>
      <c r="AL311">
        <f t="shared" si="33"/>
        <v>79</v>
      </c>
      <c r="AM311" t="str">
        <f t="shared" si="34"/>
        <v>Professional</v>
      </c>
    </row>
    <row r="312" spans="1:39" x14ac:dyDescent="0.25">
      <c r="A312" t="s">
        <v>61</v>
      </c>
      <c r="B312" t="s">
        <v>66</v>
      </c>
      <c r="C312">
        <v>62.01</v>
      </c>
      <c r="D312">
        <v>336</v>
      </c>
      <c r="E312" t="b">
        <v>0</v>
      </c>
      <c r="F312" t="b">
        <v>0</v>
      </c>
      <c r="G312" t="b">
        <v>1</v>
      </c>
      <c r="H312" t="s">
        <v>43</v>
      </c>
      <c r="I312" t="s">
        <v>67</v>
      </c>
      <c r="J312" t="s">
        <v>36</v>
      </c>
      <c r="K312" t="s">
        <v>46</v>
      </c>
      <c r="L312" t="s">
        <v>38</v>
      </c>
      <c r="M312" t="s">
        <v>47</v>
      </c>
      <c r="N312" t="s">
        <v>39</v>
      </c>
      <c r="P312" t="b">
        <v>1</v>
      </c>
      <c r="Q312">
        <v>7.2</v>
      </c>
      <c r="R312" t="b">
        <v>1</v>
      </c>
      <c r="S312" t="s">
        <v>55</v>
      </c>
      <c r="T312">
        <v>30.5</v>
      </c>
      <c r="U312">
        <v>66.489999999999995</v>
      </c>
      <c r="V312" t="b">
        <v>1</v>
      </c>
      <c r="W312" t="s">
        <v>41</v>
      </c>
      <c r="AE312" t="str">
        <f t="shared" si="28"/>
        <v>No</v>
      </c>
      <c r="AF312" t="str">
        <f t="shared" si="29"/>
        <v>High</v>
      </c>
      <c r="AG312" t="str">
        <f t="shared" si="30"/>
        <v>No</v>
      </c>
      <c r="AH312" t="str">
        <f t="shared" si="31"/>
        <v>Academic Paper</v>
      </c>
      <c r="AJ312" t="str">
        <f t="shared" si="32"/>
        <v>Moderate Trust</v>
      </c>
      <c r="AL312">
        <f t="shared" si="33"/>
        <v>66.5</v>
      </c>
      <c r="AM312" t="str">
        <f t="shared" si="34"/>
        <v>PhD</v>
      </c>
    </row>
    <row r="313" spans="1:39" x14ac:dyDescent="0.25">
      <c r="A313" t="s">
        <v>32</v>
      </c>
      <c r="B313" t="s">
        <v>73</v>
      </c>
      <c r="C313">
        <v>63.01</v>
      </c>
      <c r="D313">
        <v>692</v>
      </c>
      <c r="E313" t="b">
        <v>0</v>
      </c>
      <c r="F313" t="b">
        <v>1</v>
      </c>
      <c r="G313" t="b">
        <v>1</v>
      </c>
      <c r="H313" t="s">
        <v>53</v>
      </c>
      <c r="I313" t="s">
        <v>44</v>
      </c>
      <c r="J313" t="s">
        <v>45</v>
      </c>
      <c r="K313" t="s">
        <v>37</v>
      </c>
      <c r="L313" t="s">
        <v>51</v>
      </c>
      <c r="M313" t="s">
        <v>47</v>
      </c>
      <c r="O313" t="b">
        <v>1</v>
      </c>
      <c r="P313" t="b">
        <v>0</v>
      </c>
      <c r="Q313">
        <v>6</v>
      </c>
      <c r="R313" t="b">
        <v>1</v>
      </c>
      <c r="S313" t="s">
        <v>30</v>
      </c>
      <c r="T313">
        <v>11.7</v>
      </c>
      <c r="U313">
        <v>60.97</v>
      </c>
      <c r="V313" t="b">
        <v>1</v>
      </c>
      <c r="W313" t="s">
        <v>41</v>
      </c>
      <c r="AE313" t="str">
        <f t="shared" si="28"/>
        <v>Yes</v>
      </c>
      <c r="AF313" t="str">
        <f t="shared" si="29"/>
        <v>Unknown</v>
      </c>
      <c r="AG313" t="str">
        <f t="shared" si="30"/>
        <v>Yes</v>
      </c>
      <c r="AH313" t="str">
        <f t="shared" si="31"/>
        <v>Google Search</v>
      </c>
      <c r="AJ313" t="str">
        <f t="shared" si="32"/>
        <v>Moderate Trust</v>
      </c>
      <c r="AL313">
        <f t="shared" si="33"/>
        <v>61</v>
      </c>
      <c r="AM313" t="str">
        <f t="shared" si="34"/>
        <v>High School</v>
      </c>
    </row>
    <row r="314" spans="1:39" x14ac:dyDescent="0.25">
      <c r="A314" t="s">
        <v>23</v>
      </c>
      <c r="B314" t="s">
        <v>49</v>
      </c>
      <c r="C314">
        <v>78.53</v>
      </c>
      <c r="D314">
        <v>115</v>
      </c>
      <c r="E314" t="b">
        <v>0</v>
      </c>
      <c r="F314" t="b">
        <v>0</v>
      </c>
      <c r="G314" t="b">
        <v>1</v>
      </c>
      <c r="H314" t="s">
        <v>53</v>
      </c>
      <c r="I314" t="s">
        <v>67</v>
      </c>
      <c r="J314" t="s">
        <v>54</v>
      </c>
      <c r="K314" t="s">
        <v>28</v>
      </c>
      <c r="L314" t="s">
        <v>51</v>
      </c>
      <c r="M314" t="s">
        <v>47</v>
      </c>
      <c r="N314" t="s">
        <v>39</v>
      </c>
      <c r="O314" t="b">
        <v>0</v>
      </c>
      <c r="P314" t="b">
        <v>0</v>
      </c>
      <c r="Q314">
        <v>6.7</v>
      </c>
      <c r="R314" t="b">
        <v>1</v>
      </c>
      <c r="S314" t="s">
        <v>30</v>
      </c>
      <c r="T314">
        <v>26.8</v>
      </c>
      <c r="U314">
        <v>93.14</v>
      </c>
      <c r="V314" t="b">
        <v>0</v>
      </c>
      <c r="W314" t="s">
        <v>41</v>
      </c>
      <c r="AE314" t="str">
        <f t="shared" si="28"/>
        <v>No</v>
      </c>
      <c r="AF314" t="str">
        <f t="shared" si="29"/>
        <v>High</v>
      </c>
      <c r="AG314" t="str">
        <f t="shared" si="30"/>
        <v>No</v>
      </c>
      <c r="AH314" t="str">
        <f t="shared" si="31"/>
        <v>Google Search</v>
      </c>
      <c r="AJ314" t="str">
        <f t="shared" si="32"/>
        <v>Moderate Trust</v>
      </c>
      <c r="AL314">
        <f t="shared" si="33"/>
        <v>93.1</v>
      </c>
      <c r="AM314" t="str">
        <f t="shared" si="34"/>
        <v>Masters</v>
      </c>
    </row>
    <row r="315" spans="1:39" x14ac:dyDescent="0.25">
      <c r="A315" t="s">
        <v>23</v>
      </c>
      <c r="B315" t="s">
        <v>66</v>
      </c>
      <c r="C315">
        <v>65.34</v>
      </c>
      <c r="D315">
        <v>672</v>
      </c>
      <c r="E315" t="b">
        <v>0</v>
      </c>
      <c r="F315" t="b">
        <v>1</v>
      </c>
      <c r="G315" t="b">
        <v>0</v>
      </c>
      <c r="H315" t="s">
        <v>43</v>
      </c>
      <c r="I315" t="s">
        <v>57</v>
      </c>
      <c r="J315" t="s">
        <v>36</v>
      </c>
      <c r="K315" t="s">
        <v>46</v>
      </c>
      <c r="L315" t="s">
        <v>29</v>
      </c>
      <c r="M315" t="s">
        <v>28</v>
      </c>
      <c r="N315" t="s">
        <v>39</v>
      </c>
      <c r="O315" t="b">
        <v>1</v>
      </c>
      <c r="P315" t="b">
        <v>1</v>
      </c>
      <c r="Q315">
        <v>8.6999999999999993</v>
      </c>
      <c r="R315" t="b">
        <v>0</v>
      </c>
      <c r="T315">
        <v>0</v>
      </c>
      <c r="U315">
        <v>42.91</v>
      </c>
      <c r="V315" t="b">
        <v>0</v>
      </c>
      <c r="W315" t="s">
        <v>58</v>
      </c>
      <c r="AE315" t="str">
        <f t="shared" si="28"/>
        <v>Yes</v>
      </c>
      <c r="AF315" t="str">
        <f t="shared" si="29"/>
        <v>High</v>
      </c>
      <c r="AG315" t="str">
        <f t="shared" si="30"/>
        <v>Yes</v>
      </c>
      <c r="AH315" t="str">
        <f t="shared" si="31"/>
        <v>Unknown</v>
      </c>
      <c r="AJ315" t="str">
        <f t="shared" si="32"/>
        <v>High Trust</v>
      </c>
      <c r="AL315">
        <f t="shared" si="33"/>
        <v>42.9</v>
      </c>
      <c r="AM315" t="str">
        <f t="shared" si="34"/>
        <v>PhD</v>
      </c>
    </row>
    <row r="316" spans="1:39" x14ac:dyDescent="0.25">
      <c r="A316" t="s">
        <v>32</v>
      </c>
      <c r="B316" t="s">
        <v>71</v>
      </c>
      <c r="C316">
        <v>41.61</v>
      </c>
      <c r="D316">
        <v>67</v>
      </c>
      <c r="E316" t="b">
        <v>0</v>
      </c>
      <c r="F316" t="b">
        <v>0</v>
      </c>
      <c r="G316" t="b">
        <v>1</v>
      </c>
      <c r="H316" t="s">
        <v>53</v>
      </c>
      <c r="I316" t="s">
        <v>57</v>
      </c>
      <c r="J316" t="s">
        <v>36</v>
      </c>
      <c r="K316" t="s">
        <v>37</v>
      </c>
      <c r="L316" t="s">
        <v>37</v>
      </c>
      <c r="M316" t="s">
        <v>47</v>
      </c>
      <c r="N316" t="s">
        <v>28</v>
      </c>
      <c r="O316" t="b">
        <v>1</v>
      </c>
      <c r="P316" t="b">
        <v>0</v>
      </c>
      <c r="Q316">
        <v>5</v>
      </c>
      <c r="R316" t="b">
        <v>1</v>
      </c>
      <c r="S316" t="s">
        <v>52</v>
      </c>
      <c r="T316">
        <v>18.8</v>
      </c>
      <c r="U316">
        <v>36.71</v>
      </c>
      <c r="V316" t="b">
        <v>1</v>
      </c>
      <c r="W316" t="s">
        <v>41</v>
      </c>
      <c r="AE316" t="str">
        <f t="shared" si="28"/>
        <v>No</v>
      </c>
      <c r="AF316" t="str">
        <f t="shared" si="29"/>
        <v>Low</v>
      </c>
      <c r="AG316" t="str">
        <f t="shared" si="30"/>
        <v>Yes</v>
      </c>
      <c r="AH316" t="str">
        <f t="shared" si="31"/>
        <v>Checked Official Source</v>
      </c>
      <c r="AJ316" t="str">
        <f t="shared" si="32"/>
        <v>Moderate Trust</v>
      </c>
      <c r="AL316">
        <f t="shared" si="33"/>
        <v>36.700000000000003</v>
      </c>
      <c r="AM316" t="str">
        <f t="shared" si="34"/>
        <v>PhD</v>
      </c>
    </row>
    <row r="317" spans="1:39" x14ac:dyDescent="0.25">
      <c r="A317" t="s">
        <v>23</v>
      </c>
      <c r="B317" t="s">
        <v>24</v>
      </c>
      <c r="C317">
        <v>90.44</v>
      </c>
      <c r="D317">
        <v>188</v>
      </c>
      <c r="E317" t="b">
        <v>0</v>
      </c>
      <c r="F317" t="b">
        <v>1</v>
      </c>
      <c r="G317" t="b">
        <v>1</v>
      </c>
      <c r="H317" t="s">
        <v>43</v>
      </c>
      <c r="I317" t="s">
        <v>67</v>
      </c>
      <c r="J317" t="s">
        <v>27</v>
      </c>
      <c r="K317" t="s">
        <v>28</v>
      </c>
      <c r="L317" t="s">
        <v>37</v>
      </c>
      <c r="M317" t="s">
        <v>47</v>
      </c>
      <c r="N317" t="s">
        <v>46</v>
      </c>
      <c r="O317" t="b">
        <v>1</v>
      </c>
      <c r="P317" t="b">
        <v>1</v>
      </c>
      <c r="Q317">
        <v>9.8000000000000007</v>
      </c>
      <c r="R317" t="b">
        <v>0</v>
      </c>
      <c r="T317">
        <v>0</v>
      </c>
      <c r="U317">
        <v>93.15</v>
      </c>
      <c r="V317" t="b">
        <v>1</v>
      </c>
      <c r="W317" t="s">
        <v>58</v>
      </c>
      <c r="AE317" t="str">
        <f t="shared" si="28"/>
        <v>Yes</v>
      </c>
      <c r="AF317" t="str">
        <f t="shared" si="29"/>
        <v>Medium</v>
      </c>
      <c r="AG317" t="str">
        <f t="shared" si="30"/>
        <v>Yes</v>
      </c>
      <c r="AH317" t="str">
        <f t="shared" si="31"/>
        <v>Unknown</v>
      </c>
      <c r="AJ317" t="str">
        <f t="shared" si="32"/>
        <v>High Trust</v>
      </c>
      <c r="AL317">
        <f t="shared" si="33"/>
        <v>93.2</v>
      </c>
      <c r="AM317" t="str">
        <f t="shared" si="34"/>
        <v>Bachelors</v>
      </c>
    </row>
    <row r="318" spans="1:39" x14ac:dyDescent="0.25">
      <c r="A318" t="s">
        <v>23</v>
      </c>
      <c r="B318" t="s">
        <v>60</v>
      </c>
      <c r="C318">
        <v>51.29</v>
      </c>
      <c r="D318">
        <v>517</v>
      </c>
      <c r="E318" t="b">
        <v>1</v>
      </c>
      <c r="F318" t="b">
        <v>0</v>
      </c>
      <c r="G318" t="b">
        <v>0</v>
      </c>
      <c r="H318" t="s">
        <v>34</v>
      </c>
      <c r="I318" t="s">
        <v>26</v>
      </c>
      <c r="J318" t="s">
        <v>54</v>
      </c>
      <c r="K318" t="s">
        <v>39</v>
      </c>
      <c r="L318" t="s">
        <v>51</v>
      </c>
      <c r="M318" t="s">
        <v>46</v>
      </c>
      <c r="N318" t="s">
        <v>46</v>
      </c>
      <c r="P318" t="b">
        <v>1</v>
      </c>
      <c r="Q318">
        <v>6</v>
      </c>
      <c r="R318" t="b">
        <v>1</v>
      </c>
      <c r="S318" t="s">
        <v>52</v>
      </c>
      <c r="T318">
        <v>32.9</v>
      </c>
      <c r="U318">
        <v>56.15</v>
      </c>
      <c r="V318" t="b">
        <v>1</v>
      </c>
      <c r="W318" t="s">
        <v>41</v>
      </c>
      <c r="AE318" t="str">
        <f t="shared" si="28"/>
        <v>No</v>
      </c>
      <c r="AF318" t="str">
        <f t="shared" si="29"/>
        <v>Medium</v>
      </c>
      <c r="AG318" t="str">
        <f t="shared" si="30"/>
        <v>No</v>
      </c>
      <c r="AH318" t="str">
        <f t="shared" si="31"/>
        <v>Checked Official Source</v>
      </c>
      <c r="AJ318" t="str">
        <f t="shared" si="32"/>
        <v>Moderate Trust</v>
      </c>
      <c r="AL318">
        <f t="shared" si="33"/>
        <v>56.2</v>
      </c>
      <c r="AM318" t="str">
        <f t="shared" si="34"/>
        <v>Masters</v>
      </c>
    </row>
    <row r="319" spans="1:39" x14ac:dyDescent="0.25">
      <c r="A319" t="s">
        <v>56</v>
      </c>
      <c r="B319" t="s">
        <v>33</v>
      </c>
      <c r="C319">
        <v>87.6</v>
      </c>
      <c r="D319">
        <v>737</v>
      </c>
      <c r="E319" t="b">
        <v>0</v>
      </c>
      <c r="F319" t="b">
        <v>0</v>
      </c>
      <c r="G319" t="b">
        <v>1</v>
      </c>
      <c r="H319" t="s">
        <v>43</v>
      </c>
      <c r="I319" t="s">
        <v>44</v>
      </c>
      <c r="J319" t="s">
        <v>50</v>
      </c>
      <c r="K319" t="s">
        <v>39</v>
      </c>
      <c r="L319" t="s">
        <v>29</v>
      </c>
      <c r="M319" t="s">
        <v>39</v>
      </c>
      <c r="N319" t="s">
        <v>28</v>
      </c>
      <c r="O319" t="b">
        <v>0</v>
      </c>
      <c r="P319" t="b">
        <v>1</v>
      </c>
      <c r="Q319">
        <v>7</v>
      </c>
      <c r="R319" t="b">
        <v>1</v>
      </c>
      <c r="S319" t="s">
        <v>64</v>
      </c>
      <c r="T319">
        <v>32.1</v>
      </c>
      <c r="U319">
        <v>76.3</v>
      </c>
      <c r="V319" t="b">
        <v>1</v>
      </c>
      <c r="W319" t="s">
        <v>41</v>
      </c>
      <c r="AE319" t="str">
        <f t="shared" si="28"/>
        <v>No</v>
      </c>
      <c r="AF319" t="str">
        <f t="shared" si="29"/>
        <v>Low</v>
      </c>
      <c r="AG319" t="str">
        <f t="shared" si="30"/>
        <v>No</v>
      </c>
      <c r="AH319" t="str">
        <f t="shared" si="31"/>
        <v>Personal Testing</v>
      </c>
      <c r="AJ319" t="str">
        <f t="shared" si="32"/>
        <v>Moderate Trust</v>
      </c>
      <c r="AL319">
        <f t="shared" si="33"/>
        <v>76.3</v>
      </c>
      <c r="AM319" t="str">
        <f t="shared" si="34"/>
        <v>Professional</v>
      </c>
    </row>
    <row r="320" spans="1:39" x14ac:dyDescent="0.25">
      <c r="A320" t="s">
        <v>74</v>
      </c>
      <c r="B320" t="s">
        <v>59</v>
      </c>
      <c r="C320">
        <v>87.63</v>
      </c>
      <c r="D320">
        <v>529</v>
      </c>
      <c r="E320" t="b">
        <v>1</v>
      </c>
      <c r="F320" t="b">
        <v>0</v>
      </c>
      <c r="G320" t="b">
        <v>0</v>
      </c>
      <c r="H320" t="s">
        <v>34</v>
      </c>
      <c r="I320" t="s">
        <v>67</v>
      </c>
      <c r="J320" t="s">
        <v>50</v>
      </c>
      <c r="K320" t="s">
        <v>39</v>
      </c>
      <c r="L320" t="s">
        <v>29</v>
      </c>
      <c r="M320" t="s">
        <v>47</v>
      </c>
      <c r="N320" t="s">
        <v>28</v>
      </c>
      <c r="P320" t="b">
        <v>1</v>
      </c>
      <c r="Q320">
        <v>9.1999999999999993</v>
      </c>
      <c r="R320" t="b">
        <v>1</v>
      </c>
      <c r="S320" t="s">
        <v>30</v>
      </c>
      <c r="T320">
        <v>10.5</v>
      </c>
      <c r="U320">
        <v>78.48</v>
      </c>
      <c r="V320" t="b">
        <v>1</v>
      </c>
      <c r="W320" t="s">
        <v>31</v>
      </c>
      <c r="AE320" t="str">
        <f t="shared" si="28"/>
        <v>No</v>
      </c>
      <c r="AF320" t="str">
        <f t="shared" si="29"/>
        <v>Low</v>
      </c>
      <c r="AG320" t="str">
        <f t="shared" si="30"/>
        <v>No</v>
      </c>
      <c r="AH320" t="str">
        <f t="shared" si="31"/>
        <v>Google Search</v>
      </c>
      <c r="AJ320" t="str">
        <f t="shared" si="32"/>
        <v>High Trust</v>
      </c>
      <c r="AL320">
        <f t="shared" si="33"/>
        <v>78.5</v>
      </c>
      <c r="AM320" t="str">
        <f t="shared" si="34"/>
        <v>Professional</v>
      </c>
    </row>
    <row r="321" spans="1:39" x14ac:dyDescent="0.25">
      <c r="A321" t="s">
        <v>61</v>
      </c>
      <c r="B321" t="s">
        <v>60</v>
      </c>
      <c r="C321">
        <v>49.12</v>
      </c>
      <c r="D321">
        <v>218</v>
      </c>
      <c r="E321" t="b">
        <v>1</v>
      </c>
      <c r="F321" t="b">
        <v>1</v>
      </c>
      <c r="G321" t="b">
        <v>0</v>
      </c>
      <c r="H321" t="s">
        <v>34</v>
      </c>
      <c r="I321" t="s">
        <v>44</v>
      </c>
      <c r="J321" t="s">
        <v>27</v>
      </c>
      <c r="K321" t="s">
        <v>37</v>
      </c>
      <c r="L321" t="s">
        <v>69</v>
      </c>
      <c r="M321" t="s">
        <v>47</v>
      </c>
      <c r="N321" t="s">
        <v>39</v>
      </c>
      <c r="O321" t="b">
        <v>0</v>
      </c>
      <c r="P321" t="b">
        <v>1</v>
      </c>
      <c r="Q321">
        <v>3.8</v>
      </c>
      <c r="R321" t="b">
        <v>1</v>
      </c>
      <c r="S321" t="s">
        <v>30</v>
      </c>
      <c r="T321">
        <v>17.100000000000001</v>
      </c>
      <c r="U321">
        <v>44.32</v>
      </c>
      <c r="V321" t="b">
        <v>1</v>
      </c>
      <c r="W321" t="s">
        <v>72</v>
      </c>
      <c r="AE321" t="str">
        <f t="shared" si="28"/>
        <v>Yes</v>
      </c>
      <c r="AF321" t="str">
        <f t="shared" si="29"/>
        <v>High</v>
      </c>
      <c r="AG321" t="str">
        <f t="shared" si="30"/>
        <v>No</v>
      </c>
      <c r="AH321" t="str">
        <f t="shared" si="31"/>
        <v>Google Search</v>
      </c>
      <c r="AJ321" t="str">
        <f t="shared" si="32"/>
        <v>Moderate Trust</v>
      </c>
      <c r="AL321">
        <f t="shared" si="33"/>
        <v>44.3</v>
      </c>
      <c r="AM321" t="str">
        <f t="shared" si="34"/>
        <v>Bachelors</v>
      </c>
    </row>
    <row r="322" spans="1:39" x14ac:dyDescent="0.25">
      <c r="A322" t="s">
        <v>23</v>
      </c>
      <c r="B322" t="s">
        <v>49</v>
      </c>
      <c r="C322">
        <v>66.459999999999994</v>
      </c>
      <c r="D322">
        <v>71</v>
      </c>
      <c r="E322" t="b">
        <v>1</v>
      </c>
      <c r="F322" t="b">
        <v>1</v>
      </c>
      <c r="G322" t="b">
        <v>1</v>
      </c>
      <c r="H322" t="s">
        <v>53</v>
      </c>
      <c r="I322" t="s">
        <v>63</v>
      </c>
      <c r="J322" t="s">
        <v>54</v>
      </c>
      <c r="K322" t="s">
        <v>28</v>
      </c>
      <c r="L322" t="s">
        <v>37</v>
      </c>
      <c r="M322" t="s">
        <v>28</v>
      </c>
      <c r="N322" t="s">
        <v>46</v>
      </c>
      <c r="O322" t="b">
        <v>1</v>
      </c>
      <c r="P322" t="b">
        <v>0</v>
      </c>
      <c r="Q322">
        <v>10</v>
      </c>
      <c r="R322" t="b">
        <v>0</v>
      </c>
      <c r="T322">
        <v>0</v>
      </c>
      <c r="U322">
        <v>74.77</v>
      </c>
      <c r="V322" t="b">
        <v>0</v>
      </c>
      <c r="W322" t="s">
        <v>58</v>
      </c>
      <c r="AE322" t="str">
        <f t="shared" si="28"/>
        <v>Yes</v>
      </c>
      <c r="AF322" t="str">
        <f t="shared" si="29"/>
        <v>Medium</v>
      </c>
      <c r="AG322" t="str">
        <f t="shared" si="30"/>
        <v>Yes</v>
      </c>
      <c r="AH322" t="str">
        <f t="shared" si="31"/>
        <v>Unknown</v>
      </c>
      <c r="AJ322" t="str">
        <f t="shared" si="32"/>
        <v>High Trust</v>
      </c>
      <c r="AL322">
        <f t="shared" si="33"/>
        <v>74.8</v>
      </c>
      <c r="AM322" t="str">
        <f t="shared" si="34"/>
        <v>Masters</v>
      </c>
    </row>
    <row r="323" spans="1:39" x14ac:dyDescent="0.25">
      <c r="A323" t="s">
        <v>23</v>
      </c>
      <c r="B323" t="s">
        <v>24</v>
      </c>
      <c r="C323">
        <v>94.83</v>
      </c>
      <c r="D323">
        <v>413</v>
      </c>
      <c r="E323" t="b">
        <v>0</v>
      </c>
      <c r="F323" t="b">
        <v>0</v>
      </c>
      <c r="G323" t="b">
        <v>0</v>
      </c>
      <c r="H323" t="s">
        <v>34</v>
      </c>
      <c r="I323" t="s">
        <v>67</v>
      </c>
      <c r="J323" t="s">
        <v>36</v>
      </c>
      <c r="K323" t="s">
        <v>39</v>
      </c>
      <c r="L323" t="s">
        <v>69</v>
      </c>
      <c r="M323" t="s">
        <v>47</v>
      </c>
      <c r="P323" t="b">
        <v>1</v>
      </c>
      <c r="Q323">
        <v>9.4</v>
      </c>
      <c r="R323" t="b">
        <v>1</v>
      </c>
      <c r="S323" t="s">
        <v>30</v>
      </c>
      <c r="T323">
        <v>29.8</v>
      </c>
      <c r="U323">
        <v>100</v>
      </c>
      <c r="V323" t="b">
        <v>1</v>
      </c>
      <c r="W323" t="s">
        <v>31</v>
      </c>
      <c r="AE323" t="str">
        <f t="shared" ref="AE323:AE386" si="35">IF(F323=TRUE,"Yes","No")</f>
        <v>No</v>
      </c>
      <c r="AF323" t="str">
        <f t="shared" ref="AF323:AF386" si="36">IF(ISBLANK(N323),"Unknown",N323)</f>
        <v>Unknown</v>
      </c>
      <c r="AG323" t="str">
        <f t="shared" ref="AG323:AG386" si="37">IF(O323=TRUE,"Yes","No")</f>
        <v>No</v>
      </c>
      <c r="AH323" t="str">
        <f t="shared" ref="AH323:AH386" si="38">IF(ISBLANK(S323),"Unknown",S323)</f>
        <v>Google Search</v>
      </c>
      <c r="AJ323" t="str">
        <f t="shared" ref="AJ323:AJ386" si="39">IF(Q323&gt;=8,"High Trust",
IF(Q324&gt;=5,"Moderate Trust","Low Trust"))</f>
        <v>High Trust</v>
      </c>
      <c r="AL323">
        <f t="shared" ref="AL323:AL386" si="40">ROUND(U323,1)</f>
        <v>100</v>
      </c>
      <c r="AM323" t="str">
        <f t="shared" ref="AM323:AM386" si="41">TRIM(J323)</f>
        <v>PhD</v>
      </c>
    </row>
    <row r="324" spans="1:39" x14ac:dyDescent="0.25">
      <c r="A324" t="s">
        <v>23</v>
      </c>
      <c r="B324" t="s">
        <v>49</v>
      </c>
      <c r="C324">
        <v>71.05</v>
      </c>
      <c r="D324">
        <v>516</v>
      </c>
      <c r="E324" t="b">
        <v>1</v>
      </c>
      <c r="F324" t="b">
        <v>0</v>
      </c>
      <c r="G324" t="b">
        <v>1</v>
      </c>
      <c r="H324" t="s">
        <v>43</v>
      </c>
      <c r="I324" t="s">
        <v>26</v>
      </c>
      <c r="J324" t="s">
        <v>45</v>
      </c>
      <c r="K324" t="s">
        <v>39</v>
      </c>
      <c r="L324" t="s">
        <v>51</v>
      </c>
      <c r="M324" t="s">
        <v>39</v>
      </c>
      <c r="P324" t="b">
        <v>0</v>
      </c>
      <c r="Q324">
        <v>7.8</v>
      </c>
      <c r="R324" t="b">
        <v>1</v>
      </c>
      <c r="S324" t="s">
        <v>64</v>
      </c>
      <c r="T324">
        <v>38.799999999999997</v>
      </c>
      <c r="U324">
        <v>72.58</v>
      </c>
      <c r="V324" t="b">
        <v>1</v>
      </c>
      <c r="W324" t="s">
        <v>41</v>
      </c>
      <c r="AE324" t="str">
        <f t="shared" si="35"/>
        <v>No</v>
      </c>
      <c r="AF324" t="str">
        <f t="shared" si="36"/>
        <v>Unknown</v>
      </c>
      <c r="AG324" t="str">
        <f t="shared" si="37"/>
        <v>No</v>
      </c>
      <c r="AH324" t="str">
        <f t="shared" si="38"/>
        <v>Personal Testing</v>
      </c>
      <c r="AJ324" t="str">
        <f t="shared" si="39"/>
        <v>Moderate Trust</v>
      </c>
      <c r="AL324">
        <f t="shared" si="40"/>
        <v>72.599999999999994</v>
      </c>
      <c r="AM324" t="str">
        <f t="shared" si="41"/>
        <v>High School</v>
      </c>
    </row>
    <row r="325" spans="1:39" x14ac:dyDescent="0.25">
      <c r="A325" t="s">
        <v>61</v>
      </c>
      <c r="B325" t="s">
        <v>49</v>
      </c>
      <c r="C325">
        <v>71.760000000000005</v>
      </c>
      <c r="D325">
        <v>525</v>
      </c>
      <c r="E325" t="b">
        <v>1</v>
      </c>
      <c r="F325" t="b">
        <v>1</v>
      </c>
      <c r="G325" t="b">
        <v>1</v>
      </c>
      <c r="H325" t="s">
        <v>25</v>
      </c>
      <c r="I325" t="s">
        <v>63</v>
      </c>
      <c r="J325" t="s">
        <v>36</v>
      </c>
      <c r="K325" t="s">
        <v>46</v>
      </c>
      <c r="L325" t="s">
        <v>51</v>
      </c>
      <c r="M325" t="s">
        <v>39</v>
      </c>
      <c r="N325" t="s">
        <v>39</v>
      </c>
      <c r="O325" t="b">
        <v>1</v>
      </c>
      <c r="P325" t="b">
        <v>0</v>
      </c>
      <c r="Q325">
        <v>9.6999999999999993</v>
      </c>
      <c r="R325" t="b">
        <v>0</v>
      </c>
      <c r="T325">
        <v>0</v>
      </c>
      <c r="U325">
        <v>74.069999999999993</v>
      </c>
      <c r="V325" t="b">
        <v>0</v>
      </c>
      <c r="W325" t="s">
        <v>58</v>
      </c>
      <c r="AE325" t="str">
        <f t="shared" si="35"/>
        <v>Yes</v>
      </c>
      <c r="AF325" t="str">
        <f t="shared" si="36"/>
        <v>High</v>
      </c>
      <c r="AG325" t="str">
        <f t="shared" si="37"/>
        <v>Yes</v>
      </c>
      <c r="AH325" t="str">
        <f t="shared" si="38"/>
        <v>Unknown</v>
      </c>
      <c r="AJ325" t="str">
        <f t="shared" si="39"/>
        <v>High Trust</v>
      </c>
      <c r="AL325">
        <f t="shared" si="40"/>
        <v>74.099999999999994</v>
      </c>
      <c r="AM325" t="str">
        <f t="shared" si="41"/>
        <v>PhD</v>
      </c>
    </row>
    <row r="326" spans="1:39" x14ac:dyDescent="0.25">
      <c r="A326" t="s">
        <v>74</v>
      </c>
      <c r="B326" t="s">
        <v>71</v>
      </c>
      <c r="C326">
        <v>58.76</v>
      </c>
      <c r="D326">
        <v>253</v>
      </c>
      <c r="E326" t="b">
        <v>0</v>
      </c>
      <c r="F326" t="b">
        <v>1</v>
      </c>
      <c r="G326" t="b">
        <v>1</v>
      </c>
      <c r="H326" t="s">
        <v>53</v>
      </c>
      <c r="I326" t="s">
        <v>63</v>
      </c>
      <c r="J326" t="s">
        <v>50</v>
      </c>
      <c r="K326" t="s">
        <v>46</v>
      </c>
      <c r="L326" t="s">
        <v>51</v>
      </c>
      <c r="M326" t="s">
        <v>47</v>
      </c>
      <c r="N326" t="s">
        <v>39</v>
      </c>
      <c r="P326" t="b">
        <v>1</v>
      </c>
      <c r="Q326">
        <v>5.0999999999999996</v>
      </c>
      <c r="R326" t="b">
        <v>1</v>
      </c>
      <c r="S326" t="s">
        <v>30</v>
      </c>
      <c r="T326">
        <v>21.5</v>
      </c>
      <c r="U326">
        <v>46.77</v>
      </c>
      <c r="V326" t="b">
        <v>1</v>
      </c>
      <c r="W326" t="s">
        <v>41</v>
      </c>
      <c r="AE326" t="str">
        <f t="shared" si="35"/>
        <v>Yes</v>
      </c>
      <c r="AF326" t="str">
        <f t="shared" si="36"/>
        <v>High</v>
      </c>
      <c r="AG326" t="str">
        <f t="shared" si="37"/>
        <v>No</v>
      </c>
      <c r="AH326" t="str">
        <f t="shared" si="38"/>
        <v>Google Search</v>
      </c>
      <c r="AJ326" t="str">
        <f t="shared" si="39"/>
        <v>Moderate Trust</v>
      </c>
      <c r="AL326">
        <f t="shared" si="40"/>
        <v>46.8</v>
      </c>
      <c r="AM326" t="str">
        <f t="shared" si="41"/>
        <v>Professional</v>
      </c>
    </row>
    <row r="327" spans="1:39" x14ac:dyDescent="0.25">
      <c r="A327" t="s">
        <v>56</v>
      </c>
      <c r="B327" t="s">
        <v>24</v>
      </c>
      <c r="C327">
        <v>87.14</v>
      </c>
      <c r="D327">
        <v>258</v>
      </c>
      <c r="E327" t="b">
        <v>0</v>
      </c>
      <c r="F327" t="b">
        <v>1</v>
      </c>
      <c r="G327" t="b">
        <v>0</v>
      </c>
      <c r="H327" t="s">
        <v>43</v>
      </c>
      <c r="I327" t="s">
        <v>35</v>
      </c>
      <c r="J327" t="s">
        <v>45</v>
      </c>
      <c r="K327" t="s">
        <v>28</v>
      </c>
      <c r="L327" t="s">
        <v>37</v>
      </c>
      <c r="M327" t="s">
        <v>28</v>
      </c>
      <c r="P327" t="b">
        <v>1</v>
      </c>
      <c r="Q327">
        <v>9.6999999999999993</v>
      </c>
      <c r="R327" t="b">
        <v>0</v>
      </c>
      <c r="T327">
        <v>0</v>
      </c>
      <c r="U327">
        <v>88.42</v>
      </c>
      <c r="V327" t="b">
        <v>1</v>
      </c>
      <c r="W327" t="s">
        <v>58</v>
      </c>
      <c r="AE327" t="str">
        <f t="shared" si="35"/>
        <v>Yes</v>
      </c>
      <c r="AF327" t="str">
        <f t="shared" si="36"/>
        <v>Unknown</v>
      </c>
      <c r="AG327" t="str">
        <f t="shared" si="37"/>
        <v>No</v>
      </c>
      <c r="AH327" t="str">
        <f t="shared" si="38"/>
        <v>Unknown</v>
      </c>
      <c r="AJ327" t="str">
        <f t="shared" si="39"/>
        <v>High Trust</v>
      </c>
      <c r="AL327">
        <f t="shared" si="40"/>
        <v>88.4</v>
      </c>
      <c r="AM327" t="str">
        <f t="shared" si="41"/>
        <v>High School</v>
      </c>
    </row>
    <row r="328" spans="1:39" x14ac:dyDescent="0.25">
      <c r="A328" t="s">
        <v>61</v>
      </c>
      <c r="B328" t="s">
        <v>60</v>
      </c>
      <c r="C328">
        <v>43.21</v>
      </c>
      <c r="D328">
        <v>87</v>
      </c>
      <c r="E328" t="b">
        <v>0</v>
      </c>
      <c r="F328" t="b">
        <v>1</v>
      </c>
      <c r="G328" t="b">
        <v>0</v>
      </c>
      <c r="H328" t="s">
        <v>25</v>
      </c>
      <c r="I328" t="s">
        <v>26</v>
      </c>
      <c r="J328" t="s">
        <v>27</v>
      </c>
      <c r="K328" t="s">
        <v>28</v>
      </c>
      <c r="L328" t="s">
        <v>38</v>
      </c>
      <c r="M328" t="s">
        <v>47</v>
      </c>
      <c r="N328" t="s">
        <v>46</v>
      </c>
      <c r="O328" t="b">
        <v>1</v>
      </c>
      <c r="P328" t="b">
        <v>1</v>
      </c>
      <c r="Q328">
        <v>5.4</v>
      </c>
      <c r="R328" t="b">
        <v>1</v>
      </c>
      <c r="S328" t="s">
        <v>30</v>
      </c>
      <c r="T328">
        <v>5.2</v>
      </c>
      <c r="U328">
        <v>28.68</v>
      </c>
      <c r="V328" t="b">
        <v>0</v>
      </c>
      <c r="W328" t="s">
        <v>41</v>
      </c>
      <c r="AE328" t="str">
        <f t="shared" si="35"/>
        <v>Yes</v>
      </c>
      <c r="AF328" t="str">
        <f t="shared" si="36"/>
        <v>Medium</v>
      </c>
      <c r="AG328" t="str">
        <f t="shared" si="37"/>
        <v>Yes</v>
      </c>
      <c r="AH328" t="str">
        <f t="shared" si="38"/>
        <v>Google Search</v>
      </c>
      <c r="AJ328" t="str">
        <f t="shared" si="39"/>
        <v>Moderate Trust</v>
      </c>
      <c r="AL328">
        <f t="shared" si="40"/>
        <v>28.7</v>
      </c>
      <c r="AM328" t="str">
        <f t="shared" si="41"/>
        <v>Bachelors</v>
      </c>
    </row>
    <row r="329" spans="1:39" x14ac:dyDescent="0.25">
      <c r="A329" t="s">
        <v>56</v>
      </c>
      <c r="B329" t="s">
        <v>24</v>
      </c>
      <c r="C329">
        <v>92.7</v>
      </c>
      <c r="D329">
        <v>77</v>
      </c>
      <c r="E329" t="b">
        <v>1</v>
      </c>
      <c r="F329" t="b">
        <v>0</v>
      </c>
      <c r="G329" t="b">
        <v>1</v>
      </c>
      <c r="H329" t="s">
        <v>25</v>
      </c>
      <c r="I329" t="s">
        <v>63</v>
      </c>
      <c r="J329" t="s">
        <v>36</v>
      </c>
      <c r="K329" t="s">
        <v>37</v>
      </c>
      <c r="L329" t="s">
        <v>29</v>
      </c>
      <c r="M329" t="s">
        <v>46</v>
      </c>
      <c r="N329" t="s">
        <v>46</v>
      </c>
      <c r="O329" t="b">
        <v>1</v>
      </c>
      <c r="P329" t="b">
        <v>1</v>
      </c>
      <c r="Q329">
        <v>10</v>
      </c>
      <c r="R329" t="b">
        <v>0</v>
      </c>
      <c r="T329">
        <v>0</v>
      </c>
      <c r="U329">
        <v>90.29</v>
      </c>
      <c r="V329" t="b">
        <v>1</v>
      </c>
      <c r="W329" t="s">
        <v>58</v>
      </c>
      <c r="AE329" t="str">
        <f t="shared" si="35"/>
        <v>No</v>
      </c>
      <c r="AF329" t="str">
        <f t="shared" si="36"/>
        <v>Medium</v>
      </c>
      <c r="AG329" t="str">
        <f t="shared" si="37"/>
        <v>Yes</v>
      </c>
      <c r="AH329" t="str">
        <f t="shared" si="38"/>
        <v>Unknown</v>
      </c>
      <c r="AJ329" t="str">
        <f t="shared" si="39"/>
        <v>High Trust</v>
      </c>
      <c r="AL329">
        <f t="shared" si="40"/>
        <v>90.3</v>
      </c>
      <c r="AM329" t="str">
        <f t="shared" si="41"/>
        <v>PhD</v>
      </c>
    </row>
    <row r="330" spans="1:39" x14ac:dyDescent="0.25">
      <c r="A330" t="s">
        <v>68</v>
      </c>
      <c r="B330" t="s">
        <v>33</v>
      </c>
      <c r="C330">
        <v>76.02</v>
      </c>
      <c r="D330">
        <v>674</v>
      </c>
      <c r="E330" t="b">
        <v>1</v>
      </c>
      <c r="F330" t="b">
        <v>1</v>
      </c>
      <c r="G330" t="b">
        <v>1</v>
      </c>
      <c r="H330" t="s">
        <v>53</v>
      </c>
      <c r="I330" t="s">
        <v>44</v>
      </c>
      <c r="J330" t="s">
        <v>45</v>
      </c>
      <c r="K330" t="s">
        <v>37</v>
      </c>
      <c r="L330" t="s">
        <v>69</v>
      </c>
      <c r="M330" t="s">
        <v>46</v>
      </c>
      <c r="N330" t="s">
        <v>28</v>
      </c>
      <c r="P330" t="b">
        <v>0</v>
      </c>
      <c r="Q330">
        <v>9.4</v>
      </c>
      <c r="R330" t="b">
        <v>0</v>
      </c>
      <c r="T330">
        <v>0</v>
      </c>
      <c r="U330">
        <v>78.489999999999995</v>
      </c>
      <c r="V330" t="b">
        <v>1</v>
      </c>
      <c r="W330" t="s">
        <v>58</v>
      </c>
      <c r="AE330" t="str">
        <f t="shared" si="35"/>
        <v>Yes</v>
      </c>
      <c r="AF330" t="str">
        <f t="shared" si="36"/>
        <v>Low</v>
      </c>
      <c r="AG330" t="str">
        <f t="shared" si="37"/>
        <v>No</v>
      </c>
      <c r="AH330" t="str">
        <f t="shared" si="38"/>
        <v>Unknown</v>
      </c>
      <c r="AJ330" t="str">
        <f t="shared" si="39"/>
        <v>High Trust</v>
      </c>
      <c r="AL330">
        <f t="shared" si="40"/>
        <v>78.5</v>
      </c>
      <c r="AM330" t="str">
        <f t="shared" si="41"/>
        <v>High School</v>
      </c>
    </row>
    <row r="331" spans="1:39" x14ac:dyDescent="0.25">
      <c r="A331" t="s">
        <v>23</v>
      </c>
      <c r="B331" t="s">
        <v>62</v>
      </c>
      <c r="C331">
        <v>54.73</v>
      </c>
      <c r="D331">
        <v>493</v>
      </c>
      <c r="E331" t="b">
        <v>1</v>
      </c>
      <c r="F331" t="b">
        <v>0</v>
      </c>
      <c r="G331" t="b">
        <v>1</v>
      </c>
      <c r="H331" t="s">
        <v>53</v>
      </c>
      <c r="I331" t="s">
        <v>44</v>
      </c>
      <c r="J331" t="s">
        <v>45</v>
      </c>
      <c r="K331" t="s">
        <v>46</v>
      </c>
      <c r="L331" t="s">
        <v>37</v>
      </c>
      <c r="M331" t="s">
        <v>46</v>
      </c>
      <c r="N331" t="s">
        <v>46</v>
      </c>
      <c r="O331" t="b">
        <v>1</v>
      </c>
      <c r="P331" t="b">
        <v>1</v>
      </c>
      <c r="Q331">
        <v>8.6</v>
      </c>
      <c r="R331" t="b">
        <v>0</v>
      </c>
      <c r="T331">
        <v>0</v>
      </c>
      <c r="U331">
        <v>60.38</v>
      </c>
      <c r="V331" t="b">
        <v>0</v>
      </c>
      <c r="W331" t="s">
        <v>58</v>
      </c>
      <c r="AE331" t="str">
        <f t="shared" si="35"/>
        <v>No</v>
      </c>
      <c r="AF331" t="str">
        <f t="shared" si="36"/>
        <v>Medium</v>
      </c>
      <c r="AG331" t="str">
        <f t="shared" si="37"/>
        <v>Yes</v>
      </c>
      <c r="AH331" t="str">
        <f t="shared" si="38"/>
        <v>Unknown</v>
      </c>
      <c r="AJ331" t="str">
        <f t="shared" si="39"/>
        <v>High Trust</v>
      </c>
      <c r="AL331">
        <f t="shared" si="40"/>
        <v>60.4</v>
      </c>
      <c r="AM331" t="str">
        <f t="shared" si="41"/>
        <v>High School</v>
      </c>
    </row>
    <row r="332" spans="1:39" x14ac:dyDescent="0.25">
      <c r="A332" t="s">
        <v>61</v>
      </c>
      <c r="B332" t="s">
        <v>76</v>
      </c>
      <c r="C332">
        <v>87.91</v>
      </c>
      <c r="D332">
        <v>378</v>
      </c>
      <c r="E332" t="b">
        <v>0</v>
      </c>
      <c r="F332" t="b">
        <v>1</v>
      </c>
      <c r="G332" t="b">
        <v>1</v>
      </c>
      <c r="H332" t="s">
        <v>25</v>
      </c>
      <c r="I332" t="s">
        <v>35</v>
      </c>
      <c r="J332" t="s">
        <v>36</v>
      </c>
      <c r="K332" t="s">
        <v>28</v>
      </c>
      <c r="L332" t="s">
        <v>38</v>
      </c>
      <c r="M332" t="s">
        <v>28</v>
      </c>
      <c r="N332" t="s">
        <v>46</v>
      </c>
      <c r="P332" t="b">
        <v>0</v>
      </c>
      <c r="Q332">
        <v>10</v>
      </c>
      <c r="R332" t="b">
        <v>0</v>
      </c>
      <c r="T332">
        <v>0</v>
      </c>
      <c r="U332">
        <v>84.86</v>
      </c>
      <c r="V332" t="b">
        <v>1</v>
      </c>
      <c r="W332" t="s">
        <v>58</v>
      </c>
      <c r="AE332" t="str">
        <f t="shared" si="35"/>
        <v>Yes</v>
      </c>
      <c r="AF332" t="str">
        <f t="shared" si="36"/>
        <v>Medium</v>
      </c>
      <c r="AG332" t="str">
        <f t="shared" si="37"/>
        <v>No</v>
      </c>
      <c r="AH332" t="str">
        <f t="shared" si="38"/>
        <v>Unknown</v>
      </c>
      <c r="AJ332" t="str">
        <f t="shared" si="39"/>
        <v>High Trust</v>
      </c>
      <c r="AL332">
        <f t="shared" si="40"/>
        <v>84.9</v>
      </c>
      <c r="AM332" t="str">
        <f t="shared" si="41"/>
        <v>PhD</v>
      </c>
    </row>
    <row r="333" spans="1:39" x14ac:dyDescent="0.25">
      <c r="A333" t="s">
        <v>23</v>
      </c>
      <c r="B333" t="s">
        <v>62</v>
      </c>
      <c r="C333">
        <v>52.66</v>
      </c>
      <c r="D333">
        <v>589</v>
      </c>
      <c r="E333" t="b">
        <v>0</v>
      </c>
      <c r="F333" t="b">
        <v>1</v>
      </c>
      <c r="G333" t="b">
        <v>1</v>
      </c>
      <c r="H333" t="s">
        <v>34</v>
      </c>
      <c r="I333" t="s">
        <v>44</v>
      </c>
      <c r="J333" t="s">
        <v>36</v>
      </c>
      <c r="K333" t="s">
        <v>39</v>
      </c>
      <c r="L333" t="s">
        <v>29</v>
      </c>
      <c r="M333" t="s">
        <v>46</v>
      </c>
      <c r="N333" t="s">
        <v>46</v>
      </c>
      <c r="O333" t="b">
        <v>1</v>
      </c>
      <c r="P333" t="b">
        <v>0</v>
      </c>
      <c r="Q333">
        <v>6.5</v>
      </c>
      <c r="R333" t="b">
        <v>1</v>
      </c>
      <c r="S333" t="s">
        <v>40</v>
      </c>
      <c r="T333">
        <v>11.4</v>
      </c>
      <c r="U333">
        <v>61.2</v>
      </c>
      <c r="V333" t="b">
        <v>1</v>
      </c>
      <c r="W333" t="s">
        <v>41</v>
      </c>
      <c r="AE333" t="str">
        <f t="shared" si="35"/>
        <v>Yes</v>
      </c>
      <c r="AF333" t="str">
        <f t="shared" si="36"/>
        <v>Medium</v>
      </c>
      <c r="AG333" t="str">
        <f t="shared" si="37"/>
        <v>Yes</v>
      </c>
      <c r="AH333" t="str">
        <f t="shared" si="38"/>
        <v>Asked Expert</v>
      </c>
      <c r="AJ333" t="str">
        <f t="shared" si="39"/>
        <v>Moderate Trust</v>
      </c>
      <c r="AL333">
        <f t="shared" si="40"/>
        <v>61.2</v>
      </c>
      <c r="AM333" t="str">
        <f t="shared" si="41"/>
        <v>PhD</v>
      </c>
    </row>
    <row r="334" spans="1:39" x14ac:dyDescent="0.25">
      <c r="A334" t="s">
        <v>56</v>
      </c>
      <c r="B334" t="s">
        <v>76</v>
      </c>
      <c r="C334">
        <v>87.5</v>
      </c>
      <c r="D334">
        <v>214</v>
      </c>
      <c r="E334" t="b">
        <v>0</v>
      </c>
      <c r="F334" t="b">
        <v>1</v>
      </c>
      <c r="G334" t="b">
        <v>1</v>
      </c>
      <c r="H334" t="s">
        <v>25</v>
      </c>
      <c r="I334" t="s">
        <v>44</v>
      </c>
      <c r="J334" t="s">
        <v>54</v>
      </c>
      <c r="K334" t="s">
        <v>28</v>
      </c>
      <c r="L334" t="s">
        <v>37</v>
      </c>
      <c r="M334" t="s">
        <v>46</v>
      </c>
      <c r="P334" t="b">
        <v>0</v>
      </c>
      <c r="Q334">
        <v>9</v>
      </c>
      <c r="R334" t="b">
        <v>0</v>
      </c>
      <c r="T334">
        <v>0</v>
      </c>
      <c r="U334">
        <v>82.12</v>
      </c>
      <c r="V334" t="b">
        <v>1</v>
      </c>
      <c r="W334" t="s">
        <v>58</v>
      </c>
      <c r="AE334" t="str">
        <f t="shared" si="35"/>
        <v>Yes</v>
      </c>
      <c r="AF334" t="str">
        <f t="shared" si="36"/>
        <v>Unknown</v>
      </c>
      <c r="AG334" t="str">
        <f t="shared" si="37"/>
        <v>No</v>
      </c>
      <c r="AH334" t="str">
        <f t="shared" si="38"/>
        <v>Unknown</v>
      </c>
      <c r="AJ334" t="str">
        <f t="shared" si="39"/>
        <v>High Trust</v>
      </c>
      <c r="AL334">
        <f t="shared" si="40"/>
        <v>82.1</v>
      </c>
      <c r="AM334" t="str">
        <f t="shared" si="41"/>
        <v>Masters</v>
      </c>
    </row>
    <row r="335" spans="1:39" x14ac:dyDescent="0.25">
      <c r="A335" t="s">
        <v>56</v>
      </c>
      <c r="B335" t="s">
        <v>66</v>
      </c>
      <c r="C335">
        <v>75.36</v>
      </c>
      <c r="D335">
        <v>495</v>
      </c>
      <c r="E335" t="b">
        <v>1</v>
      </c>
      <c r="F335" t="b">
        <v>0</v>
      </c>
      <c r="G335" t="b">
        <v>0</v>
      </c>
      <c r="H335" t="s">
        <v>53</v>
      </c>
      <c r="I335" t="s">
        <v>44</v>
      </c>
      <c r="J335" t="s">
        <v>45</v>
      </c>
      <c r="K335" t="s">
        <v>39</v>
      </c>
      <c r="L335" t="s">
        <v>29</v>
      </c>
      <c r="M335" t="s">
        <v>47</v>
      </c>
      <c r="N335" t="s">
        <v>39</v>
      </c>
      <c r="O335" t="b">
        <v>0</v>
      </c>
      <c r="P335" t="b">
        <v>1</v>
      </c>
      <c r="Q335">
        <v>6.6</v>
      </c>
      <c r="R335" t="b">
        <v>1</v>
      </c>
      <c r="S335" t="s">
        <v>55</v>
      </c>
      <c r="T335">
        <v>28.5</v>
      </c>
      <c r="U335">
        <v>52.54</v>
      </c>
      <c r="V335" t="b">
        <v>1</v>
      </c>
      <c r="W335" t="s">
        <v>41</v>
      </c>
      <c r="AE335" t="str">
        <f t="shared" si="35"/>
        <v>No</v>
      </c>
      <c r="AF335" t="str">
        <f t="shared" si="36"/>
        <v>High</v>
      </c>
      <c r="AG335" t="str">
        <f t="shared" si="37"/>
        <v>No</v>
      </c>
      <c r="AH335" t="str">
        <f t="shared" si="38"/>
        <v>Academic Paper</v>
      </c>
      <c r="AJ335" t="str">
        <f t="shared" si="39"/>
        <v>Moderate Trust</v>
      </c>
      <c r="AL335">
        <f t="shared" si="40"/>
        <v>52.5</v>
      </c>
      <c r="AM335" t="str">
        <f t="shared" si="41"/>
        <v>High School</v>
      </c>
    </row>
    <row r="336" spans="1:39" x14ac:dyDescent="0.25">
      <c r="A336" t="s">
        <v>32</v>
      </c>
      <c r="B336" t="s">
        <v>66</v>
      </c>
      <c r="C336">
        <v>75.510000000000005</v>
      </c>
      <c r="D336">
        <v>772</v>
      </c>
      <c r="E336" t="b">
        <v>1</v>
      </c>
      <c r="F336" t="b">
        <v>0</v>
      </c>
      <c r="G336" t="b">
        <v>0</v>
      </c>
      <c r="H336" t="s">
        <v>34</v>
      </c>
      <c r="I336" t="s">
        <v>26</v>
      </c>
      <c r="J336" t="s">
        <v>50</v>
      </c>
      <c r="K336" t="s">
        <v>39</v>
      </c>
      <c r="L336" t="s">
        <v>69</v>
      </c>
      <c r="M336" t="s">
        <v>39</v>
      </c>
      <c r="N336" t="s">
        <v>46</v>
      </c>
      <c r="P336" t="b">
        <v>1</v>
      </c>
      <c r="Q336">
        <v>8.6999999999999993</v>
      </c>
      <c r="R336" t="b">
        <v>0</v>
      </c>
      <c r="T336">
        <v>0</v>
      </c>
      <c r="U336">
        <v>53.06</v>
      </c>
      <c r="V336" t="b">
        <v>0</v>
      </c>
      <c r="W336" t="s">
        <v>58</v>
      </c>
      <c r="AE336" t="str">
        <f t="shared" si="35"/>
        <v>No</v>
      </c>
      <c r="AF336" t="str">
        <f t="shared" si="36"/>
        <v>Medium</v>
      </c>
      <c r="AG336" t="str">
        <f t="shared" si="37"/>
        <v>No</v>
      </c>
      <c r="AH336" t="str">
        <f t="shared" si="38"/>
        <v>Unknown</v>
      </c>
      <c r="AJ336" t="str">
        <f t="shared" si="39"/>
        <v>High Trust</v>
      </c>
      <c r="AL336">
        <f t="shared" si="40"/>
        <v>53.1</v>
      </c>
      <c r="AM336" t="str">
        <f t="shared" si="41"/>
        <v>Professional</v>
      </c>
    </row>
    <row r="337" spans="1:39" x14ac:dyDescent="0.25">
      <c r="A337" t="s">
        <v>23</v>
      </c>
      <c r="B337" t="s">
        <v>59</v>
      </c>
      <c r="C337">
        <v>88.09</v>
      </c>
      <c r="D337">
        <v>463</v>
      </c>
      <c r="E337" t="b">
        <v>0</v>
      </c>
      <c r="F337" t="b">
        <v>0</v>
      </c>
      <c r="G337" t="b">
        <v>0</v>
      </c>
      <c r="H337" t="s">
        <v>53</v>
      </c>
      <c r="I337" t="s">
        <v>44</v>
      </c>
      <c r="J337" t="s">
        <v>54</v>
      </c>
      <c r="K337" t="s">
        <v>37</v>
      </c>
      <c r="L337" t="s">
        <v>38</v>
      </c>
      <c r="M337" t="s">
        <v>47</v>
      </c>
      <c r="N337" t="s">
        <v>39</v>
      </c>
      <c r="P337" t="b">
        <v>0</v>
      </c>
      <c r="Q337">
        <v>8.4</v>
      </c>
      <c r="R337" t="b">
        <v>1</v>
      </c>
      <c r="S337" t="s">
        <v>30</v>
      </c>
      <c r="T337">
        <v>20.6</v>
      </c>
      <c r="U337">
        <v>77.59</v>
      </c>
      <c r="V337" t="b">
        <v>1</v>
      </c>
      <c r="W337" t="s">
        <v>31</v>
      </c>
      <c r="AE337" t="str">
        <f t="shared" si="35"/>
        <v>No</v>
      </c>
      <c r="AF337" t="str">
        <f t="shared" si="36"/>
        <v>High</v>
      </c>
      <c r="AG337" t="str">
        <f t="shared" si="37"/>
        <v>No</v>
      </c>
      <c r="AH337" t="str">
        <f t="shared" si="38"/>
        <v>Google Search</v>
      </c>
      <c r="AJ337" t="str">
        <f t="shared" si="39"/>
        <v>High Trust</v>
      </c>
      <c r="AL337">
        <f t="shared" si="40"/>
        <v>77.599999999999994</v>
      </c>
      <c r="AM337" t="str">
        <f t="shared" si="41"/>
        <v>Masters</v>
      </c>
    </row>
    <row r="338" spans="1:39" x14ac:dyDescent="0.25">
      <c r="A338" t="s">
        <v>61</v>
      </c>
      <c r="B338" t="s">
        <v>42</v>
      </c>
      <c r="C338">
        <v>72.31</v>
      </c>
      <c r="D338">
        <v>71</v>
      </c>
      <c r="E338" t="b">
        <v>0</v>
      </c>
      <c r="F338" t="b">
        <v>0</v>
      </c>
      <c r="G338" t="b">
        <v>1</v>
      </c>
      <c r="H338" t="s">
        <v>34</v>
      </c>
      <c r="I338" t="s">
        <v>63</v>
      </c>
      <c r="J338" t="s">
        <v>36</v>
      </c>
      <c r="K338" t="s">
        <v>28</v>
      </c>
      <c r="L338" t="s">
        <v>69</v>
      </c>
      <c r="M338" t="s">
        <v>39</v>
      </c>
      <c r="N338" t="s">
        <v>46</v>
      </c>
      <c r="P338" t="b">
        <v>0</v>
      </c>
      <c r="Q338">
        <v>7.6</v>
      </c>
      <c r="R338" t="b">
        <v>1</v>
      </c>
      <c r="S338" t="s">
        <v>30</v>
      </c>
      <c r="T338">
        <v>2.2000000000000002</v>
      </c>
      <c r="U338">
        <v>78.680000000000007</v>
      </c>
      <c r="V338" t="b">
        <v>1</v>
      </c>
      <c r="W338" t="s">
        <v>41</v>
      </c>
      <c r="AE338" t="str">
        <f t="shared" si="35"/>
        <v>No</v>
      </c>
      <c r="AF338" t="str">
        <f t="shared" si="36"/>
        <v>Medium</v>
      </c>
      <c r="AG338" t="str">
        <f t="shared" si="37"/>
        <v>No</v>
      </c>
      <c r="AH338" t="str">
        <f t="shared" si="38"/>
        <v>Google Search</v>
      </c>
      <c r="AJ338" t="str">
        <f t="shared" si="39"/>
        <v>Moderate Trust</v>
      </c>
      <c r="AL338">
        <f t="shared" si="40"/>
        <v>78.7</v>
      </c>
      <c r="AM338" t="str">
        <f t="shared" si="41"/>
        <v>PhD</v>
      </c>
    </row>
    <row r="339" spans="1:39" x14ac:dyDescent="0.25">
      <c r="A339" t="s">
        <v>56</v>
      </c>
      <c r="B339" t="s">
        <v>24</v>
      </c>
      <c r="C339">
        <v>95.28</v>
      </c>
      <c r="D339">
        <v>549</v>
      </c>
      <c r="E339" t="b">
        <v>0</v>
      </c>
      <c r="F339" t="b">
        <v>0</v>
      </c>
      <c r="G339" t="b">
        <v>1</v>
      </c>
      <c r="H339" t="s">
        <v>25</v>
      </c>
      <c r="I339" t="s">
        <v>26</v>
      </c>
      <c r="J339" t="s">
        <v>45</v>
      </c>
      <c r="K339" t="s">
        <v>46</v>
      </c>
      <c r="L339" t="s">
        <v>69</v>
      </c>
      <c r="M339" t="s">
        <v>46</v>
      </c>
      <c r="N339" t="s">
        <v>28</v>
      </c>
      <c r="O339" t="b">
        <v>0</v>
      </c>
      <c r="P339" t="b">
        <v>0</v>
      </c>
      <c r="Q339">
        <v>10</v>
      </c>
      <c r="R339" t="b">
        <v>0</v>
      </c>
      <c r="T339">
        <v>0</v>
      </c>
      <c r="U339">
        <v>97.67</v>
      </c>
      <c r="V339" t="b">
        <v>1</v>
      </c>
      <c r="W339" t="s">
        <v>58</v>
      </c>
      <c r="AE339" t="str">
        <f t="shared" si="35"/>
        <v>No</v>
      </c>
      <c r="AF339" t="str">
        <f t="shared" si="36"/>
        <v>Low</v>
      </c>
      <c r="AG339" t="str">
        <f t="shared" si="37"/>
        <v>No</v>
      </c>
      <c r="AH339" t="str">
        <f t="shared" si="38"/>
        <v>Unknown</v>
      </c>
      <c r="AJ339" t="str">
        <f t="shared" si="39"/>
        <v>High Trust</v>
      </c>
      <c r="AL339">
        <f t="shared" si="40"/>
        <v>97.7</v>
      </c>
      <c r="AM339" t="str">
        <f t="shared" si="41"/>
        <v>High School</v>
      </c>
    </row>
    <row r="340" spans="1:39" x14ac:dyDescent="0.25">
      <c r="A340" t="s">
        <v>56</v>
      </c>
      <c r="B340" t="s">
        <v>73</v>
      </c>
      <c r="C340">
        <v>67.430000000000007</v>
      </c>
      <c r="D340">
        <v>299</v>
      </c>
      <c r="E340" t="b">
        <v>1</v>
      </c>
      <c r="F340" t="b">
        <v>0</v>
      </c>
      <c r="G340" t="b">
        <v>0</v>
      </c>
      <c r="H340" t="s">
        <v>25</v>
      </c>
      <c r="I340" t="s">
        <v>44</v>
      </c>
      <c r="J340" t="s">
        <v>45</v>
      </c>
      <c r="K340" t="s">
        <v>37</v>
      </c>
      <c r="L340" t="s">
        <v>29</v>
      </c>
      <c r="M340" t="s">
        <v>28</v>
      </c>
      <c r="N340" t="s">
        <v>39</v>
      </c>
      <c r="P340" t="b">
        <v>0</v>
      </c>
      <c r="Q340">
        <v>8.4</v>
      </c>
      <c r="R340" t="b">
        <v>0</v>
      </c>
      <c r="T340">
        <v>0</v>
      </c>
      <c r="U340">
        <v>56.49</v>
      </c>
      <c r="V340" t="b">
        <v>0</v>
      </c>
      <c r="W340" t="s">
        <v>58</v>
      </c>
      <c r="AE340" t="str">
        <f t="shared" si="35"/>
        <v>No</v>
      </c>
      <c r="AF340" t="str">
        <f t="shared" si="36"/>
        <v>High</v>
      </c>
      <c r="AG340" t="str">
        <f t="shared" si="37"/>
        <v>No</v>
      </c>
      <c r="AH340" t="str">
        <f t="shared" si="38"/>
        <v>Unknown</v>
      </c>
      <c r="AJ340" t="str">
        <f t="shared" si="39"/>
        <v>High Trust</v>
      </c>
      <c r="AL340">
        <f t="shared" si="40"/>
        <v>56.5</v>
      </c>
      <c r="AM340" t="str">
        <f t="shared" si="41"/>
        <v>High School</v>
      </c>
    </row>
    <row r="341" spans="1:39" x14ac:dyDescent="0.25">
      <c r="A341" t="s">
        <v>32</v>
      </c>
      <c r="B341" t="s">
        <v>60</v>
      </c>
      <c r="C341">
        <v>41.7</v>
      </c>
      <c r="D341">
        <v>639</v>
      </c>
      <c r="E341" t="b">
        <v>0</v>
      </c>
      <c r="F341" t="b">
        <v>0</v>
      </c>
      <c r="G341" t="b">
        <v>1</v>
      </c>
      <c r="H341" t="s">
        <v>43</v>
      </c>
      <c r="I341" t="s">
        <v>57</v>
      </c>
      <c r="J341" t="s">
        <v>36</v>
      </c>
      <c r="K341" t="s">
        <v>37</v>
      </c>
      <c r="L341" t="s">
        <v>69</v>
      </c>
      <c r="M341" t="s">
        <v>47</v>
      </c>
      <c r="P341" t="b">
        <v>0</v>
      </c>
      <c r="Q341">
        <v>4.3</v>
      </c>
      <c r="R341" t="b">
        <v>1</v>
      </c>
      <c r="S341" t="s">
        <v>75</v>
      </c>
      <c r="T341">
        <v>27.1</v>
      </c>
      <c r="U341">
        <v>49.97</v>
      </c>
      <c r="V341" t="b">
        <v>1</v>
      </c>
      <c r="W341" t="s">
        <v>72</v>
      </c>
      <c r="AE341" t="str">
        <f t="shared" si="35"/>
        <v>No</v>
      </c>
      <c r="AF341" t="str">
        <f t="shared" si="36"/>
        <v>Unknown</v>
      </c>
      <c r="AG341" t="str">
        <f t="shared" si="37"/>
        <v>No</v>
      </c>
      <c r="AH341" t="str">
        <f t="shared" si="38"/>
        <v>Asked Colleague</v>
      </c>
      <c r="AJ341" t="str">
        <f t="shared" si="39"/>
        <v>Moderate Trust</v>
      </c>
      <c r="AL341">
        <f t="shared" si="40"/>
        <v>50</v>
      </c>
      <c r="AM341" t="str">
        <f t="shared" si="41"/>
        <v>PhD</v>
      </c>
    </row>
    <row r="342" spans="1:39" x14ac:dyDescent="0.25">
      <c r="A342" t="s">
        <v>23</v>
      </c>
      <c r="B342" t="s">
        <v>60</v>
      </c>
      <c r="C342">
        <v>59.39</v>
      </c>
      <c r="D342">
        <v>439</v>
      </c>
      <c r="E342" t="b">
        <v>1</v>
      </c>
      <c r="F342" t="b">
        <v>1</v>
      </c>
      <c r="G342" t="b">
        <v>1</v>
      </c>
      <c r="H342" t="s">
        <v>25</v>
      </c>
      <c r="I342" t="s">
        <v>35</v>
      </c>
      <c r="J342" t="s">
        <v>50</v>
      </c>
      <c r="K342" t="s">
        <v>28</v>
      </c>
      <c r="L342" t="s">
        <v>37</v>
      </c>
      <c r="M342" t="s">
        <v>47</v>
      </c>
      <c r="O342" t="b">
        <v>1</v>
      </c>
      <c r="P342" t="b">
        <v>0</v>
      </c>
      <c r="Q342">
        <v>8.3000000000000007</v>
      </c>
      <c r="R342" t="b">
        <v>1</v>
      </c>
      <c r="S342" t="s">
        <v>64</v>
      </c>
      <c r="T342">
        <v>22.5</v>
      </c>
      <c r="U342">
        <v>61.71</v>
      </c>
      <c r="V342" t="b">
        <v>0</v>
      </c>
      <c r="W342" t="s">
        <v>31</v>
      </c>
      <c r="AE342" t="str">
        <f t="shared" si="35"/>
        <v>Yes</v>
      </c>
      <c r="AF342" t="str">
        <f t="shared" si="36"/>
        <v>Unknown</v>
      </c>
      <c r="AG342" t="str">
        <f t="shared" si="37"/>
        <v>Yes</v>
      </c>
      <c r="AH342" t="str">
        <f t="shared" si="38"/>
        <v>Personal Testing</v>
      </c>
      <c r="AJ342" t="str">
        <f t="shared" si="39"/>
        <v>High Trust</v>
      </c>
      <c r="AL342">
        <f t="shared" si="40"/>
        <v>61.7</v>
      </c>
      <c r="AM342" t="str">
        <f t="shared" si="41"/>
        <v>Professional</v>
      </c>
    </row>
    <row r="343" spans="1:39" x14ac:dyDescent="0.25">
      <c r="A343" t="s">
        <v>68</v>
      </c>
      <c r="B343" t="s">
        <v>76</v>
      </c>
      <c r="C343">
        <v>72.099999999999994</v>
      </c>
      <c r="D343">
        <v>572</v>
      </c>
      <c r="E343" t="b">
        <v>0</v>
      </c>
      <c r="F343" t="b">
        <v>1</v>
      </c>
      <c r="G343" t="b">
        <v>1</v>
      </c>
      <c r="H343" t="s">
        <v>34</v>
      </c>
      <c r="I343" t="s">
        <v>26</v>
      </c>
      <c r="J343" t="s">
        <v>36</v>
      </c>
      <c r="K343" t="s">
        <v>46</v>
      </c>
      <c r="L343" t="s">
        <v>51</v>
      </c>
      <c r="M343" t="s">
        <v>28</v>
      </c>
      <c r="O343" t="b">
        <v>0</v>
      </c>
      <c r="P343" t="b">
        <v>0</v>
      </c>
      <c r="Q343">
        <v>6.5</v>
      </c>
      <c r="R343" t="b">
        <v>0</v>
      </c>
      <c r="T343">
        <v>0</v>
      </c>
      <c r="U343">
        <v>71.180000000000007</v>
      </c>
      <c r="V343" t="b">
        <v>1</v>
      </c>
      <c r="W343" t="s">
        <v>31</v>
      </c>
      <c r="AE343" t="str">
        <f t="shared" si="35"/>
        <v>Yes</v>
      </c>
      <c r="AF343" t="str">
        <f t="shared" si="36"/>
        <v>Unknown</v>
      </c>
      <c r="AG343" t="str">
        <f t="shared" si="37"/>
        <v>No</v>
      </c>
      <c r="AH343" t="str">
        <f t="shared" si="38"/>
        <v>Unknown</v>
      </c>
      <c r="AJ343" t="str">
        <f t="shared" si="39"/>
        <v>Moderate Trust</v>
      </c>
      <c r="AL343">
        <f t="shared" si="40"/>
        <v>71.2</v>
      </c>
      <c r="AM343" t="str">
        <f t="shared" si="41"/>
        <v>PhD</v>
      </c>
    </row>
    <row r="344" spans="1:39" x14ac:dyDescent="0.25">
      <c r="A344" t="s">
        <v>68</v>
      </c>
      <c r="B344" t="s">
        <v>42</v>
      </c>
      <c r="C344">
        <v>80.69</v>
      </c>
      <c r="D344">
        <v>227</v>
      </c>
      <c r="E344" t="b">
        <v>1</v>
      </c>
      <c r="F344" t="b">
        <v>0</v>
      </c>
      <c r="G344" t="b">
        <v>1</v>
      </c>
      <c r="H344" t="s">
        <v>43</v>
      </c>
      <c r="I344" t="s">
        <v>35</v>
      </c>
      <c r="J344" t="s">
        <v>54</v>
      </c>
      <c r="K344" t="s">
        <v>28</v>
      </c>
      <c r="L344" t="s">
        <v>29</v>
      </c>
      <c r="M344" t="s">
        <v>47</v>
      </c>
      <c r="N344" t="s">
        <v>39</v>
      </c>
      <c r="O344" t="b">
        <v>1</v>
      </c>
      <c r="P344" t="b">
        <v>0</v>
      </c>
      <c r="Q344">
        <v>10</v>
      </c>
      <c r="R344" t="b">
        <v>0</v>
      </c>
      <c r="T344">
        <v>0</v>
      </c>
      <c r="U344">
        <v>75.48</v>
      </c>
      <c r="V344" t="b">
        <v>0</v>
      </c>
      <c r="W344" t="s">
        <v>58</v>
      </c>
      <c r="AE344" t="str">
        <f t="shared" si="35"/>
        <v>No</v>
      </c>
      <c r="AF344" t="str">
        <f t="shared" si="36"/>
        <v>High</v>
      </c>
      <c r="AG344" t="str">
        <f t="shared" si="37"/>
        <v>Yes</v>
      </c>
      <c r="AH344" t="str">
        <f t="shared" si="38"/>
        <v>Unknown</v>
      </c>
      <c r="AJ344" t="str">
        <f t="shared" si="39"/>
        <v>High Trust</v>
      </c>
      <c r="AL344">
        <f t="shared" si="40"/>
        <v>75.5</v>
      </c>
      <c r="AM344" t="str">
        <f t="shared" si="41"/>
        <v>Masters</v>
      </c>
    </row>
    <row r="345" spans="1:39" x14ac:dyDescent="0.25">
      <c r="A345" t="s">
        <v>56</v>
      </c>
      <c r="B345" t="s">
        <v>24</v>
      </c>
      <c r="C345">
        <v>98.39</v>
      </c>
      <c r="D345">
        <v>721</v>
      </c>
      <c r="E345" t="b">
        <v>0</v>
      </c>
      <c r="F345" t="b">
        <v>1</v>
      </c>
      <c r="G345" t="b">
        <v>1</v>
      </c>
      <c r="H345" t="s">
        <v>43</v>
      </c>
      <c r="I345" t="s">
        <v>63</v>
      </c>
      <c r="J345" t="s">
        <v>54</v>
      </c>
      <c r="K345" t="s">
        <v>46</v>
      </c>
      <c r="L345" t="s">
        <v>37</v>
      </c>
      <c r="M345" t="s">
        <v>47</v>
      </c>
      <c r="N345" t="s">
        <v>28</v>
      </c>
      <c r="O345" t="b">
        <v>1</v>
      </c>
      <c r="P345" t="b">
        <v>0</v>
      </c>
      <c r="Q345">
        <v>10</v>
      </c>
      <c r="R345" t="b">
        <v>0</v>
      </c>
      <c r="T345">
        <v>0</v>
      </c>
      <c r="U345">
        <v>100</v>
      </c>
      <c r="V345" t="b">
        <v>1</v>
      </c>
      <c r="W345" t="s">
        <v>58</v>
      </c>
      <c r="AE345" t="str">
        <f t="shared" si="35"/>
        <v>Yes</v>
      </c>
      <c r="AF345" t="str">
        <f t="shared" si="36"/>
        <v>Low</v>
      </c>
      <c r="AG345" t="str">
        <f t="shared" si="37"/>
        <v>Yes</v>
      </c>
      <c r="AH345" t="str">
        <f t="shared" si="38"/>
        <v>Unknown</v>
      </c>
      <c r="AJ345" t="str">
        <f t="shared" si="39"/>
        <v>High Trust</v>
      </c>
      <c r="AL345">
        <f t="shared" si="40"/>
        <v>100</v>
      </c>
      <c r="AM345" t="str">
        <f t="shared" si="41"/>
        <v>Masters</v>
      </c>
    </row>
    <row r="346" spans="1:39" x14ac:dyDescent="0.25">
      <c r="A346" t="s">
        <v>56</v>
      </c>
      <c r="B346" t="s">
        <v>76</v>
      </c>
      <c r="C346">
        <v>70.92</v>
      </c>
      <c r="D346">
        <v>184</v>
      </c>
      <c r="E346" t="b">
        <v>0</v>
      </c>
      <c r="F346" t="b">
        <v>0</v>
      </c>
      <c r="G346" t="b">
        <v>1</v>
      </c>
      <c r="H346" t="s">
        <v>53</v>
      </c>
      <c r="I346" t="s">
        <v>35</v>
      </c>
      <c r="J346" t="s">
        <v>27</v>
      </c>
      <c r="K346" t="s">
        <v>39</v>
      </c>
      <c r="L346" t="s">
        <v>37</v>
      </c>
      <c r="M346" t="s">
        <v>39</v>
      </c>
      <c r="P346" t="b">
        <v>0</v>
      </c>
      <c r="Q346">
        <v>6.6</v>
      </c>
      <c r="R346" t="b">
        <v>1</v>
      </c>
      <c r="S346" t="s">
        <v>55</v>
      </c>
      <c r="T346">
        <v>11.4</v>
      </c>
      <c r="U346">
        <v>63.06</v>
      </c>
      <c r="V346" t="b">
        <v>1</v>
      </c>
      <c r="W346" t="s">
        <v>41</v>
      </c>
      <c r="AE346" t="str">
        <f t="shared" si="35"/>
        <v>No</v>
      </c>
      <c r="AF346" t="str">
        <f t="shared" si="36"/>
        <v>Unknown</v>
      </c>
      <c r="AG346" t="str">
        <f t="shared" si="37"/>
        <v>No</v>
      </c>
      <c r="AH346" t="str">
        <f t="shared" si="38"/>
        <v>Academic Paper</v>
      </c>
      <c r="AJ346" t="str">
        <f t="shared" si="39"/>
        <v>Moderate Trust</v>
      </c>
      <c r="AL346">
        <f t="shared" si="40"/>
        <v>63.1</v>
      </c>
      <c r="AM346" t="str">
        <f t="shared" si="41"/>
        <v>Bachelors</v>
      </c>
    </row>
    <row r="347" spans="1:39" x14ac:dyDescent="0.25">
      <c r="A347" t="s">
        <v>32</v>
      </c>
      <c r="B347" t="s">
        <v>33</v>
      </c>
      <c r="C347">
        <v>85.83</v>
      </c>
      <c r="D347">
        <v>478</v>
      </c>
      <c r="E347" t="b">
        <v>1</v>
      </c>
      <c r="F347" t="b">
        <v>1</v>
      </c>
      <c r="G347" t="b">
        <v>0</v>
      </c>
      <c r="H347" t="s">
        <v>53</v>
      </c>
      <c r="I347" t="s">
        <v>35</v>
      </c>
      <c r="J347" t="s">
        <v>36</v>
      </c>
      <c r="K347" t="s">
        <v>46</v>
      </c>
      <c r="L347" t="s">
        <v>69</v>
      </c>
      <c r="M347" t="s">
        <v>47</v>
      </c>
      <c r="N347" t="s">
        <v>28</v>
      </c>
      <c r="O347" t="b">
        <v>0</v>
      </c>
      <c r="P347" t="b">
        <v>1</v>
      </c>
      <c r="Q347">
        <v>8.4</v>
      </c>
      <c r="R347" t="b">
        <v>1</v>
      </c>
      <c r="S347" t="s">
        <v>52</v>
      </c>
      <c r="T347">
        <v>17</v>
      </c>
      <c r="U347">
        <v>76.23</v>
      </c>
      <c r="V347" t="b">
        <v>1</v>
      </c>
      <c r="W347" t="s">
        <v>31</v>
      </c>
      <c r="AE347" t="str">
        <f t="shared" si="35"/>
        <v>Yes</v>
      </c>
      <c r="AF347" t="str">
        <f t="shared" si="36"/>
        <v>Low</v>
      </c>
      <c r="AG347" t="str">
        <f t="shared" si="37"/>
        <v>No</v>
      </c>
      <c r="AH347" t="str">
        <f t="shared" si="38"/>
        <v>Checked Official Source</v>
      </c>
      <c r="AJ347" t="str">
        <f t="shared" si="39"/>
        <v>High Trust</v>
      </c>
      <c r="AL347">
        <f t="shared" si="40"/>
        <v>76.2</v>
      </c>
      <c r="AM347" t="str">
        <f t="shared" si="41"/>
        <v>PhD</v>
      </c>
    </row>
    <row r="348" spans="1:39" x14ac:dyDescent="0.25">
      <c r="A348" t="s">
        <v>61</v>
      </c>
      <c r="B348" t="s">
        <v>76</v>
      </c>
      <c r="C348">
        <v>87.88</v>
      </c>
      <c r="D348">
        <v>660</v>
      </c>
      <c r="E348" t="b">
        <v>1</v>
      </c>
      <c r="F348" t="b">
        <v>1</v>
      </c>
      <c r="G348" t="b">
        <v>0</v>
      </c>
      <c r="H348" t="s">
        <v>43</v>
      </c>
      <c r="I348" t="s">
        <v>26</v>
      </c>
      <c r="J348" t="s">
        <v>27</v>
      </c>
      <c r="K348" t="s">
        <v>46</v>
      </c>
      <c r="L348" t="s">
        <v>51</v>
      </c>
      <c r="M348" t="s">
        <v>28</v>
      </c>
      <c r="N348" t="s">
        <v>46</v>
      </c>
      <c r="O348" t="b">
        <v>1</v>
      </c>
      <c r="P348" t="b">
        <v>1</v>
      </c>
      <c r="Q348">
        <v>10</v>
      </c>
      <c r="R348" t="b">
        <v>0</v>
      </c>
      <c r="T348">
        <v>0</v>
      </c>
      <c r="U348">
        <v>82.38</v>
      </c>
      <c r="V348" t="b">
        <v>1</v>
      </c>
      <c r="W348" t="s">
        <v>58</v>
      </c>
      <c r="AE348" t="str">
        <f t="shared" si="35"/>
        <v>Yes</v>
      </c>
      <c r="AF348" t="str">
        <f t="shared" si="36"/>
        <v>Medium</v>
      </c>
      <c r="AG348" t="str">
        <f t="shared" si="37"/>
        <v>Yes</v>
      </c>
      <c r="AH348" t="str">
        <f t="shared" si="38"/>
        <v>Unknown</v>
      </c>
      <c r="AJ348" t="str">
        <f t="shared" si="39"/>
        <v>High Trust</v>
      </c>
      <c r="AL348">
        <f t="shared" si="40"/>
        <v>82.4</v>
      </c>
      <c r="AM348" t="str">
        <f t="shared" si="41"/>
        <v>Bachelors</v>
      </c>
    </row>
    <row r="349" spans="1:39" x14ac:dyDescent="0.25">
      <c r="A349" t="s">
        <v>61</v>
      </c>
      <c r="B349" t="s">
        <v>70</v>
      </c>
      <c r="C349">
        <v>75.75</v>
      </c>
      <c r="D349">
        <v>338</v>
      </c>
      <c r="E349" t="b">
        <v>0</v>
      </c>
      <c r="F349" t="b">
        <v>0</v>
      </c>
      <c r="G349" t="b">
        <v>0</v>
      </c>
      <c r="H349" t="s">
        <v>34</v>
      </c>
      <c r="I349" t="s">
        <v>44</v>
      </c>
      <c r="J349" t="s">
        <v>27</v>
      </c>
      <c r="K349" t="s">
        <v>46</v>
      </c>
      <c r="L349" t="s">
        <v>29</v>
      </c>
      <c r="M349" t="s">
        <v>47</v>
      </c>
      <c r="O349" t="b">
        <v>1</v>
      </c>
      <c r="P349" t="b">
        <v>0</v>
      </c>
      <c r="Q349">
        <v>9.3000000000000007</v>
      </c>
      <c r="R349" t="b">
        <v>1</v>
      </c>
      <c r="S349" t="s">
        <v>40</v>
      </c>
      <c r="T349">
        <v>24.4</v>
      </c>
      <c r="U349">
        <v>66.709999999999994</v>
      </c>
      <c r="V349" t="b">
        <v>0</v>
      </c>
      <c r="W349" t="s">
        <v>31</v>
      </c>
      <c r="AE349" t="str">
        <f t="shared" si="35"/>
        <v>No</v>
      </c>
      <c r="AF349" t="str">
        <f t="shared" si="36"/>
        <v>Unknown</v>
      </c>
      <c r="AG349" t="str">
        <f t="shared" si="37"/>
        <v>Yes</v>
      </c>
      <c r="AH349" t="str">
        <f t="shared" si="38"/>
        <v>Asked Expert</v>
      </c>
      <c r="AJ349" t="str">
        <f t="shared" si="39"/>
        <v>High Trust</v>
      </c>
      <c r="AL349">
        <f t="shared" si="40"/>
        <v>66.7</v>
      </c>
      <c r="AM349" t="str">
        <f t="shared" si="41"/>
        <v>Bachelors</v>
      </c>
    </row>
    <row r="350" spans="1:39" x14ac:dyDescent="0.25">
      <c r="A350" t="s">
        <v>32</v>
      </c>
      <c r="B350" t="s">
        <v>42</v>
      </c>
      <c r="C350">
        <v>73.569999999999993</v>
      </c>
      <c r="D350">
        <v>400</v>
      </c>
      <c r="E350" t="b">
        <v>0</v>
      </c>
      <c r="F350" t="b">
        <v>1</v>
      </c>
      <c r="G350" t="b">
        <v>0</v>
      </c>
      <c r="H350" t="s">
        <v>25</v>
      </c>
      <c r="I350" t="s">
        <v>63</v>
      </c>
      <c r="J350" t="s">
        <v>45</v>
      </c>
      <c r="K350" t="s">
        <v>37</v>
      </c>
      <c r="L350" t="s">
        <v>38</v>
      </c>
      <c r="M350" t="s">
        <v>28</v>
      </c>
      <c r="N350" t="s">
        <v>39</v>
      </c>
      <c r="O350" t="b">
        <v>1</v>
      </c>
      <c r="P350" t="b">
        <v>0</v>
      </c>
      <c r="Q350">
        <v>9.9</v>
      </c>
      <c r="R350" t="b">
        <v>0</v>
      </c>
      <c r="T350">
        <v>0</v>
      </c>
      <c r="U350">
        <v>87.26</v>
      </c>
      <c r="V350" t="b">
        <v>1</v>
      </c>
      <c r="W350" t="s">
        <v>58</v>
      </c>
      <c r="AE350" t="str">
        <f t="shared" si="35"/>
        <v>Yes</v>
      </c>
      <c r="AF350" t="str">
        <f t="shared" si="36"/>
        <v>High</v>
      </c>
      <c r="AG350" t="str">
        <f t="shared" si="37"/>
        <v>Yes</v>
      </c>
      <c r="AH350" t="str">
        <f t="shared" si="38"/>
        <v>Unknown</v>
      </c>
      <c r="AJ350" t="str">
        <f t="shared" si="39"/>
        <v>High Trust</v>
      </c>
      <c r="AL350">
        <f t="shared" si="40"/>
        <v>87.3</v>
      </c>
      <c r="AM350" t="str">
        <f t="shared" si="41"/>
        <v>High School</v>
      </c>
    </row>
    <row r="351" spans="1:39" x14ac:dyDescent="0.25">
      <c r="A351" t="s">
        <v>23</v>
      </c>
      <c r="B351" t="s">
        <v>59</v>
      </c>
      <c r="C351">
        <v>92.66</v>
      </c>
      <c r="D351">
        <v>621</v>
      </c>
      <c r="E351" t="b">
        <v>1</v>
      </c>
      <c r="F351" t="b">
        <v>1</v>
      </c>
      <c r="G351" t="b">
        <v>1</v>
      </c>
      <c r="H351" t="s">
        <v>43</v>
      </c>
      <c r="I351" t="s">
        <v>63</v>
      </c>
      <c r="J351" t="s">
        <v>45</v>
      </c>
      <c r="K351" t="s">
        <v>28</v>
      </c>
      <c r="L351" t="s">
        <v>69</v>
      </c>
      <c r="M351" t="s">
        <v>46</v>
      </c>
      <c r="O351" t="b">
        <v>0</v>
      </c>
      <c r="P351" t="b">
        <v>0</v>
      </c>
      <c r="Q351">
        <v>9.6999999999999993</v>
      </c>
      <c r="R351" t="b">
        <v>0</v>
      </c>
      <c r="T351">
        <v>0</v>
      </c>
      <c r="U351">
        <v>85.98</v>
      </c>
      <c r="V351" t="b">
        <v>1</v>
      </c>
      <c r="W351" t="s">
        <v>58</v>
      </c>
      <c r="AE351" t="str">
        <f t="shared" si="35"/>
        <v>Yes</v>
      </c>
      <c r="AF351" t="str">
        <f t="shared" si="36"/>
        <v>Unknown</v>
      </c>
      <c r="AG351" t="str">
        <f t="shared" si="37"/>
        <v>No</v>
      </c>
      <c r="AH351" t="str">
        <f t="shared" si="38"/>
        <v>Unknown</v>
      </c>
      <c r="AJ351" t="str">
        <f t="shared" si="39"/>
        <v>High Trust</v>
      </c>
      <c r="AL351">
        <f t="shared" si="40"/>
        <v>86</v>
      </c>
      <c r="AM351" t="str">
        <f t="shared" si="41"/>
        <v>High School</v>
      </c>
    </row>
    <row r="352" spans="1:39" x14ac:dyDescent="0.25">
      <c r="A352" t="s">
        <v>32</v>
      </c>
      <c r="B352" t="s">
        <v>24</v>
      </c>
      <c r="C352">
        <v>87.81</v>
      </c>
      <c r="D352">
        <v>401</v>
      </c>
      <c r="E352" t="b">
        <v>1</v>
      </c>
      <c r="F352" t="b">
        <v>0</v>
      </c>
      <c r="G352" t="b">
        <v>0</v>
      </c>
      <c r="H352" t="s">
        <v>34</v>
      </c>
      <c r="I352" t="s">
        <v>67</v>
      </c>
      <c r="J352" t="s">
        <v>50</v>
      </c>
      <c r="K352" t="s">
        <v>46</v>
      </c>
      <c r="L352" t="s">
        <v>38</v>
      </c>
      <c r="M352" t="s">
        <v>28</v>
      </c>
      <c r="O352" t="b">
        <v>1</v>
      </c>
      <c r="P352" t="b">
        <v>1</v>
      </c>
      <c r="Q352">
        <v>10</v>
      </c>
      <c r="R352" t="b">
        <v>0</v>
      </c>
      <c r="T352">
        <v>0</v>
      </c>
      <c r="U352">
        <v>88.09</v>
      </c>
      <c r="V352" t="b">
        <v>1</v>
      </c>
      <c r="W352" t="s">
        <v>58</v>
      </c>
      <c r="AE352" t="str">
        <f t="shared" si="35"/>
        <v>No</v>
      </c>
      <c r="AF352" t="str">
        <f t="shared" si="36"/>
        <v>Unknown</v>
      </c>
      <c r="AG352" t="str">
        <f t="shared" si="37"/>
        <v>Yes</v>
      </c>
      <c r="AH352" t="str">
        <f t="shared" si="38"/>
        <v>Unknown</v>
      </c>
      <c r="AJ352" t="str">
        <f t="shared" si="39"/>
        <v>High Trust</v>
      </c>
      <c r="AL352">
        <f t="shared" si="40"/>
        <v>88.1</v>
      </c>
      <c r="AM352" t="str">
        <f t="shared" si="41"/>
        <v>Professional</v>
      </c>
    </row>
    <row r="353" spans="1:39" x14ac:dyDescent="0.25">
      <c r="A353" t="s">
        <v>23</v>
      </c>
      <c r="B353" t="s">
        <v>33</v>
      </c>
      <c r="C353">
        <v>86.76</v>
      </c>
      <c r="D353">
        <v>707</v>
      </c>
      <c r="E353" t="b">
        <v>1</v>
      </c>
      <c r="F353" t="b">
        <v>0</v>
      </c>
      <c r="G353" t="b">
        <v>1</v>
      </c>
      <c r="H353" t="s">
        <v>43</v>
      </c>
      <c r="I353" t="s">
        <v>26</v>
      </c>
      <c r="J353" t="s">
        <v>54</v>
      </c>
      <c r="K353" t="s">
        <v>46</v>
      </c>
      <c r="L353" t="s">
        <v>69</v>
      </c>
      <c r="M353" t="s">
        <v>46</v>
      </c>
      <c r="N353" t="s">
        <v>46</v>
      </c>
      <c r="O353" t="b">
        <v>0</v>
      </c>
      <c r="P353" t="b">
        <v>0</v>
      </c>
      <c r="Q353">
        <v>10</v>
      </c>
      <c r="R353" t="b">
        <v>0</v>
      </c>
      <c r="T353">
        <v>0</v>
      </c>
      <c r="U353">
        <v>74.48</v>
      </c>
      <c r="V353" t="b">
        <v>0</v>
      </c>
      <c r="W353" t="s">
        <v>58</v>
      </c>
      <c r="AE353" t="str">
        <f t="shared" si="35"/>
        <v>No</v>
      </c>
      <c r="AF353" t="str">
        <f t="shared" si="36"/>
        <v>Medium</v>
      </c>
      <c r="AG353" t="str">
        <f t="shared" si="37"/>
        <v>No</v>
      </c>
      <c r="AH353" t="str">
        <f t="shared" si="38"/>
        <v>Unknown</v>
      </c>
      <c r="AJ353" t="str">
        <f t="shared" si="39"/>
        <v>High Trust</v>
      </c>
      <c r="AL353">
        <f t="shared" si="40"/>
        <v>74.5</v>
      </c>
      <c r="AM353" t="str">
        <f t="shared" si="41"/>
        <v>Masters</v>
      </c>
    </row>
    <row r="354" spans="1:39" x14ac:dyDescent="0.25">
      <c r="A354" t="s">
        <v>74</v>
      </c>
      <c r="B354" t="s">
        <v>33</v>
      </c>
      <c r="C354">
        <v>85.95</v>
      </c>
      <c r="D354">
        <v>750</v>
      </c>
      <c r="E354" t="b">
        <v>0</v>
      </c>
      <c r="F354" t="b">
        <v>0</v>
      </c>
      <c r="G354" t="b">
        <v>0</v>
      </c>
      <c r="H354" t="s">
        <v>43</v>
      </c>
      <c r="I354" t="s">
        <v>44</v>
      </c>
      <c r="J354" t="s">
        <v>50</v>
      </c>
      <c r="K354" t="s">
        <v>28</v>
      </c>
      <c r="L354" t="s">
        <v>51</v>
      </c>
      <c r="M354" t="s">
        <v>39</v>
      </c>
      <c r="N354" t="s">
        <v>39</v>
      </c>
      <c r="O354" t="b">
        <v>1</v>
      </c>
      <c r="P354" t="b">
        <v>1</v>
      </c>
      <c r="Q354">
        <v>9.6</v>
      </c>
      <c r="R354" t="b">
        <v>0</v>
      </c>
      <c r="T354">
        <v>0</v>
      </c>
      <c r="U354">
        <v>81.680000000000007</v>
      </c>
      <c r="V354" t="b">
        <v>1</v>
      </c>
      <c r="W354" t="s">
        <v>58</v>
      </c>
      <c r="AE354" t="str">
        <f t="shared" si="35"/>
        <v>No</v>
      </c>
      <c r="AF354" t="str">
        <f t="shared" si="36"/>
        <v>High</v>
      </c>
      <c r="AG354" t="str">
        <f t="shared" si="37"/>
        <v>Yes</v>
      </c>
      <c r="AH354" t="str">
        <f t="shared" si="38"/>
        <v>Unknown</v>
      </c>
      <c r="AJ354" t="str">
        <f t="shared" si="39"/>
        <v>High Trust</v>
      </c>
      <c r="AL354">
        <f t="shared" si="40"/>
        <v>81.7</v>
      </c>
      <c r="AM354" t="str">
        <f t="shared" si="41"/>
        <v>Professional</v>
      </c>
    </row>
    <row r="355" spans="1:39" x14ac:dyDescent="0.25">
      <c r="A355" t="s">
        <v>68</v>
      </c>
      <c r="B355" t="s">
        <v>73</v>
      </c>
      <c r="C355">
        <v>61.69</v>
      </c>
      <c r="D355">
        <v>411</v>
      </c>
      <c r="E355" t="b">
        <v>1</v>
      </c>
      <c r="F355" t="b">
        <v>1</v>
      </c>
      <c r="G355" t="b">
        <v>1</v>
      </c>
      <c r="H355" t="s">
        <v>53</v>
      </c>
      <c r="I355" t="s">
        <v>57</v>
      </c>
      <c r="J355" t="s">
        <v>50</v>
      </c>
      <c r="K355" t="s">
        <v>28</v>
      </c>
      <c r="L355" t="s">
        <v>29</v>
      </c>
      <c r="M355" t="s">
        <v>46</v>
      </c>
      <c r="O355" t="b">
        <v>0</v>
      </c>
      <c r="P355" t="b">
        <v>1</v>
      </c>
      <c r="Q355">
        <v>6.7</v>
      </c>
      <c r="R355" t="b">
        <v>1</v>
      </c>
      <c r="S355" t="s">
        <v>52</v>
      </c>
      <c r="T355">
        <v>24.1</v>
      </c>
      <c r="U355">
        <v>48.87</v>
      </c>
      <c r="V355" t="b">
        <v>1</v>
      </c>
      <c r="W355" t="s">
        <v>41</v>
      </c>
      <c r="AE355" t="str">
        <f t="shared" si="35"/>
        <v>Yes</v>
      </c>
      <c r="AF355" t="str">
        <f t="shared" si="36"/>
        <v>Unknown</v>
      </c>
      <c r="AG355" t="str">
        <f t="shared" si="37"/>
        <v>No</v>
      </c>
      <c r="AH355" t="str">
        <f t="shared" si="38"/>
        <v>Checked Official Source</v>
      </c>
      <c r="AJ355" t="str">
        <f t="shared" si="39"/>
        <v>Moderate Trust</v>
      </c>
      <c r="AL355">
        <f t="shared" si="40"/>
        <v>48.9</v>
      </c>
      <c r="AM355" t="str">
        <f t="shared" si="41"/>
        <v>Professional</v>
      </c>
    </row>
    <row r="356" spans="1:39" x14ac:dyDescent="0.25">
      <c r="A356" t="s">
        <v>23</v>
      </c>
      <c r="B356" t="s">
        <v>73</v>
      </c>
      <c r="C356">
        <v>69.98</v>
      </c>
      <c r="D356">
        <v>298</v>
      </c>
      <c r="E356" t="b">
        <v>1</v>
      </c>
      <c r="F356" t="b">
        <v>0</v>
      </c>
      <c r="G356" t="b">
        <v>1</v>
      </c>
      <c r="H356" t="s">
        <v>25</v>
      </c>
      <c r="I356" t="s">
        <v>35</v>
      </c>
      <c r="J356" t="s">
        <v>54</v>
      </c>
      <c r="K356" t="s">
        <v>37</v>
      </c>
      <c r="L356" t="s">
        <v>38</v>
      </c>
      <c r="M356" t="s">
        <v>39</v>
      </c>
      <c r="N356" t="s">
        <v>28</v>
      </c>
      <c r="O356" t="b">
        <v>0</v>
      </c>
      <c r="P356" t="b">
        <v>1</v>
      </c>
      <c r="Q356">
        <v>6.7</v>
      </c>
      <c r="R356" t="b">
        <v>1</v>
      </c>
      <c r="S356" t="s">
        <v>55</v>
      </c>
      <c r="T356">
        <v>37.9</v>
      </c>
      <c r="U356">
        <v>64.989999999999995</v>
      </c>
      <c r="V356" t="b">
        <v>1</v>
      </c>
      <c r="W356" t="s">
        <v>41</v>
      </c>
      <c r="AE356" t="str">
        <f t="shared" si="35"/>
        <v>No</v>
      </c>
      <c r="AF356" t="str">
        <f t="shared" si="36"/>
        <v>Low</v>
      </c>
      <c r="AG356" t="str">
        <f t="shared" si="37"/>
        <v>No</v>
      </c>
      <c r="AH356" t="str">
        <f t="shared" si="38"/>
        <v>Academic Paper</v>
      </c>
      <c r="AJ356" t="str">
        <f t="shared" si="39"/>
        <v>Moderate Trust</v>
      </c>
      <c r="AL356">
        <f t="shared" si="40"/>
        <v>65</v>
      </c>
      <c r="AM356" t="str">
        <f t="shared" si="41"/>
        <v>Masters</v>
      </c>
    </row>
    <row r="357" spans="1:39" x14ac:dyDescent="0.25">
      <c r="A357" t="s">
        <v>74</v>
      </c>
      <c r="B357" t="s">
        <v>60</v>
      </c>
      <c r="C357">
        <v>46.04</v>
      </c>
      <c r="D357">
        <v>513</v>
      </c>
      <c r="E357" t="b">
        <v>0</v>
      </c>
      <c r="F357" t="b">
        <v>0</v>
      </c>
      <c r="G357" t="b">
        <v>1</v>
      </c>
      <c r="H357" t="s">
        <v>25</v>
      </c>
      <c r="I357" t="s">
        <v>26</v>
      </c>
      <c r="J357" t="s">
        <v>27</v>
      </c>
      <c r="K357" t="s">
        <v>37</v>
      </c>
      <c r="L357" t="s">
        <v>51</v>
      </c>
      <c r="M357" t="s">
        <v>28</v>
      </c>
      <c r="N357" t="s">
        <v>39</v>
      </c>
      <c r="P357" t="b">
        <v>1</v>
      </c>
      <c r="Q357">
        <v>5.0999999999999996</v>
      </c>
      <c r="R357" t="b">
        <v>0</v>
      </c>
      <c r="T357">
        <v>0</v>
      </c>
      <c r="U357">
        <v>50.97</v>
      </c>
      <c r="V357" t="b">
        <v>1</v>
      </c>
      <c r="W357" t="s">
        <v>41</v>
      </c>
      <c r="AE357" t="str">
        <f t="shared" si="35"/>
        <v>No</v>
      </c>
      <c r="AF357" t="str">
        <f t="shared" si="36"/>
        <v>High</v>
      </c>
      <c r="AG357" t="str">
        <f t="shared" si="37"/>
        <v>No</v>
      </c>
      <c r="AH357" t="str">
        <f t="shared" si="38"/>
        <v>Unknown</v>
      </c>
      <c r="AJ357" t="str">
        <f t="shared" si="39"/>
        <v>Moderate Trust</v>
      </c>
      <c r="AL357">
        <f t="shared" si="40"/>
        <v>51</v>
      </c>
      <c r="AM357" t="str">
        <f t="shared" si="41"/>
        <v>Bachelors</v>
      </c>
    </row>
    <row r="358" spans="1:39" x14ac:dyDescent="0.25">
      <c r="A358" t="s">
        <v>23</v>
      </c>
      <c r="B358" t="s">
        <v>33</v>
      </c>
      <c r="C358">
        <v>83.28</v>
      </c>
      <c r="D358">
        <v>157</v>
      </c>
      <c r="E358" t="b">
        <v>0</v>
      </c>
      <c r="F358" t="b">
        <v>1</v>
      </c>
      <c r="G358" t="b">
        <v>1</v>
      </c>
      <c r="H358" t="s">
        <v>34</v>
      </c>
      <c r="I358" t="s">
        <v>57</v>
      </c>
      <c r="J358" t="s">
        <v>27</v>
      </c>
      <c r="K358" t="s">
        <v>28</v>
      </c>
      <c r="L358" t="s">
        <v>37</v>
      </c>
      <c r="M358" t="s">
        <v>39</v>
      </c>
      <c r="N358" t="s">
        <v>28</v>
      </c>
      <c r="P358" t="b">
        <v>1</v>
      </c>
      <c r="Q358">
        <v>7.6</v>
      </c>
      <c r="R358" t="b">
        <v>1</v>
      </c>
      <c r="S358" t="s">
        <v>75</v>
      </c>
      <c r="T358">
        <v>40.5</v>
      </c>
      <c r="U358">
        <v>71.92</v>
      </c>
      <c r="V358" t="b">
        <v>1</v>
      </c>
      <c r="W358" t="s">
        <v>41</v>
      </c>
      <c r="AE358" t="str">
        <f t="shared" si="35"/>
        <v>Yes</v>
      </c>
      <c r="AF358" t="str">
        <f t="shared" si="36"/>
        <v>Low</v>
      </c>
      <c r="AG358" t="str">
        <f t="shared" si="37"/>
        <v>No</v>
      </c>
      <c r="AH358" t="str">
        <f t="shared" si="38"/>
        <v>Asked Colleague</v>
      </c>
      <c r="AJ358" t="str">
        <f t="shared" si="39"/>
        <v>Moderate Trust</v>
      </c>
      <c r="AL358">
        <f t="shared" si="40"/>
        <v>71.900000000000006</v>
      </c>
      <c r="AM358" t="str">
        <f t="shared" si="41"/>
        <v>Bachelors</v>
      </c>
    </row>
    <row r="359" spans="1:39" x14ac:dyDescent="0.25">
      <c r="A359" t="s">
        <v>61</v>
      </c>
      <c r="B359" t="s">
        <v>62</v>
      </c>
      <c r="C359">
        <v>56.84</v>
      </c>
      <c r="D359">
        <v>127</v>
      </c>
      <c r="E359" t="b">
        <v>0</v>
      </c>
      <c r="F359" t="b">
        <v>0</v>
      </c>
      <c r="G359" t="b">
        <v>1</v>
      </c>
      <c r="H359" t="s">
        <v>34</v>
      </c>
      <c r="I359" t="s">
        <v>57</v>
      </c>
      <c r="J359" t="s">
        <v>27</v>
      </c>
      <c r="K359" t="s">
        <v>28</v>
      </c>
      <c r="L359" t="s">
        <v>51</v>
      </c>
      <c r="M359" t="s">
        <v>46</v>
      </c>
      <c r="N359" t="s">
        <v>46</v>
      </c>
      <c r="O359" t="b">
        <v>1</v>
      </c>
      <c r="P359" t="b">
        <v>0</v>
      </c>
      <c r="Q359">
        <v>8.3000000000000007</v>
      </c>
      <c r="R359" t="b">
        <v>1</v>
      </c>
      <c r="S359" t="s">
        <v>65</v>
      </c>
      <c r="T359">
        <v>34</v>
      </c>
      <c r="U359">
        <v>43.79</v>
      </c>
      <c r="V359" t="b">
        <v>0</v>
      </c>
      <c r="W359" t="s">
        <v>31</v>
      </c>
      <c r="AE359" t="str">
        <f t="shared" si="35"/>
        <v>No</v>
      </c>
      <c r="AF359" t="str">
        <f t="shared" si="36"/>
        <v>Medium</v>
      </c>
      <c r="AG359" t="str">
        <f t="shared" si="37"/>
        <v>Yes</v>
      </c>
      <c r="AH359" t="str">
        <f t="shared" si="38"/>
        <v>Cross-referenced Multiple AIs</v>
      </c>
      <c r="AJ359" t="str">
        <f t="shared" si="39"/>
        <v>High Trust</v>
      </c>
      <c r="AL359">
        <f t="shared" si="40"/>
        <v>43.8</v>
      </c>
      <c r="AM359" t="str">
        <f t="shared" si="41"/>
        <v>Bachelors</v>
      </c>
    </row>
    <row r="360" spans="1:39" x14ac:dyDescent="0.25">
      <c r="A360" t="s">
        <v>68</v>
      </c>
      <c r="B360" t="s">
        <v>71</v>
      </c>
      <c r="C360">
        <v>48.63</v>
      </c>
      <c r="D360">
        <v>417</v>
      </c>
      <c r="E360" t="b">
        <v>1</v>
      </c>
      <c r="F360" t="b">
        <v>0</v>
      </c>
      <c r="G360" t="b">
        <v>1</v>
      </c>
      <c r="H360" t="s">
        <v>34</v>
      </c>
      <c r="I360" t="s">
        <v>44</v>
      </c>
      <c r="J360" t="s">
        <v>45</v>
      </c>
      <c r="K360" t="s">
        <v>28</v>
      </c>
      <c r="L360" t="s">
        <v>69</v>
      </c>
      <c r="M360" t="s">
        <v>28</v>
      </c>
      <c r="N360" t="s">
        <v>28</v>
      </c>
      <c r="O360" t="b">
        <v>0</v>
      </c>
      <c r="P360" t="b">
        <v>0</v>
      </c>
      <c r="Q360">
        <v>7.2</v>
      </c>
      <c r="R360" t="b">
        <v>0</v>
      </c>
      <c r="T360">
        <v>0</v>
      </c>
      <c r="U360">
        <v>29.53</v>
      </c>
      <c r="V360" t="b">
        <v>0</v>
      </c>
      <c r="W360" t="s">
        <v>31</v>
      </c>
      <c r="AE360" t="str">
        <f t="shared" si="35"/>
        <v>No</v>
      </c>
      <c r="AF360" t="str">
        <f t="shared" si="36"/>
        <v>Low</v>
      </c>
      <c r="AG360" t="str">
        <f t="shared" si="37"/>
        <v>No</v>
      </c>
      <c r="AH360" t="str">
        <f t="shared" si="38"/>
        <v>Unknown</v>
      </c>
      <c r="AJ360" t="str">
        <f t="shared" si="39"/>
        <v>Moderate Trust</v>
      </c>
      <c r="AL360">
        <f t="shared" si="40"/>
        <v>29.5</v>
      </c>
      <c r="AM360" t="str">
        <f t="shared" si="41"/>
        <v>High School</v>
      </c>
    </row>
    <row r="361" spans="1:39" x14ac:dyDescent="0.25">
      <c r="A361" t="s">
        <v>68</v>
      </c>
      <c r="B361" t="s">
        <v>33</v>
      </c>
      <c r="C361">
        <v>89.42</v>
      </c>
      <c r="D361">
        <v>279</v>
      </c>
      <c r="E361" t="b">
        <v>0</v>
      </c>
      <c r="F361" t="b">
        <v>0</v>
      </c>
      <c r="G361" t="b">
        <v>1</v>
      </c>
      <c r="H361" t="s">
        <v>43</v>
      </c>
      <c r="I361" t="s">
        <v>35</v>
      </c>
      <c r="J361" t="s">
        <v>54</v>
      </c>
      <c r="K361" t="s">
        <v>39</v>
      </c>
      <c r="L361" t="s">
        <v>29</v>
      </c>
      <c r="M361" t="s">
        <v>46</v>
      </c>
      <c r="N361" t="s">
        <v>46</v>
      </c>
      <c r="O361" t="b">
        <v>0</v>
      </c>
      <c r="P361" t="b">
        <v>1</v>
      </c>
      <c r="Q361">
        <v>8.4</v>
      </c>
      <c r="R361" t="b">
        <v>0</v>
      </c>
      <c r="T361">
        <v>0</v>
      </c>
      <c r="U361">
        <v>84.86</v>
      </c>
      <c r="V361" t="b">
        <v>1</v>
      </c>
      <c r="W361" t="s">
        <v>58</v>
      </c>
      <c r="AE361" t="str">
        <f t="shared" si="35"/>
        <v>No</v>
      </c>
      <c r="AF361" t="str">
        <f t="shared" si="36"/>
        <v>Medium</v>
      </c>
      <c r="AG361" t="str">
        <f t="shared" si="37"/>
        <v>No</v>
      </c>
      <c r="AH361" t="str">
        <f t="shared" si="38"/>
        <v>Unknown</v>
      </c>
      <c r="AJ361" t="str">
        <f t="shared" si="39"/>
        <v>High Trust</v>
      </c>
      <c r="AL361">
        <f t="shared" si="40"/>
        <v>84.9</v>
      </c>
      <c r="AM361" t="str">
        <f t="shared" si="41"/>
        <v>Masters</v>
      </c>
    </row>
    <row r="362" spans="1:39" x14ac:dyDescent="0.25">
      <c r="A362" t="s">
        <v>23</v>
      </c>
      <c r="B362" t="s">
        <v>62</v>
      </c>
      <c r="C362">
        <v>74.66</v>
      </c>
      <c r="D362">
        <v>579</v>
      </c>
      <c r="E362" t="b">
        <v>0</v>
      </c>
      <c r="F362" t="b">
        <v>0</v>
      </c>
      <c r="G362" t="b">
        <v>1</v>
      </c>
      <c r="H362" t="s">
        <v>25</v>
      </c>
      <c r="I362" t="s">
        <v>67</v>
      </c>
      <c r="J362" t="s">
        <v>36</v>
      </c>
      <c r="K362" t="s">
        <v>46</v>
      </c>
      <c r="L362" t="s">
        <v>69</v>
      </c>
      <c r="M362" t="s">
        <v>28</v>
      </c>
      <c r="P362" t="b">
        <v>0</v>
      </c>
      <c r="Q362">
        <v>9.1</v>
      </c>
      <c r="R362" t="b">
        <v>1</v>
      </c>
      <c r="S362" t="s">
        <v>55</v>
      </c>
      <c r="T362">
        <v>29.1</v>
      </c>
      <c r="U362">
        <v>83.64</v>
      </c>
      <c r="V362" t="b">
        <v>1</v>
      </c>
      <c r="W362" t="s">
        <v>31</v>
      </c>
      <c r="AE362" t="str">
        <f t="shared" si="35"/>
        <v>No</v>
      </c>
      <c r="AF362" t="str">
        <f t="shared" si="36"/>
        <v>Unknown</v>
      </c>
      <c r="AG362" t="str">
        <f t="shared" si="37"/>
        <v>No</v>
      </c>
      <c r="AH362" t="str">
        <f t="shared" si="38"/>
        <v>Academic Paper</v>
      </c>
      <c r="AJ362" t="str">
        <f t="shared" si="39"/>
        <v>High Trust</v>
      </c>
      <c r="AL362">
        <f t="shared" si="40"/>
        <v>83.6</v>
      </c>
      <c r="AM362" t="str">
        <f t="shared" si="41"/>
        <v>PhD</v>
      </c>
    </row>
    <row r="363" spans="1:39" x14ac:dyDescent="0.25">
      <c r="A363" t="s">
        <v>32</v>
      </c>
      <c r="B363" t="s">
        <v>73</v>
      </c>
      <c r="C363">
        <v>45.19</v>
      </c>
      <c r="D363">
        <v>586</v>
      </c>
      <c r="E363" t="b">
        <v>1</v>
      </c>
      <c r="F363" t="b">
        <v>1</v>
      </c>
      <c r="G363" t="b">
        <v>1</v>
      </c>
      <c r="H363" t="s">
        <v>53</v>
      </c>
      <c r="I363" t="s">
        <v>44</v>
      </c>
      <c r="J363" t="s">
        <v>54</v>
      </c>
      <c r="K363" t="s">
        <v>28</v>
      </c>
      <c r="L363" t="s">
        <v>37</v>
      </c>
      <c r="M363" t="s">
        <v>46</v>
      </c>
      <c r="O363" t="b">
        <v>1</v>
      </c>
      <c r="P363" t="b">
        <v>0</v>
      </c>
      <c r="Q363">
        <v>7.6</v>
      </c>
      <c r="R363" t="b">
        <v>1</v>
      </c>
      <c r="S363" t="s">
        <v>30</v>
      </c>
      <c r="T363">
        <v>44.1</v>
      </c>
      <c r="U363">
        <v>41.67</v>
      </c>
      <c r="V363" t="b">
        <v>0</v>
      </c>
      <c r="W363" t="s">
        <v>41</v>
      </c>
      <c r="AE363" t="str">
        <f t="shared" si="35"/>
        <v>Yes</v>
      </c>
      <c r="AF363" t="str">
        <f t="shared" si="36"/>
        <v>Unknown</v>
      </c>
      <c r="AG363" t="str">
        <f t="shared" si="37"/>
        <v>Yes</v>
      </c>
      <c r="AH363" t="str">
        <f t="shared" si="38"/>
        <v>Google Search</v>
      </c>
      <c r="AJ363" t="str">
        <f t="shared" si="39"/>
        <v>Moderate Trust</v>
      </c>
      <c r="AL363">
        <f t="shared" si="40"/>
        <v>41.7</v>
      </c>
      <c r="AM363" t="str">
        <f t="shared" si="41"/>
        <v>Masters</v>
      </c>
    </row>
    <row r="364" spans="1:39" x14ac:dyDescent="0.25">
      <c r="A364" t="s">
        <v>32</v>
      </c>
      <c r="B364" t="s">
        <v>62</v>
      </c>
      <c r="C364">
        <v>74.73</v>
      </c>
      <c r="D364">
        <v>325</v>
      </c>
      <c r="E364" t="b">
        <v>0</v>
      </c>
      <c r="F364" t="b">
        <v>0</v>
      </c>
      <c r="G364" t="b">
        <v>1</v>
      </c>
      <c r="H364" t="s">
        <v>34</v>
      </c>
      <c r="I364" t="s">
        <v>67</v>
      </c>
      <c r="J364" t="s">
        <v>36</v>
      </c>
      <c r="K364" t="s">
        <v>37</v>
      </c>
      <c r="L364" t="s">
        <v>37</v>
      </c>
      <c r="M364" t="s">
        <v>47</v>
      </c>
      <c r="N364" t="s">
        <v>28</v>
      </c>
      <c r="O364" t="b">
        <v>0</v>
      </c>
      <c r="P364" t="b">
        <v>0</v>
      </c>
      <c r="Q364">
        <v>5.2</v>
      </c>
      <c r="R364" t="b">
        <v>1</v>
      </c>
      <c r="S364" t="s">
        <v>48</v>
      </c>
      <c r="T364">
        <v>10.199999999999999</v>
      </c>
      <c r="U364">
        <v>77.760000000000005</v>
      </c>
      <c r="V364" t="b">
        <v>0</v>
      </c>
      <c r="W364" t="s">
        <v>41</v>
      </c>
      <c r="AE364" t="str">
        <f t="shared" si="35"/>
        <v>No</v>
      </c>
      <c r="AF364" t="str">
        <f t="shared" si="36"/>
        <v>Low</v>
      </c>
      <c r="AG364" t="str">
        <f t="shared" si="37"/>
        <v>No</v>
      </c>
      <c r="AH364" t="str">
        <f t="shared" si="38"/>
        <v>Consulted Documentation</v>
      </c>
      <c r="AJ364" t="str">
        <f t="shared" si="39"/>
        <v>Moderate Trust</v>
      </c>
      <c r="AL364">
        <f t="shared" si="40"/>
        <v>77.8</v>
      </c>
      <c r="AM364" t="str">
        <f t="shared" si="41"/>
        <v>PhD</v>
      </c>
    </row>
    <row r="365" spans="1:39" x14ac:dyDescent="0.25">
      <c r="A365" t="s">
        <v>32</v>
      </c>
      <c r="B365" t="s">
        <v>73</v>
      </c>
      <c r="C365">
        <v>47.95</v>
      </c>
      <c r="D365">
        <v>442</v>
      </c>
      <c r="E365" t="b">
        <v>1</v>
      </c>
      <c r="F365" t="b">
        <v>1</v>
      </c>
      <c r="G365" t="b">
        <v>1</v>
      </c>
      <c r="H365" t="s">
        <v>25</v>
      </c>
      <c r="I365" t="s">
        <v>35</v>
      </c>
      <c r="J365" t="s">
        <v>45</v>
      </c>
      <c r="K365" t="s">
        <v>39</v>
      </c>
      <c r="L365" t="s">
        <v>38</v>
      </c>
      <c r="M365" t="s">
        <v>46</v>
      </c>
      <c r="N365" t="s">
        <v>46</v>
      </c>
      <c r="P365" t="b">
        <v>0</v>
      </c>
      <c r="Q365">
        <v>5.6</v>
      </c>
      <c r="R365" t="b">
        <v>1</v>
      </c>
      <c r="S365" t="s">
        <v>48</v>
      </c>
      <c r="T365">
        <v>3.3</v>
      </c>
      <c r="U365">
        <v>57.92</v>
      </c>
      <c r="V365" t="b">
        <v>1</v>
      </c>
      <c r="W365" t="s">
        <v>41</v>
      </c>
      <c r="AE365" t="str">
        <f t="shared" si="35"/>
        <v>Yes</v>
      </c>
      <c r="AF365" t="str">
        <f t="shared" si="36"/>
        <v>Medium</v>
      </c>
      <c r="AG365" t="str">
        <f t="shared" si="37"/>
        <v>No</v>
      </c>
      <c r="AH365" t="str">
        <f t="shared" si="38"/>
        <v>Consulted Documentation</v>
      </c>
      <c r="AJ365" t="str">
        <f t="shared" si="39"/>
        <v>Moderate Trust</v>
      </c>
      <c r="AL365">
        <f t="shared" si="40"/>
        <v>57.9</v>
      </c>
      <c r="AM365" t="str">
        <f t="shared" si="41"/>
        <v>High School</v>
      </c>
    </row>
    <row r="366" spans="1:39" x14ac:dyDescent="0.25">
      <c r="A366" t="s">
        <v>56</v>
      </c>
      <c r="B366" t="s">
        <v>76</v>
      </c>
      <c r="C366">
        <v>77.569999999999993</v>
      </c>
      <c r="D366">
        <v>761</v>
      </c>
      <c r="E366" t="b">
        <v>0</v>
      </c>
      <c r="F366" t="b">
        <v>1</v>
      </c>
      <c r="G366" t="b">
        <v>1</v>
      </c>
      <c r="H366" t="s">
        <v>43</v>
      </c>
      <c r="I366" t="s">
        <v>67</v>
      </c>
      <c r="J366" t="s">
        <v>50</v>
      </c>
      <c r="K366" t="s">
        <v>37</v>
      </c>
      <c r="L366" t="s">
        <v>29</v>
      </c>
      <c r="M366" t="s">
        <v>46</v>
      </c>
      <c r="N366" t="s">
        <v>46</v>
      </c>
      <c r="P366" t="b">
        <v>1</v>
      </c>
      <c r="Q366">
        <v>7.1</v>
      </c>
      <c r="R366" t="b">
        <v>0</v>
      </c>
      <c r="T366">
        <v>0</v>
      </c>
      <c r="U366">
        <v>66.849999999999994</v>
      </c>
      <c r="V366" t="b">
        <v>1</v>
      </c>
      <c r="W366" t="s">
        <v>31</v>
      </c>
      <c r="AE366" t="str">
        <f t="shared" si="35"/>
        <v>Yes</v>
      </c>
      <c r="AF366" t="str">
        <f t="shared" si="36"/>
        <v>Medium</v>
      </c>
      <c r="AG366" t="str">
        <f t="shared" si="37"/>
        <v>No</v>
      </c>
      <c r="AH366" t="str">
        <f t="shared" si="38"/>
        <v>Unknown</v>
      </c>
      <c r="AJ366" t="str">
        <f t="shared" si="39"/>
        <v>Moderate Trust</v>
      </c>
      <c r="AL366">
        <f t="shared" si="40"/>
        <v>66.900000000000006</v>
      </c>
      <c r="AM366" t="str">
        <f t="shared" si="41"/>
        <v>Professional</v>
      </c>
    </row>
    <row r="367" spans="1:39" x14ac:dyDescent="0.25">
      <c r="A367" t="s">
        <v>23</v>
      </c>
      <c r="B367" t="s">
        <v>60</v>
      </c>
      <c r="C367">
        <v>62.73</v>
      </c>
      <c r="D367">
        <v>716</v>
      </c>
      <c r="E367" t="b">
        <v>0</v>
      </c>
      <c r="F367" t="b">
        <v>0</v>
      </c>
      <c r="G367" t="b">
        <v>1</v>
      </c>
      <c r="H367" t="s">
        <v>53</v>
      </c>
      <c r="I367" t="s">
        <v>44</v>
      </c>
      <c r="J367" t="s">
        <v>27</v>
      </c>
      <c r="K367" t="s">
        <v>37</v>
      </c>
      <c r="L367" t="s">
        <v>29</v>
      </c>
      <c r="M367" t="s">
        <v>39</v>
      </c>
      <c r="N367" t="s">
        <v>46</v>
      </c>
      <c r="O367" t="b">
        <v>0</v>
      </c>
      <c r="P367" t="b">
        <v>0</v>
      </c>
      <c r="Q367">
        <v>5.2</v>
      </c>
      <c r="R367" t="b">
        <v>1</v>
      </c>
      <c r="S367" t="s">
        <v>75</v>
      </c>
      <c r="T367">
        <v>23.7</v>
      </c>
      <c r="U367">
        <v>76.41</v>
      </c>
      <c r="V367" t="b">
        <v>0</v>
      </c>
      <c r="W367" t="s">
        <v>41</v>
      </c>
      <c r="AE367" t="str">
        <f t="shared" si="35"/>
        <v>No</v>
      </c>
      <c r="AF367" t="str">
        <f t="shared" si="36"/>
        <v>Medium</v>
      </c>
      <c r="AG367" t="str">
        <f t="shared" si="37"/>
        <v>No</v>
      </c>
      <c r="AH367" t="str">
        <f t="shared" si="38"/>
        <v>Asked Colleague</v>
      </c>
      <c r="AJ367" t="str">
        <f t="shared" si="39"/>
        <v>Moderate Trust</v>
      </c>
      <c r="AL367">
        <f t="shared" si="40"/>
        <v>76.400000000000006</v>
      </c>
      <c r="AM367" t="str">
        <f t="shared" si="41"/>
        <v>Bachelors</v>
      </c>
    </row>
    <row r="368" spans="1:39" x14ac:dyDescent="0.25">
      <c r="A368" t="s">
        <v>74</v>
      </c>
      <c r="B368" t="s">
        <v>70</v>
      </c>
      <c r="C368">
        <v>74.739999999999995</v>
      </c>
      <c r="D368">
        <v>470</v>
      </c>
      <c r="E368" t="b">
        <v>0</v>
      </c>
      <c r="F368" t="b">
        <v>1</v>
      </c>
      <c r="G368" t="b">
        <v>0</v>
      </c>
      <c r="H368" t="s">
        <v>25</v>
      </c>
      <c r="I368" t="s">
        <v>35</v>
      </c>
      <c r="J368" t="s">
        <v>27</v>
      </c>
      <c r="K368" t="s">
        <v>46</v>
      </c>
      <c r="L368" t="s">
        <v>51</v>
      </c>
      <c r="M368" t="s">
        <v>39</v>
      </c>
      <c r="N368" t="s">
        <v>39</v>
      </c>
      <c r="O368" t="b">
        <v>1</v>
      </c>
      <c r="P368" t="b">
        <v>1</v>
      </c>
      <c r="Q368">
        <v>8.1999999999999993</v>
      </c>
      <c r="R368" t="b">
        <v>0</v>
      </c>
      <c r="T368">
        <v>0</v>
      </c>
      <c r="U368">
        <v>70.489999999999995</v>
      </c>
      <c r="V368" t="b">
        <v>1</v>
      </c>
      <c r="W368" t="s">
        <v>58</v>
      </c>
      <c r="AE368" t="str">
        <f t="shared" si="35"/>
        <v>Yes</v>
      </c>
      <c r="AF368" t="str">
        <f t="shared" si="36"/>
        <v>High</v>
      </c>
      <c r="AG368" t="str">
        <f t="shared" si="37"/>
        <v>Yes</v>
      </c>
      <c r="AH368" t="str">
        <f t="shared" si="38"/>
        <v>Unknown</v>
      </c>
      <c r="AJ368" t="str">
        <f t="shared" si="39"/>
        <v>High Trust</v>
      </c>
      <c r="AL368">
        <f t="shared" si="40"/>
        <v>70.5</v>
      </c>
      <c r="AM368" t="str">
        <f t="shared" si="41"/>
        <v>Bachelors</v>
      </c>
    </row>
    <row r="369" spans="1:39" x14ac:dyDescent="0.25">
      <c r="A369" t="s">
        <v>74</v>
      </c>
      <c r="B369" t="s">
        <v>42</v>
      </c>
      <c r="C369">
        <v>79.430000000000007</v>
      </c>
      <c r="D369">
        <v>543</v>
      </c>
      <c r="E369" t="b">
        <v>0</v>
      </c>
      <c r="F369" t="b">
        <v>0</v>
      </c>
      <c r="G369" t="b">
        <v>1</v>
      </c>
      <c r="H369" t="s">
        <v>25</v>
      </c>
      <c r="I369" t="s">
        <v>44</v>
      </c>
      <c r="J369" t="s">
        <v>36</v>
      </c>
      <c r="K369" t="s">
        <v>46</v>
      </c>
      <c r="L369" t="s">
        <v>29</v>
      </c>
      <c r="M369" t="s">
        <v>28</v>
      </c>
      <c r="N369" t="s">
        <v>28</v>
      </c>
      <c r="O369" t="b">
        <v>1</v>
      </c>
      <c r="P369" t="b">
        <v>0</v>
      </c>
      <c r="Q369">
        <v>10</v>
      </c>
      <c r="R369" t="b">
        <v>1</v>
      </c>
      <c r="S369" t="s">
        <v>65</v>
      </c>
      <c r="T369">
        <v>29.1</v>
      </c>
      <c r="U369">
        <v>90.1</v>
      </c>
      <c r="V369" t="b">
        <v>1</v>
      </c>
      <c r="W369" t="s">
        <v>31</v>
      </c>
      <c r="AE369" t="str">
        <f t="shared" si="35"/>
        <v>No</v>
      </c>
      <c r="AF369" t="str">
        <f t="shared" si="36"/>
        <v>Low</v>
      </c>
      <c r="AG369" t="str">
        <f t="shared" si="37"/>
        <v>Yes</v>
      </c>
      <c r="AH369" t="str">
        <f t="shared" si="38"/>
        <v>Cross-referenced Multiple AIs</v>
      </c>
      <c r="AJ369" t="str">
        <f t="shared" si="39"/>
        <v>High Trust</v>
      </c>
      <c r="AL369">
        <f t="shared" si="40"/>
        <v>90.1</v>
      </c>
      <c r="AM369" t="str">
        <f t="shared" si="41"/>
        <v>PhD</v>
      </c>
    </row>
    <row r="370" spans="1:39" x14ac:dyDescent="0.25">
      <c r="A370" t="s">
        <v>74</v>
      </c>
      <c r="B370" t="s">
        <v>24</v>
      </c>
      <c r="C370">
        <v>96.38</v>
      </c>
      <c r="D370">
        <v>670</v>
      </c>
      <c r="E370" t="b">
        <v>0</v>
      </c>
      <c r="F370" t="b">
        <v>0</v>
      </c>
      <c r="G370" t="b">
        <v>0</v>
      </c>
      <c r="H370" t="s">
        <v>53</v>
      </c>
      <c r="I370" t="s">
        <v>67</v>
      </c>
      <c r="J370" t="s">
        <v>54</v>
      </c>
      <c r="K370" t="s">
        <v>39</v>
      </c>
      <c r="L370" t="s">
        <v>69</v>
      </c>
      <c r="M370" t="s">
        <v>39</v>
      </c>
      <c r="N370" t="s">
        <v>46</v>
      </c>
      <c r="O370" t="b">
        <v>0</v>
      </c>
      <c r="P370" t="b">
        <v>1</v>
      </c>
      <c r="Q370">
        <v>8.8000000000000007</v>
      </c>
      <c r="R370" t="b">
        <v>1</v>
      </c>
      <c r="S370" t="s">
        <v>48</v>
      </c>
      <c r="T370">
        <v>41</v>
      </c>
      <c r="U370">
        <v>100</v>
      </c>
      <c r="V370" t="b">
        <v>1</v>
      </c>
      <c r="W370" t="s">
        <v>31</v>
      </c>
      <c r="AE370" t="str">
        <f t="shared" si="35"/>
        <v>No</v>
      </c>
      <c r="AF370" t="str">
        <f t="shared" si="36"/>
        <v>Medium</v>
      </c>
      <c r="AG370" t="str">
        <f t="shared" si="37"/>
        <v>No</v>
      </c>
      <c r="AH370" t="str">
        <f t="shared" si="38"/>
        <v>Consulted Documentation</v>
      </c>
      <c r="AJ370" t="str">
        <f t="shared" si="39"/>
        <v>High Trust</v>
      </c>
      <c r="AL370">
        <f t="shared" si="40"/>
        <v>100</v>
      </c>
      <c r="AM370" t="str">
        <f t="shared" si="41"/>
        <v>Masters</v>
      </c>
    </row>
    <row r="371" spans="1:39" x14ac:dyDescent="0.25">
      <c r="A371" t="s">
        <v>74</v>
      </c>
      <c r="B371" t="s">
        <v>70</v>
      </c>
      <c r="C371">
        <v>74.7</v>
      </c>
      <c r="D371">
        <v>194</v>
      </c>
      <c r="E371" t="b">
        <v>1</v>
      </c>
      <c r="F371" t="b">
        <v>0</v>
      </c>
      <c r="G371" t="b">
        <v>1</v>
      </c>
      <c r="H371" t="s">
        <v>34</v>
      </c>
      <c r="I371" t="s">
        <v>57</v>
      </c>
      <c r="J371" t="s">
        <v>36</v>
      </c>
      <c r="K371" t="s">
        <v>39</v>
      </c>
      <c r="L371" t="s">
        <v>38</v>
      </c>
      <c r="M371" t="s">
        <v>47</v>
      </c>
      <c r="P371" t="b">
        <v>0</v>
      </c>
      <c r="Q371">
        <v>8</v>
      </c>
      <c r="R371" t="b">
        <v>1</v>
      </c>
      <c r="S371" t="s">
        <v>65</v>
      </c>
      <c r="T371">
        <v>13.5</v>
      </c>
      <c r="U371">
        <v>74.760000000000005</v>
      </c>
      <c r="V371" t="b">
        <v>1</v>
      </c>
      <c r="W371" t="s">
        <v>31</v>
      </c>
      <c r="AE371" t="str">
        <f t="shared" si="35"/>
        <v>No</v>
      </c>
      <c r="AF371" t="str">
        <f t="shared" si="36"/>
        <v>Unknown</v>
      </c>
      <c r="AG371" t="str">
        <f t="shared" si="37"/>
        <v>No</v>
      </c>
      <c r="AH371" t="str">
        <f t="shared" si="38"/>
        <v>Cross-referenced Multiple AIs</v>
      </c>
      <c r="AJ371" t="str">
        <f t="shared" si="39"/>
        <v>High Trust</v>
      </c>
      <c r="AL371">
        <f t="shared" si="40"/>
        <v>74.8</v>
      </c>
      <c r="AM371" t="str">
        <f t="shared" si="41"/>
        <v>PhD</v>
      </c>
    </row>
    <row r="372" spans="1:39" x14ac:dyDescent="0.25">
      <c r="A372" t="s">
        <v>32</v>
      </c>
      <c r="B372" t="s">
        <v>70</v>
      </c>
      <c r="C372">
        <v>80.400000000000006</v>
      </c>
      <c r="D372">
        <v>313</v>
      </c>
      <c r="E372" t="b">
        <v>1</v>
      </c>
      <c r="F372" t="b">
        <v>1</v>
      </c>
      <c r="G372" t="b">
        <v>1</v>
      </c>
      <c r="H372" t="s">
        <v>43</v>
      </c>
      <c r="I372" t="s">
        <v>67</v>
      </c>
      <c r="J372" t="s">
        <v>50</v>
      </c>
      <c r="K372" t="s">
        <v>28</v>
      </c>
      <c r="L372" t="s">
        <v>29</v>
      </c>
      <c r="M372" t="s">
        <v>39</v>
      </c>
      <c r="N372" t="s">
        <v>39</v>
      </c>
      <c r="P372" t="b">
        <v>0</v>
      </c>
      <c r="Q372">
        <v>8.8000000000000007</v>
      </c>
      <c r="R372" t="b">
        <v>1</v>
      </c>
      <c r="S372" t="s">
        <v>40</v>
      </c>
      <c r="T372">
        <v>19.5</v>
      </c>
      <c r="U372">
        <v>65.8</v>
      </c>
      <c r="V372" t="b">
        <v>0</v>
      </c>
      <c r="W372" t="s">
        <v>31</v>
      </c>
      <c r="AE372" t="str">
        <f t="shared" si="35"/>
        <v>Yes</v>
      </c>
      <c r="AF372" t="str">
        <f t="shared" si="36"/>
        <v>High</v>
      </c>
      <c r="AG372" t="str">
        <f t="shared" si="37"/>
        <v>No</v>
      </c>
      <c r="AH372" t="str">
        <f t="shared" si="38"/>
        <v>Asked Expert</v>
      </c>
      <c r="AJ372" t="str">
        <f t="shared" si="39"/>
        <v>High Trust</v>
      </c>
      <c r="AL372">
        <f t="shared" si="40"/>
        <v>65.8</v>
      </c>
      <c r="AM372" t="str">
        <f t="shared" si="41"/>
        <v>Professional</v>
      </c>
    </row>
    <row r="373" spans="1:39" x14ac:dyDescent="0.25">
      <c r="A373" t="s">
        <v>23</v>
      </c>
      <c r="B373" t="s">
        <v>76</v>
      </c>
      <c r="C373">
        <v>75.05</v>
      </c>
      <c r="D373">
        <v>173</v>
      </c>
      <c r="E373" t="b">
        <v>1</v>
      </c>
      <c r="F373" t="b">
        <v>0</v>
      </c>
      <c r="G373" t="b">
        <v>1</v>
      </c>
      <c r="H373" t="s">
        <v>25</v>
      </c>
      <c r="I373" t="s">
        <v>35</v>
      </c>
      <c r="J373" t="s">
        <v>27</v>
      </c>
      <c r="K373" t="s">
        <v>39</v>
      </c>
      <c r="L373" t="s">
        <v>69</v>
      </c>
      <c r="M373" t="s">
        <v>28</v>
      </c>
      <c r="N373" t="s">
        <v>46</v>
      </c>
      <c r="P373" t="b">
        <v>0</v>
      </c>
      <c r="Q373">
        <v>9.6</v>
      </c>
      <c r="R373" t="b">
        <v>0</v>
      </c>
      <c r="T373">
        <v>0</v>
      </c>
      <c r="U373">
        <v>88.77</v>
      </c>
      <c r="V373" t="b">
        <v>1</v>
      </c>
      <c r="W373" t="s">
        <v>58</v>
      </c>
      <c r="AE373" t="str">
        <f t="shared" si="35"/>
        <v>No</v>
      </c>
      <c r="AF373" t="str">
        <f t="shared" si="36"/>
        <v>Medium</v>
      </c>
      <c r="AG373" t="str">
        <f t="shared" si="37"/>
        <v>No</v>
      </c>
      <c r="AH373" t="str">
        <f t="shared" si="38"/>
        <v>Unknown</v>
      </c>
      <c r="AJ373" t="str">
        <f t="shared" si="39"/>
        <v>High Trust</v>
      </c>
      <c r="AL373">
        <f t="shared" si="40"/>
        <v>88.8</v>
      </c>
      <c r="AM373" t="str">
        <f t="shared" si="41"/>
        <v>Bachelors</v>
      </c>
    </row>
    <row r="374" spans="1:39" x14ac:dyDescent="0.25">
      <c r="A374" t="s">
        <v>61</v>
      </c>
      <c r="B374" t="s">
        <v>62</v>
      </c>
      <c r="C374">
        <v>67.83</v>
      </c>
      <c r="D374">
        <v>423</v>
      </c>
      <c r="E374" t="b">
        <v>0</v>
      </c>
      <c r="F374" t="b">
        <v>1</v>
      </c>
      <c r="G374" t="b">
        <v>1</v>
      </c>
      <c r="H374" t="s">
        <v>25</v>
      </c>
      <c r="I374" t="s">
        <v>57</v>
      </c>
      <c r="J374" t="s">
        <v>54</v>
      </c>
      <c r="K374" t="s">
        <v>39</v>
      </c>
      <c r="L374" t="s">
        <v>29</v>
      </c>
      <c r="M374" t="s">
        <v>47</v>
      </c>
      <c r="N374" t="s">
        <v>46</v>
      </c>
      <c r="O374" t="b">
        <v>0</v>
      </c>
      <c r="P374" t="b">
        <v>1</v>
      </c>
      <c r="Q374">
        <v>4.4000000000000004</v>
      </c>
      <c r="R374" t="b">
        <v>1</v>
      </c>
      <c r="S374" t="s">
        <v>48</v>
      </c>
      <c r="T374">
        <v>25.8</v>
      </c>
      <c r="U374">
        <v>72.56</v>
      </c>
      <c r="V374" t="b">
        <v>0</v>
      </c>
      <c r="W374" t="s">
        <v>72</v>
      </c>
      <c r="AE374" t="str">
        <f t="shared" si="35"/>
        <v>Yes</v>
      </c>
      <c r="AF374" t="str">
        <f t="shared" si="36"/>
        <v>Medium</v>
      </c>
      <c r="AG374" t="str">
        <f t="shared" si="37"/>
        <v>No</v>
      </c>
      <c r="AH374" t="str">
        <f t="shared" si="38"/>
        <v>Consulted Documentation</v>
      </c>
      <c r="AJ374" t="str">
        <f t="shared" si="39"/>
        <v>Moderate Trust</v>
      </c>
      <c r="AL374">
        <f t="shared" si="40"/>
        <v>72.599999999999994</v>
      </c>
      <c r="AM374" t="str">
        <f t="shared" si="41"/>
        <v>Masters</v>
      </c>
    </row>
    <row r="375" spans="1:39" x14ac:dyDescent="0.25">
      <c r="A375" t="s">
        <v>56</v>
      </c>
      <c r="B375" t="s">
        <v>73</v>
      </c>
      <c r="C375">
        <v>54.51</v>
      </c>
      <c r="D375">
        <v>784</v>
      </c>
      <c r="E375" t="b">
        <v>1</v>
      </c>
      <c r="F375" t="b">
        <v>0</v>
      </c>
      <c r="G375" t="b">
        <v>1</v>
      </c>
      <c r="H375" t="s">
        <v>34</v>
      </c>
      <c r="I375" t="s">
        <v>57</v>
      </c>
      <c r="J375" t="s">
        <v>45</v>
      </c>
      <c r="K375" t="s">
        <v>28</v>
      </c>
      <c r="L375" t="s">
        <v>29</v>
      </c>
      <c r="M375" t="s">
        <v>28</v>
      </c>
      <c r="O375" t="b">
        <v>1</v>
      </c>
      <c r="P375" t="b">
        <v>1</v>
      </c>
      <c r="Q375">
        <v>9.5</v>
      </c>
      <c r="R375" t="b">
        <v>1</v>
      </c>
      <c r="S375" t="s">
        <v>64</v>
      </c>
      <c r="T375">
        <v>10.199999999999999</v>
      </c>
      <c r="U375">
        <v>46.58</v>
      </c>
      <c r="V375" t="b">
        <v>0</v>
      </c>
      <c r="W375" t="s">
        <v>31</v>
      </c>
      <c r="AE375" t="str">
        <f t="shared" si="35"/>
        <v>No</v>
      </c>
      <c r="AF375" t="str">
        <f t="shared" si="36"/>
        <v>Unknown</v>
      </c>
      <c r="AG375" t="str">
        <f t="shared" si="37"/>
        <v>Yes</v>
      </c>
      <c r="AH375" t="str">
        <f t="shared" si="38"/>
        <v>Personal Testing</v>
      </c>
      <c r="AJ375" t="str">
        <f t="shared" si="39"/>
        <v>High Trust</v>
      </c>
      <c r="AL375">
        <f t="shared" si="40"/>
        <v>46.6</v>
      </c>
      <c r="AM375" t="str">
        <f t="shared" si="41"/>
        <v>High School</v>
      </c>
    </row>
    <row r="376" spans="1:39" x14ac:dyDescent="0.25">
      <c r="A376" t="s">
        <v>56</v>
      </c>
      <c r="B376" t="s">
        <v>73</v>
      </c>
      <c r="C376">
        <v>54.19</v>
      </c>
      <c r="D376">
        <v>176</v>
      </c>
      <c r="E376" t="b">
        <v>0</v>
      </c>
      <c r="F376" t="b">
        <v>1</v>
      </c>
      <c r="G376" t="b">
        <v>0</v>
      </c>
      <c r="H376" t="s">
        <v>43</v>
      </c>
      <c r="I376" t="s">
        <v>63</v>
      </c>
      <c r="J376" t="s">
        <v>50</v>
      </c>
      <c r="K376" t="s">
        <v>28</v>
      </c>
      <c r="L376" t="s">
        <v>38</v>
      </c>
      <c r="M376" t="s">
        <v>28</v>
      </c>
      <c r="N376" t="s">
        <v>28</v>
      </c>
      <c r="O376" t="b">
        <v>0</v>
      </c>
      <c r="P376" t="b">
        <v>0</v>
      </c>
      <c r="Q376">
        <v>6.1</v>
      </c>
      <c r="R376" t="b">
        <v>1</v>
      </c>
      <c r="S376" t="s">
        <v>30</v>
      </c>
      <c r="T376">
        <v>29.4</v>
      </c>
      <c r="U376">
        <v>58.57</v>
      </c>
      <c r="V376" t="b">
        <v>1</v>
      </c>
      <c r="W376" t="s">
        <v>41</v>
      </c>
      <c r="AE376" t="str">
        <f t="shared" si="35"/>
        <v>Yes</v>
      </c>
      <c r="AF376" t="str">
        <f t="shared" si="36"/>
        <v>Low</v>
      </c>
      <c r="AG376" t="str">
        <f t="shared" si="37"/>
        <v>No</v>
      </c>
      <c r="AH376" t="str">
        <f t="shared" si="38"/>
        <v>Google Search</v>
      </c>
      <c r="AJ376" t="str">
        <f t="shared" si="39"/>
        <v>Moderate Trust</v>
      </c>
      <c r="AL376">
        <f t="shared" si="40"/>
        <v>58.6</v>
      </c>
      <c r="AM376" t="str">
        <f t="shared" si="41"/>
        <v>Professional</v>
      </c>
    </row>
    <row r="377" spans="1:39" x14ac:dyDescent="0.25">
      <c r="A377" t="s">
        <v>56</v>
      </c>
      <c r="B377" t="s">
        <v>60</v>
      </c>
      <c r="C377">
        <v>40.520000000000003</v>
      </c>
      <c r="D377">
        <v>65</v>
      </c>
      <c r="E377" t="b">
        <v>1</v>
      </c>
      <c r="F377" t="b">
        <v>0</v>
      </c>
      <c r="G377" t="b">
        <v>0</v>
      </c>
      <c r="H377" t="s">
        <v>53</v>
      </c>
      <c r="I377" t="s">
        <v>35</v>
      </c>
      <c r="J377" t="s">
        <v>36</v>
      </c>
      <c r="K377" t="s">
        <v>39</v>
      </c>
      <c r="L377" t="s">
        <v>38</v>
      </c>
      <c r="M377" t="s">
        <v>28</v>
      </c>
      <c r="N377" t="s">
        <v>46</v>
      </c>
      <c r="O377" t="b">
        <v>1</v>
      </c>
      <c r="P377" t="b">
        <v>1</v>
      </c>
      <c r="Q377">
        <v>8.9</v>
      </c>
      <c r="R377" t="b">
        <v>1</v>
      </c>
      <c r="S377" t="s">
        <v>55</v>
      </c>
      <c r="T377">
        <v>31.2</v>
      </c>
      <c r="U377">
        <v>34.380000000000003</v>
      </c>
      <c r="V377" t="b">
        <v>0</v>
      </c>
      <c r="W377" t="s">
        <v>31</v>
      </c>
      <c r="AE377" t="str">
        <f t="shared" si="35"/>
        <v>No</v>
      </c>
      <c r="AF377" t="str">
        <f t="shared" si="36"/>
        <v>Medium</v>
      </c>
      <c r="AG377" t="str">
        <f t="shared" si="37"/>
        <v>Yes</v>
      </c>
      <c r="AH377" t="str">
        <f t="shared" si="38"/>
        <v>Academic Paper</v>
      </c>
      <c r="AJ377" t="str">
        <f t="shared" si="39"/>
        <v>High Trust</v>
      </c>
      <c r="AL377">
        <f t="shared" si="40"/>
        <v>34.4</v>
      </c>
      <c r="AM377" t="str">
        <f t="shared" si="41"/>
        <v>PhD</v>
      </c>
    </row>
    <row r="378" spans="1:39" x14ac:dyDescent="0.25">
      <c r="A378" t="s">
        <v>23</v>
      </c>
      <c r="B378" t="s">
        <v>24</v>
      </c>
      <c r="C378">
        <v>91.75</v>
      </c>
      <c r="D378">
        <v>200</v>
      </c>
      <c r="E378" t="b">
        <v>1</v>
      </c>
      <c r="F378" t="b">
        <v>1</v>
      </c>
      <c r="G378" t="b">
        <v>0</v>
      </c>
      <c r="H378" t="s">
        <v>43</v>
      </c>
      <c r="I378" t="s">
        <v>44</v>
      </c>
      <c r="J378" t="s">
        <v>36</v>
      </c>
      <c r="K378" t="s">
        <v>37</v>
      </c>
      <c r="L378" t="s">
        <v>69</v>
      </c>
      <c r="M378" t="s">
        <v>47</v>
      </c>
      <c r="N378" t="s">
        <v>39</v>
      </c>
      <c r="O378" t="b">
        <v>1</v>
      </c>
      <c r="P378" t="b">
        <v>1</v>
      </c>
      <c r="Q378">
        <v>10</v>
      </c>
      <c r="R378" t="b">
        <v>1</v>
      </c>
      <c r="S378" t="s">
        <v>64</v>
      </c>
      <c r="T378">
        <v>34.9</v>
      </c>
      <c r="U378">
        <v>100</v>
      </c>
      <c r="V378" t="b">
        <v>1</v>
      </c>
      <c r="W378" t="s">
        <v>31</v>
      </c>
      <c r="AE378" t="str">
        <f t="shared" si="35"/>
        <v>Yes</v>
      </c>
      <c r="AF378" t="str">
        <f t="shared" si="36"/>
        <v>High</v>
      </c>
      <c r="AG378" t="str">
        <f t="shared" si="37"/>
        <v>Yes</v>
      </c>
      <c r="AH378" t="str">
        <f t="shared" si="38"/>
        <v>Personal Testing</v>
      </c>
      <c r="AJ378" t="str">
        <f t="shared" si="39"/>
        <v>High Trust</v>
      </c>
      <c r="AL378">
        <f t="shared" si="40"/>
        <v>100</v>
      </c>
      <c r="AM378" t="str">
        <f t="shared" si="41"/>
        <v>PhD</v>
      </c>
    </row>
    <row r="379" spans="1:39" x14ac:dyDescent="0.25">
      <c r="A379" t="s">
        <v>56</v>
      </c>
      <c r="B379" t="s">
        <v>42</v>
      </c>
      <c r="C379">
        <v>81.03</v>
      </c>
      <c r="D379">
        <v>641</v>
      </c>
      <c r="E379" t="b">
        <v>1</v>
      </c>
      <c r="F379" t="b">
        <v>1</v>
      </c>
      <c r="G379" t="b">
        <v>0</v>
      </c>
      <c r="H379" t="s">
        <v>25</v>
      </c>
      <c r="I379" t="s">
        <v>44</v>
      </c>
      <c r="J379" t="s">
        <v>45</v>
      </c>
      <c r="K379" t="s">
        <v>39</v>
      </c>
      <c r="L379" t="s">
        <v>38</v>
      </c>
      <c r="M379" t="s">
        <v>47</v>
      </c>
      <c r="N379" t="s">
        <v>46</v>
      </c>
      <c r="O379" t="b">
        <v>0</v>
      </c>
      <c r="P379" t="b">
        <v>0</v>
      </c>
      <c r="Q379">
        <v>7.5</v>
      </c>
      <c r="R379" t="b">
        <v>1</v>
      </c>
      <c r="S379" t="s">
        <v>52</v>
      </c>
      <c r="T379">
        <v>30.5</v>
      </c>
      <c r="U379">
        <v>72.08</v>
      </c>
      <c r="V379" t="b">
        <v>1</v>
      </c>
      <c r="W379" t="s">
        <v>41</v>
      </c>
      <c r="AE379" t="str">
        <f t="shared" si="35"/>
        <v>Yes</v>
      </c>
      <c r="AF379" t="str">
        <f t="shared" si="36"/>
        <v>Medium</v>
      </c>
      <c r="AG379" t="str">
        <f t="shared" si="37"/>
        <v>No</v>
      </c>
      <c r="AH379" t="str">
        <f t="shared" si="38"/>
        <v>Checked Official Source</v>
      </c>
      <c r="AJ379" t="str">
        <f t="shared" si="39"/>
        <v>Moderate Trust</v>
      </c>
      <c r="AL379">
        <f t="shared" si="40"/>
        <v>72.099999999999994</v>
      </c>
      <c r="AM379" t="str">
        <f t="shared" si="41"/>
        <v>High School</v>
      </c>
    </row>
    <row r="380" spans="1:39" x14ac:dyDescent="0.25">
      <c r="A380" t="s">
        <v>61</v>
      </c>
      <c r="B380" t="s">
        <v>59</v>
      </c>
      <c r="C380">
        <v>84.95</v>
      </c>
      <c r="D380">
        <v>304</v>
      </c>
      <c r="E380" t="b">
        <v>1</v>
      </c>
      <c r="F380" t="b">
        <v>0</v>
      </c>
      <c r="G380" t="b">
        <v>1</v>
      </c>
      <c r="H380" t="s">
        <v>53</v>
      </c>
      <c r="I380" t="s">
        <v>63</v>
      </c>
      <c r="J380" t="s">
        <v>45</v>
      </c>
      <c r="K380" t="s">
        <v>39</v>
      </c>
      <c r="L380" t="s">
        <v>38</v>
      </c>
      <c r="M380" t="s">
        <v>46</v>
      </c>
      <c r="N380" t="s">
        <v>39</v>
      </c>
      <c r="P380" t="b">
        <v>0</v>
      </c>
      <c r="Q380">
        <v>10</v>
      </c>
      <c r="R380" t="b">
        <v>0</v>
      </c>
      <c r="T380">
        <v>0</v>
      </c>
      <c r="U380">
        <v>88.9</v>
      </c>
      <c r="V380" t="b">
        <v>1</v>
      </c>
      <c r="W380" t="s">
        <v>58</v>
      </c>
      <c r="AE380" t="str">
        <f t="shared" si="35"/>
        <v>No</v>
      </c>
      <c r="AF380" t="str">
        <f t="shared" si="36"/>
        <v>High</v>
      </c>
      <c r="AG380" t="str">
        <f t="shared" si="37"/>
        <v>No</v>
      </c>
      <c r="AH380" t="str">
        <f t="shared" si="38"/>
        <v>Unknown</v>
      </c>
      <c r="AJ380" t="str">
        <f t="shared" si="39"/>
        <v>High Trust</v>
      </c>
      <c r="AL380">
        <f t="shared" si="40"/>
        <v>88.9</v>
      </c>
      <c r="AM380" t="str">
        <f t="shared" si="41"/>
        <v>High School</v>
      </c>
    </row>
    <row r="381" spans="1:39" x14ac:dyDescent="0.25">
      <c r="A381" t="s">
        <v>56</v>
      </c>
      <c r="B381" t="s">
        <v>76</v>
      </c>
      <c r="C381">
        <v>86.72</v>
      </c>
      <c r="D381">
        <v>501</v>
      </c>
      <c r="E381" t="b">
        <v>0</v>
      </c>
      <c r="F381" t="b">
        <v>0</v>
      </c>
      <c r="G381" t="b">
        <v>1</v>
      </c>
      <c r="H381" t="s">
        <v>53</v>
      </c>
      <c r="I381" t="s">
        <v>44</v>
      </c>
      <c r="J381" t="s">
        <v>54</v>
      </c>
      <c r="K381" t="s">
        <v>28</v>
      </c>
      <c r="L381" t="s">
        <v>37</v>
      </c>
      <c r="M381" t="s">
        <v>46</v>
      </c>
      <c r="N381" t="s">
        <v>46</v>
      </c>
      <c r="O381" t="b">
        <v>0</v>
      </c>
      <c r="P381" t="b">
        <v>0</v>
      </c>
      <c r="Q381">
        <v>8.3000000000000007</v>
      </c>
      <c r="R381" t="b">
        <v>1</v>
      </c>
      <c r="S381" t="s">
        <v>52</v>
      </c>
      <c r="T381">
        <v>10.5</v>
      </c>
      <c r="U381">
        <v>76.209999999999994</v>
      </c>
      <c r="V381" t="b">
        <v>1</v>
      </c>
      <c r="W381" t="s">
        <v>31</v>
      </c>
      <c r="AE381" t="str">
        <f t="shared" si="35"/>
        <v>No</v>
      </c>
      <c r="AF381" t="str">
        <f t="shared" si="36"/>
        <v>Medium</v>
      </c>
      <c r="AG381" t="str">
        <f t="shared" si="37"/>
        <v>No</v>
      </c>
      <c r="AH381" t="str">
        <f t="shared" si="38"/>
        <v>Checked Official Source</v>
      </c>
      <c r="AJ381" t="str">
        <f t="shared" si="39"/>
        <v>High Trust</v>
      </c>
      <c r="AL381">
        <f t="shared" si="40"/>
        <v>76.2</v>
      </c>
      <c r="AM381" t="str">
        <f t="shared" si="41"/>
        <v>Masters</v>
      </c>
    </row>
    <row r="382" spans="1:39" x14ac:dyDescent="0.25">
      <c r="A382" t="s">
        <v>74</v>
      </c>
      <c r="B382" t="s">
        <v>76</v>
      </c>
      <c r="C382">
        <v>73.53</v>
      </c>
      <c r="D382">
        <v>289</v>
      </c>
      <c r="E382" t="b">
        <v>1</v>
      </c>
      <c r="F382" t="b">
        <v>1</v>
      </c>
      <c r="G382" t="b">
        <v>0</v>
      </c>
      <c r="H382" t="s">
        <v>43</v>
      </c>
      <c r="I382" t="s">
        <v>57</v>
      </c>
      <c r="J382" t="s">
        <v>27</v>
      </c>
      <c r="K382" t="s">
        <v>28</v>
      </c>
      <c r="L382" t="s">
        <v>37</v>
      </c>
      <c r="M382" t="s">
        <v>47</v>
      </c>
      <c r="N382" t="s">
        <v>46</v>
      </c>
      <c r="O382" t="b">
        <v>1</v>
      </c>
      <c r="P382" t="b">
        <v>1</v>
      </c>
      <c r="Q382">
        <v>8.3000000000000007</v>
      </c>
      <c r="R382" t="b">
        <v>1</v>
      </c>
      <c r="S382" t="s">
        <v>65</v>
      </c>
      <c r="T382">
        <v>23.7</v>
      </c>
      <c r="U382">
        <v>69.3</v>
      </c>
      <c r="V382" t="b">
        <v>1</v>
      </c>
      <c r="W382" t="s">
        <v>31</v>
      </c>
      <c r="AE382" t="str">
        <f t="shared" si="35"/>
        <v>Yes</v>
      </c>
      <c r="AF382" t="str">
        <f t="shared" si="36"/>
        <v>Medium</v>
      </c>
      <c r="AG382" t="str">
        <f t="shared" si="37"/>
        <v>Yes</v>
      </c>
      <c r="AH382" t="str">
        <f t="shared" si="38"/>
        <v>Cross-referenced Multiple AIs</v>
      </c>
      <c r="AJ382" t="str">
        <f t="shared" si="39"/>
        <v>High Trust</v>
      </c>
      <c r="AL382">
        <f t="shared" si="40"/>
        <v>69.3</v>
      </c>
      <c r="AM382" t="str">
        <f t="shared" si="41"/>
        <v>Bachelors</v>
      </c>
    </row>
    <row r="383" spans="1:39" x14ac:dyDescent="0.25">
      <c r="A383" t="s">
        <v>74</v>
      </c>
      <c r="B383" t="s">
        <v>62</v>
      </c>
      <c r="C383">
        <v>72.540000000000006</v>
      </c>
      <c r="D383">
        <v>725</v>
      </c>
      <c r="E383" t="b">
        <v>1</v>
      </c>
      <c r="F383" t="b">
        <v>1</v>
      </c>
      <c r="G383" t="b">
        <v>0</v>
      </c>
      <c r="H383" t="s">
        <v>53</v>
      </c>
      <c r="I383" t="s">
        <v>44</v>
      </c>
      <c r="J383" t="s">
        <v>50</v>
      </c>
      <c r="K383" t="s">
        <v>39</v>
      </c>
      <c r="L383" t="s">
        <v>51</v>
      </c>
      <c r="M383" t="s">
        <v>28</v>
      </c>
      <c r="N383" t="s">
        <v>39</v>
      </c>
      <c r="O383" t="b">
        <v>1</v>
      </c>
      <c r="P383" t="b">
        <v>0</v>
      </c>
      <c r="Q383">
        <v>10</v>
      </c>
      <c r="R383" t="b">
        <v>0</v>
      </c>
      <c r="T383">
        <v>0</v>
      </c>
      <c r="U383">
        <v>69.25</v>
      </c>
      <c r="V383" t="b">
        <v>0</v>
      </c>
      <c r="W383" t="s">
        <v>58</v>
      </c>
      <c r="AE383" t="str">
        <f t="shared" si="35"/>
        <v>Yes</v>
      </c>
      <c r="AF383" t="str">
        <f t="shared" si="36"/>
        <v>High</v>
      </c>
      <c r="AG383" t="str">
        <f t="shared" si="37"/>
        <v>Yes</v>
      </c>
      <c r="AH383" t="str">
        <f t="shared" si="38"/>
        <v>Unknown</v>
      </c>
      <c r="AJ383" t="str">
        <f t="shared" si="39"/>
        <v>High Trust</v>
      </c>
      <c r="AL383">
        <f t="shared" si="40"/>
        <v>69.3</v>
      </c>
      <c r="AM383" t="str">
        <f t="shared" si="41"/>
        <v>Professional</v>
      </c>
    </row>
    <row r="384" spans="1:39" x14ac:dyDescent="0.25">
      <c r="A384" t="s">
        <v>68</v>
      </c>
      <c r="B384" t="s">
        <v>76</v>
      </c>
      <c r="C384">
        <v>73.87</v>
      </c>
      <c r="D384">
        <v>477</v>
      </c>
      <c r="E384" t="b">
        <v>0</v>
      </c>
      <c r="F384" t="b">
        <v>1</v>
      </c>
      <c r="G384" t="b">
        <v>1</v>
      </c>
      <c r="H384" t="s">
        <v>34</v>
      </c>
      <c r="I384" t="s">
        <v>26</v>
      </c>
      <c r="J384" t="s">
        <v>45</v>
      </c>
      <c r="K384" t="s">
        <v>37</v>
      </c>
      <c r="L384" t="s">
        <v>37</v>
      </c>
      <c r="M384" t="s">
        <v>47</v>
      </c>
      <c r="N384" t="s">
        <v>46</v>
      </c>
      <c r="O384" t="b">
        <v>0</v>
      </c>
      <c r="P384" t="b">
        <v>1</v>
      </c>
      <c r="Q384">
        <v>5.3</v>
      </c>
      <c r="R384" t="b">
        <v>1</v>
      </c>
      <c r="S384" t="s">
        <v>75</v>
      </c>
      <c r="T384">
        <v>17.399999999999999</v>
      </c>
      <c r="U384">
        <v>63.03</v>
      </c>
      <c r="V384" t="b">
        <v>1</v>
      </c>
      <c r="W384" t="s">
        <v>41</v>
      </c>
      <c r="AE384" t="str">
        <f t="shared" si="35"/>
        <v>Yes</v>
      </c>
      <c r="AF384" t="str">
        <f t="shared" si="36"/>
        <v>Medium</v>
      </c>
      <c r="AG384" t="str">
        <f t="shared" si="37"/>
        <v>No</v>
      </c>
      <c r="AH384" t="str">
        <f t="shared" si="38"/>
        <v>Asked Colleague</v>
      </c>
      <c r="AJ384" t="str">
        <f t="shared" si="39"/>
        <v>Moderate Trust</v>
      </c>
      <c r="AL384">
        <f t="shared" si="40"/>
        <v>63</v>
      </c>
      <c r="AM384" t="str">
        <f t="shared" si="41"/>
        <v>High School</v>
      </c>
    </row>
    <row r="385" spans="1:39" x14ac:dyDescent="0.25">
      <c r="A385" t="s">
        <v>74</v>
      </c>
      <c r="B385" t="s">
        <v>62</v>
      </c>
      <c r="C385">
        <v>68.25</v>
      </c>
      <c r="D385">
        <v>671</v>
      </c>
      <c r="E385" t="b">
        <v>1</v>
      </c>
      <c r="F385" t="b">
        <v>0</v>
      </c>
      <c r="G385" t="b">
        <v>1</v>
      </c>
      <c r="H385" t="s">
        <v>34</v>
      </c>
      <c r="I385" t="s">
        <v>63</v>
      </c>
      <c r="J385" t="s">
        <v>27</v>
      </c>
      <c r="K385" t="s">
        <v>37</v>
      </c>
      <c r="L385" t="s">
        <v>38</v>
      </c>
      <c r="M385" t="s">
        <v>39</v>
      </c>
      <c r="O385" t="b">
        <v>1</v>
      </c>
      <c r="P385" t="b">
        <v>1</v>
      </c>
      <c r="Q385">
        <v>8.8000000000000007</v>
      </c>
      <c r="R385" t="b">
        <v>1</v>
      </c>
      <c r="S385" t="s">
        <v>30</v>
      </c>
      <c r="T385">
        <v>19.7</v>
      </c>
      <c r="U385">
        <v>58.49</v>
      </c>
      <c r="V385" t="b">
        <v>0</v>
      </c>
      <c r="W385" t="s">
        <v>31</v>
      </c>
      <c r="AE385" t="str">
        <f t="shared" si="35"/>
        <v>No</v>
      </c>
      <c r="AF385" t="str">
        <f t="shared" si="36"/>
        <v>Unknown</v>
      </c>
      <c r="AG385" t="str">
        <f t="shared" si="37"/>
        <v>Yes</v>
      </c>
      <c r="AH385" t="str">
        <f t="shared" si="38"/>
        <v>Google Search</v>
      </c>
      <c r="AJ385" t="str">
        <f t="shared" si="39"/>
        <v>High Trust</v>
      </c>
      <c r="AL385">
        <f t="shared" si="40"/>
        <v>58.5</v>
      </c>
      <c r="AM385" t="str">
        <f t="shared" si="41"/>
        <v>Bachelors</v>
      </c>
    </row>
    <row r="386" spans="1:39" x14ac:dyDescent="0.25">
      <c r="A386" t="s">
        <v>32</v>
      </c>
      <c r="B386" t="s">
        <v>24</v>
      </c>
      <c r="C386">
        <v>93.55</v>
      </c>
      <c r="D386">
        <v>327</v>
      </c>
      <c r="E386" t="b">
        <v>0</v>
      </c>
      <c r="F386" t="b">
        <v>1</v>
      </c>
      <c r="G386" t="b">
        <v>0</v>
      </c>
      <c r="H386" t="s">
        <v>25</v>
      </c>
      <c r="I386" t="s">
        <v>67</v>
      </c>
      <c r="J386" t="s">
        <v>45</v>
      </c>
      <c r="K386" t="s">
        <v>37</v>
      </c>
      <c r="L386" t="s">
        <v>51</v>
      </c>
      <c r="M386" t="s">
        <v>39</v>
      </c>
      <c r="N386" t="s">
        <v>39</v>
      </c>
      <c r="O386" t="b">
        <v>1</v>
      </c>
      <c r="P386" t="b">
        <v>1</v>
      </c>
      <c r="Q386">
        <v>10</v>
      </c>
      <c r="R386" t="b">
        <v>0</v>
      </c>
      <c r="T386">
        <v>0</v>
      </c>
      <c r="U386">
        <v>81.819999999999993</v>
      </c>
      <c r="V386" t="b">
        <v>1</v>
      </c>
      <c r="W386" t="s">
        <v>58</v>
      </c>
      <c r="AE386" t="str">
        <f t="shared" si="35"/>
        <v>Yes</v>
      </c>
      <c r="AF386" t="str">
        <f t="shared" si="36"/>
        <v>High</v>
      </c>
      <c r="AG386" t="str">
        <f t="shared" si="37"/>
        <v>Yes</v>
      </c>
      <c r="AH386" t="str">
        <f t="shared" si="38"/>
        <v>Unknown</v>
      </c>
      <c r="AJ386" t="str">
        <f t="shared" si="39"/>
        <v>High Trust</v>
      </c>
      <c r="AL386">
        <f t="shared" si="40"/>
        <v>81.8</v>
      </c>
      <c r="AM386" t="str">
        <f t="shared" si="41"/>
        <v>High School</v>
      </c>
    </row>
    <row r="387" spans="1:39" x14ac:dyDescent="0.25">
      <c r="A387" t="s">
        <v>68</v>
      </c>
      <c r="B387" t="s">
        <v>73</v>
      </c>
      <c r="C387">
        <v>68.31</v>
      </c>
      <c r="D387">
        <v>152</v>
      </c>
      <c r="E387" t="b">
        <v>1</v>
      </c>
      <c r="F387" t="b">
        <v>0</v>
      </c>
      <c r="G387" t="b">
        <v>1</v>
      </c>
      <c r="H387" t="s">
        <v>25</v>
      </c>
      <c r="I387" t="s">
        <v>35</v>
      </c>
      <c r="J387" t="s">
        <v>54</v>
      </c>
      <c r="K387" t="s">
        <v>46</v>
      </c>
      <c r="L387" t="s">
        <v>51</v>
      </c>
      <c r="M387" t="s">
        <v>47</v>
      </c>
      <c r="N387" t="s">
        <v>46</v>
      </c>
      <c r="O387" t="b">
        <v>0</v>
      </c>
      <c r="P387" t="b">
        <v>1</v>
      </c>
      <c r="Q387">
        <v>6.2</v>
      </c>
      <c r="R387" t="b">
        <v>1</v>
      </c>
      <c r="S387" t="s">
        <v>40</v>
      </c>
      <c r="T387">
        <v>28.4</v>
      </c>
      <c r="U387">
        <v>83.15</v>
      </c>
      <c r="V387" t="b">
        <v>0</v>
      </c>
      <c r="W387" t="s">
        <v>41</v>
      </c>
      <c r="AE387" t="str">
        <f t="shared" ref="AE387:AE450" si="42">IF(F387=TRUE,"Yes","No")</f>
        <v>No</v>
      </c>
      <c r="AF387" t="str">
        <f t="shared" ref="AF387:AF450" si="43">IF(ISBLANK(N387),"Unknown",N387)</f>
        <v>Medium</v>
      </c>
      <c r="AG387" t="str">
        <f t="shared" ref="AG387:AG450" si="44">IF(O387=TRUE,"Yes","No")</f>
        <v>No</v>
      </c>
      <c r="AH387" t="str">
        <f t="shared" ref="AH387:AH450" si="45">IF(ISBLANK(S387),"Unknown",S387)</f>
        <v>Asked Expert</v>
      </c>
      <c r="AJ387" t="str">
        <f t="shared" ref="AJ387:AJ450" si="46">IF(Q387&gt;=8,"High Trust",
IF(Q388&gt;=5,"Moderate Trust","Low Trust"))</f>
        <v>Moderate Trust</v>
      </c>
      <c r="AL387">
        <f t="shared" ref="AL387:AL450" si="47">ROUND(U387,1)</f>
        <v>83.2</v>
      </c>
      <c r="AM387" t="str">
        <f t="shared" ref="AM387:AM450" si="48">TRIM(J387)</f>
        <v>Masters</v>
      </c>
    </row>
    <row r="388" spans="1:39" x14ac:dyDescent="0.25">
      <c r="A388" t="s">
        <v>74</v>
      </c>
      <c r="B388" t="s">
        <v>49</v>
      </c>
      <c r="C388">
        <v>64.17</v>
      </c>
      <c r="D388">
        <v>54</v>
      </c>
      <c r="E388" t="b">
        <v>1</v>
      </c>
      <c r="F388" t="b">
        <v>1</v>
      </c>
      <c r="G388" t="b">
        <v>1</v>
      </c>
      <c r="H388" t="s">
        <v>43</v>
      </c>
      <c r="I388" t="s">
        <v>63</v>
      </c>
      <c r="J388" t="s">
        <v>27</v>
      </c>
      <c r="K388" t="s">
        <v>28</v>
      </c>
      <c r="L388" t="s">
        <v>69</v>
      </c>
      <c r="M388" t="s">
        <v>39</v>
      </c>
      <c r="O388" t="b">
        <v>1</v>
      </c>
      <c r="P388" t="b">
        <v>1</v>
      </c>
      <c r="Q388">
        <v>9.6999999999999993</v>
      </c>
      <c r="R388" t="b">
        <v>0</v>
      </c>
      <c r="T388">
        <v>0</v>
      </c>
      <c r="U388">
        <v>73.5</v>
      </c>
      <c r="V388" t="b">
        <v>0</v>
      </c>
      <c r="W388" t="s">
        <v>58</v>
      </c>
      <c r="AE388" t="str">
        <f t="shared" si="42"/>
        <v>Yes</v>
      </c>
      <c r="AF388" t="str">
        <f t="shared" si="43"/>
        <v>Unknown</v>
      </c>
      <c r="AG388" t="str">
        <f t="shared" si="44"/>
        <v>Yes</v>
      </c>
      <c r="AH388" t="str">
        <f t="shared" si="45"/>
        <v>Unknown</v>
      </c>
      <c r="AJ388" t="str">
        <f t="shared" si="46"/>
        <v>High Trust</v>
      </c>
      <c r="AL388">
        <f t="shared" si="47"/>
        <v>73.5</v>
      </c>
      <c r="AM388" t="str">
        <f t="shared" si="48"/>
        <v>Bachelors</v>
      </c>
    </row>
    <row r="389" spans="1:39" x14ac:dyDescent="0.25">
      <c r="A389" t="s">
        <v>56</v>
      </c>
      <c r="B389" t="s">
        <v>73</v>
      </c>
      <c r="C389">
        <v>63.95</v>
      </c>
      <c r="D389">
        <v>307</v>
      </c>
      <c r="E389" t="b">
        <v>1</v>
      </c>
      <c r="F389" t="b">
        <v>1</v>
      </c>
      <c r="G389" t="b">
        <v>0</v>
      </c>
      <c r="H389" t="s">
        <v>34</v>
      </c>
      <c r="I389" t="s">
        <v>67</v>
      </c>
      <c r="J389" t="s">
        <v>36</v>
      </c>
      <c r="K389" t="s">
        <v>39</v>
      </c>
      <c r="L389" t="s">
        <v>37</v>
      </c>
      <c r="M389" t="s">
        <v>47</v>
      </c>
      <c r="N389" t="s">
        <v>28</v>
      </c>
      <c r="O389" t="b">
        <v>1</v>
      </c>
      <c r="P389" t="b">
        <v>1</v>
      </c>
      <c r="Q389">
        <v>7.4</v>
      </c>
      <c r="R389" t="b">
        <v>1</v>
      </c>
      <c r="S389" t="s">
        <v>40</v>
      </c>
      <c r="T389">
        <v>25.5</v>
      </c>
      <c r="U389">
        <v>66.03</v>
      </c>
      <c r="V389" t="b">
        <v>1</v>
      </c>
      <c r="W389" t="s">
        <v>41</v>
      </c>
      <c r="AE389" t="str">
        <f t="shared" si="42"/>
        <v>Yes</v>
      </c>
      <c r="AF389" t="str">
        <f t="shared" si="43"/>
        <v>Low</v>
      </c>
      <c r="AG389" t="str">
        <f t="shared" si="44"/>
        <v>Yes</v>
      </c>
      <c r="AH389" t="str">
        <f t="shared" si="45"/>
        <v>Asked Expert</v>
      </c>
      <c r="AJ389" t="str">
        <f t="shared" si="46"/>
        <v>Moderate Trust</v>
      </c>
      <c r="AL389">
        <f t="shared" si="47"/>
        <v>66</v>
      </c>
      <c r="AM389" t="str">
        <f t="shared" si="48"/>
        <v>PhD</v>
      </c>
    </row>
    <row r="390" spans="1:39" x14ac:dyDescent="0.25">
      <c r="A390" t="s">
        <v>68</v>
      </c>
      <c r="B390" t="s">
        <v>59</v>
      </c>
      <c r="C390">
        <v>94.89</v>
      </c>
      <c r="D390">
        <v>256</v>
      </c>
      <c r="E390" t="b">
        <v>0</v>
      </c>
      <c r="F390" t="b">
        <v>0</v>
      </c>
      <c r="G390" t="b">
        <v>0</v>
      </c>
      <c r="H390" t="s">
        <v>34</v>
      </c>
      <c r="I390" t="s">
        <v>44</v>
      </c>
      <c r="J390" t="s">
        <v>36</v>
      </c>
      <c r="K390" t="s">
        <v>28</v>
      </c>
      <c r="L390" t="s">
        <v>51</v>
      </c>
      <c r="M390" t="s">
        <v>28</v>
      </c>
      <c r="N390" t="s">
        <v>39</v>
      </c>
      <c r="P390" t="b">
        <v>0</v>
      </c>
      <c r="Q390">
        <v>10</v>
      </c>
      <c r="R390" t="b">
        <v>0</v>
      </c>
      <c r="T390">
        <v>0</v>
      </c>
      <c r="U390">
        <v>100</v>
      </c>
      <c r="V390" t="b">
        <v>1</v>
      </c>
      <c r="W390" t="s">
        <v>58</v>
      </c>
      <c r="AE390" t="str">
        <f t="shared" si="42"/>
        <v>No</v>
      </c>
      <c r="AF390" t="str">
        <f t="shared" si="43"/>
        <v>High</v>
      </c>
      <c r="AG390" t="str">
        <f t="shared" si="44"/>
        <v>No</v>
      </c>
      <c r="AH390" t="str">
        <f t="shared" si="45"/>
        <v>Unknown</v>
      </c>
      <c r="AJ390" t="str">
        <f t="shared" si="46"/>
        <v>High Trust</v>
      </c>
      <c r="AL390">
        <f t="shared" si="47"/>
        <v>100</v>
      </c>
      <c r="AM390" t="str">
        <f t="shared" si="48"/>
        <v>PhD</v>
      </c>
    </row>
    <row r="391" spans="1:39" x14ac:dyDescent="0.25">
      <c r="A391" t="s">
        <v>74</v>
      </c>
      <c r="B391" t="s">
        <v>62</v>
      </c>
      <c r="C391">
        <v>64.150000000000006</v>
      </c>
      <c r="D391">
        <v>107</v>
      </c>
      <c r="E391" t="b">
        <v>1</v>
      </c>
      <c r="F391" t="b">
        <v>1</v>
      </c>
      <c r="G391" t="b">
        <v>1</v>
      </c>
      <c r="H391" t="s">
        <v>53</v>
      </c>
      <c r="I391" t="s">
        <v>63</v>
      </c>
      <c r="J391" t="s">
        <v>36</v>
      </c>
      <c r="K391" t="s">
        <v>28</v>
      </c>
      <c r="L391" t="s">
        <v>69</v>
      </c>
      <c r="M391" t="s">
        <v>28</v>
      </c>
      <c r="O391" t="b">
        <v>0</v>
      </c>
      <c r="P391" t="b">
        <v>0</v>
      </c>
      <c r="Q391">
        <v>7.3</v>
      </c>
      <c r="R391" t="b">
        <v>1</v>
      </c>
      <c r="S391" t="s">
        <v>55</v>
      </c>
      <c r="T391">
        <v>35.6</v>
      </c>
      <c r="U391">
        <v>59.25</v>
      </c>
      <c r="V391" t="b">
        <v>1</v>
      </c>
      <c r="W391" t="s">
        <v>41</v>
      </c>
      <c r="AE391" t="str">
        <f t="shared" si="42"/>
        <v>Yes</v>
      </c>
      <c r="AF391" t="str">
        <f t="shared" si="43"/>
        <v>Unknown</v>
      </c>
      <c r="AG391" t="str">
        <f t="shared" si="44"/>
        <v>No</v>
      </c>
      <c r="AH391" t="str">
        <f t="shared" si="45"/>
        <v>Academic Paper</v>
      </c>
      <c r="AJ391" t="str">
        <f t="shared" si="46"/>
        <v>Low Trust</v>
      </c>
      <c r="AL391">
        <f t="shared" si="47"/>
        <v>59.3</v>
      </c>
      <c r="AM391" t="str">
        <f t="shared" si="48"/>
        <v>PhD</v>
      </c>
    </row>
    <row r="392" spans="1:39" x14ac:dyDescent="0.25">
      <c r="A392" t="s">
        <v>56</v>
      </c>
      <c r="B392" t="s">
        <v>60</v>
      </c>
      <c r="C392">
        <v>55.79</v>
      </c>
      <c r="D392">
        <v>292</v>
      </c>
      <c r="E392" t="b">
        <v>0</v>
      </c>
      <c r="F392" t="b">
        <v>1</v>
      </c>
      <c r="G392" t="b">
        <v>0</v>
      </c>
      <c r="H392" t="s">
        <v>53</v>
      </c>
      <c r="I392" t="s">
        <v>44</v>
      </c>
      <c r="J392" t="s">
        <v>36</v>
      </c>
      <c r="K392" t="s">
        <v>37</v>
      </c>
      <c r="L392" t="s">
        <v>69</v>
      </c>
      <c r="M392" t="s">
        <v>47</v>
      </c>
      <c r="P392" t="b">
        <v>0</v>
      </c>
      <c r="Q392">
        <v>4.7</v>
      </c>
      <c r="R392" t="b">
        <v>1</v>
      </c>
      <c r="S392" t="s">
        <v>65</v>
      </c>
      <c r="T392">
        <v>18.100000000000001</v>
      </c>
      <c r="U392">
        <v>62.62</v>
      </c>
      <c r="V392" t="b">
        <v>1</v>
      </c>
      <c r="W392" t="s">
        <v>72</v>
      </c>
      <c r="AE392" t="str">
        <f t="shared" si="42"/>
        <v>Yes</v>
      </c>
      <c r="AF392" t="str">
        <f t="shared" si="43"/>
        <v>Unknown</v>
      </c>
      <c r="AG392" t="str">
        <f t="shared" si="44"/>
        <v>No</v>
      </c>
      <c r="AH392" t="str">
        <f t="shared" si="45"/>
        <v>Cross-referenced Multiple AIs</v>
      </c>
      <c r="AJ392" t="str">
        <f t="shared" si="46"/>
        <v>Moderate Trust</v>
      </c>
      <c r="AL392">
        <f t="shared" si="47"/>
        <v>62.6</v>
      </c>
      <c r="AM392" t="str">
        <f t="shared" si="48"/>
        <v>PhD</v>
      </c>
    </row>
    <row r="393" spans="1:39" x14ac:dyDescent="0.25">
      <c r="A393" t="s">
        <v>32</v>
      </c>
      <c r="B393" t="s">
        <v>42</v>
      </c>
      <c r="C393">
        <v>77.739999999999995</v>
      </c>
      <c r="D393">
        <v>552</v>
      </c>
      <c r="E393" t="b">
        <v>1</v>
      </c>
      <c r="F393" t="b">
        <v>1</v>
      </c>
      <c r="G393" t="b">
        <v>1</v>
      </c>
      <c r="H393" t="s">
        <v>43</v>
      </c>
      <c r="I393" t="s">
        <v>26</v>
      </c>
      <c r="J393" t="s">
        <v>27</v>
      </c>
      <c r="K393" t="s">
        <v>37</v>
      </c>
      <c r="L393" t="s">
        <v>51</v>
      </c>
      <c r="M393" t="s">
        <v>47</v>
      </c>
      <c r="O393" t="b">
        <v>1</v>
      </c>
      <c r="P393" t="b">
        <v>1</v>
      </c>
      <c r="Q393">
        <v>8.1999999999999993</v>
      </c>
      <c r="R393" t="b">
        <v>1</v>
      </c>
      <c r="S393" t="s">
        <v>64</v>
      </c>
      <c r="T393">
        <v>43.2</v>
      </c>
      <c r="U393">
        <v>73.28</v>
      </c>
      <c r="V393" t="b">
        <v>1</v>
      </c>
      <c r="W393" t="s">
        <v>31</v>
      </c>
      <c r="AE393" t="str">
        <f t="shared" si="42"/>
        <v>Yes</v>
      </c>
      <c r="AF393" t="str">
        <f t="shared" si="43"/>
        <v>Unknown</v>
      </c>
      <c r="AG393" t="str">
        <f t="shared" si="44"/>
        <v>Yes</v>
      </c>
      <c r="AH393" t="str">
        <f t="shared" si="45"/>
        <v>Personal Testing</v>
      </c>
      <c r="AJ393" t="str">
        <f t="shared" si="46"/>
        <v>High Trust</v>
      </c>
      <c r="AL393">
        <f t="shared" si="47"/>
        <v>73.3</v>
      </c>
      <c r="AM393" t="str">
        <f t="shared" si="48"/>
        <v>Bachelors</v>
      </c>
    </row>
    <row r="394" spans="1:39" x14ac:dyDescent="0.25">
      <c r="A394" t="s">
        <v>32</v>
      </c>
      <c r="B394" t="s">
        <v>73</v>
      </c>
      <c r="C394">
        <v>55.47</v>
      </c>
      <c r="D394">
        <v>687</v>
      </c>
      <c r="E394" t="b">
        <v>1</v>
      </c>
      <c r="F394" t="b">
        <v>0</v>
      </c>
      <c r="G394" t="b">
        <v>1</v>
      </c>
      <c r="H394" t="s">
        <v>53</v>
      </c>
      <c r="I394" t="s">
        <v>35</v>
      </c>
      <c r="J394" t="s">
        <v>50</v>
      </c>
      <c r="K394" t="s">
        <v>39</v>
      </c>
      <c r="L394" t="s">
        <v>51</v>
      </c>
      <c r="M394" t="s">
        <v>28</v>
      </c>
      <c r="O394" t="b">
        <v>1</v>
      </c>
      <c r="P394" t="b">
        <v>1</v>
      </c>
      <c r="Q394">
        <v>9.1</v>
      </c>
      <c r="R394" t="b">
        <v>0</v>
      </c>
      <c r="T394">
        <v>0</v>
      </c>
      <c r="U394">
        <v>64.33</v>
      </c>
      <c r="V394" t="b">
        <v>0</v>
      </c>
      <c r="W394" t="s">
        <v>58</v>
      </c>
      <c r="AE394" t="str">
        <f t="shared" si="42"/>
        <v>No</v>
      </c>
      <c r="AF394" t="str">
        <f t="shared" si="43"/>
        <v>Unknown</v>
      </c>
      <c r="AG394" t="str">
        <f t="shared" si="44"/>
        <v>Yes</v>
      </c>
      <c r="AH394" t="str">
        <f t="shared" si="45"/>
        <v>Unknown</v>
      </c>
      <c r="AJ394" t="str">
        <f t="shared" si="46"/>
        <v>High Trust</v>
      </c>
      <c r="AL394">
        <f t="shared" si="47"/>
        <v>64.3</v>
      </c>
      <c r="AM394" t="str">
        <f t="shared" si="48"/>
        <v>Professional</v>
      </c>
    </row>
    <row r="395" spans="1:39" x14ac:dyDescent="0.25">
      <c r="A395" t="s">
        <v>56</v>
      </c>
      <c r="B395" t="s">
        <v>33</v>
      </c>
      <c r="C395">
        <v>86.47</v>
      </c>
      <c r="D395">
        <v>583</v>
      </c>
      <c r="E395" t="b">
        <v>1</v>
      </c>
      <c r="F395" t="b">
        <v>0</v>
      </c>
      <c r="G395" t="b">
        <v>1</v>
      </c>
      <c r="H395" t="s">
        <v>43</v>
      </c>
      <c r="I395" t="s">
        <v>26</v>
      </c>
      <c r="J395" t="s">
        <v>50</v>
      </c>
      <c r="K395" t="s">
        <v>39</v>
      </c>
      <c r="L395" t="s">
        <v>69</v>
      </c>
      <c r="M395" t="s">
        <v>47</v>
      </c>
      <c r="N395" t="s">
        <v>28</v>
      </c>
      <c r="O395" t="b">
        <v>1</v>
      </c>
      <c r="P395" t="b">
        <v>1</v>
      </c>
      <c r="Q395">
        <v>10</v>
      </c>
      <c r="R395" t="b">
        <v>1</v>
      </c>
      <c r="S395" t="s">
        <v>40</v>
      </c>
      <c r="T395">
        <v>8.9</v>
      </c>
      <c r="U395">
        <v>79.61</v>
      </c>
      <c r="V395" t="b">
        <v>0</v>
      </c>
      <c r="W395" t="s">
        <v>31</v>
      </c>
      <c r="AE395" t="str">
        <f t="shared" si="42"/>
        <v>No</v>
      </c>
      <c r="AF395" t="str">
        <f t="shared" si="43"/>
        <v>Low</v>
      </c>
      <c r="AG395" t="str">
        <f t="shared" si="44"/>
        <v>Yes</v>
      </c>
      <c r="AH395" t="str">
        <f t="shared" si="45"/>
        <v>Asked Expert</v>
      </c>
      <c r="AJ395" t="str">
        <f t="shared" si="46"/>
        <v>High Trust</v>
      </c>
      <c r="AL395">
        <f t="shared" si="47"/>
        <v>79.599999999999994</v>
      </c>
      <c r="AM395" t="str">
        <f t="shared" si="48"/>
        <v>Professional</v>
      </c>
    </row>
    <row r="396" spans="1:39" x14ac:dyDescent="0.25">
      <c r="A396" t="s">
        <v>23</v>
      </c>
      <c r="B396" t="s">
        <v>71</v>
      </c>
      <c r="C396">
        <v>44.53</v>
      </c>
      <c r="D396">
        <v>344</v>
      </c>
      <c r="E396" t="b">
        <v>1</v>
      </c>
      <c r="F396" t="b">
        <v>0</v>
      </c>
      <c r="G396" t="b">
        <v>1</v>
      </c>
      <c r="H396" t="s">
        <v>25</v>
      </c>
      <c r="I396" t="s">
        <v>57</v>
      </c>
      <c r="J396" t="s">
        <v>27</v>
      </c>
      <c r="K396" t="s">
        <v>39</v>
      </c>
      <c r="L396" t="s">
        <v>37</v>
      </c>
      <c r="M396" t="s">
        <v>46</v>
      </c>
      <c r="N396" t="s">
        <v>39</v>
      </c>
      <c r="P396" t="b">
        <v>0</v>
      </c>
      <c r="Q396">
        <v>5.8</v>
      </c>
      <c r="R396" t="b">
        <v>1</v>
      </c>
      <c r="S396" t="s">
        <v>65</v>
      </c>
      <c r="T396">
        <v>22.1</v>
      </c>
      <c r="U396">
        <v>24.15</v>
      </c>
      <c r="V396" t="b">
        <v>0</v>
      </c>
      <c r="W396" t="s">
        <v>41</v>
      </c>
      <c r="AE396" t="str">
        <f t="shared" si="42"/>
        <v>No</v>
      </c>
      <c r="AF396" t="str">
        <f t="shared" si="43"/>
        <v>High</v>
      </c>
      <c r="AG396" t="str">
        <f t="shared" si="44"/>
        <v>No</v>
      </c>
      <c r="AH396" t="str">
        <f t="shared" si="45"/>
        <v>Cross-referenced Multiple AIs</v>
      </c>
      <c r="AJ396" t="str">
        <f t="shared" si="46"/>
        <v>Moderate Trust</v>
      </c>
      <c r="AL396">
        <f t="shared" si="47"/>
        <v>24.2</v>
      </c>
      <c r="AM396" t="str">
        <f t="shared" si="48"/>
        <v>Bachelors</v>
      </c>
    </row>
    <row r="397" spans="1:39" x14ac:dyDescent="0.25">
      <c r="A397" t="s">
        <v>56</v>
      </c>
      <c r="B397" t="s">
        <v>62</v>
      </c>
      <c r="C397">
        <v>61.28</v>
      </c>
      <c r="D397">
        <v>228</v>
      </c>
      <c r="E397" t="b">
        <v>1</v>
      </c>
      <c r="F397" t="b">
        <v>1</v>
      </c>
      <c r="G397" t="b">
        <v>1</v>
      </c>
      <c r="H397" t="s">
        <v>53</v>
      </c>
      <c r="I397" t="s">
        <v>26</v>
      </c>
      <c r="J397" t="s">
        <v>27</v>
      </c>
      <c r="K397" t="s">
        <v>46</v>
      </c>
      <c r="L397" t="s">
        <v>37</v>
      </c>
      <c r="M397" t="s">
        <v>39</v>
      </c>
      <c r="P397" t="b">
        <v>1</v>
      </c>
      <c r="Q397">
        <v>6.4</v>
      </c>
      <c r="R397" t="b">
        <v>1</v>
      </c>
      <c r="S397" t="s">
        <v>55</v>
      </c>
      <c r="T397">
        <v>5.6</v>
      </c>
      <c r="U397">
        <v>65.08</v>
      </c>
      <c r="V397" t="b">
        <v>1</v>
      </c>
      <c r="W397" t="s">
        <v>41</v>
      </c>
      <c r="AE397" t="str">
        <f t="shared" si="42"/>
        <v>Yes</v>
      </c>
      <c r="AF397" t="str">
        <f t="shared" si="43"/>
        <v>Unknown</v>
      </c>
      <c r="AG397" t="str">
        <f t="shared" si="44"/>
        <v>No</v>
      </c>
      <c r="AH397" t="str">
        <f t="shared" si="45"/>
        <v>Academic Paper</v>
      </c>
      <c r="AJ397" t="str">
        <f t="shared" si="46"/>
        <v>Moderate Trust</v>
      </c>
      <c r="AL397">
        <f t="shared" si="47"/>
        <v>65.099999999999994</v>
      </c>
      <c r="AM397" t="str">
        <f t="shared" si="48"/>
        <v>Bachelors</v>
      </c>
    </row>
    <row r="398" spans="1:39" x14ac:dyDescent="0.25">
      <c r="A398" t="s">
        <v>32</v>
      </c>
      <c r="B398" t="s">
        <v>59</v>
      </c>
      <c r="C398">
        <v>93.52</v>
      </c>
      <c r="D398">
        <v>374</v>
      </c>
      <c r="E398" t="b">
        <v>1</v>
      </c>
      <c r="F398" t="b">
        <v>1</v>
      </c>
      <c r="G398" t="b">
        <v>1</v>
      </c>
      <c r="H398" t="s">
        <v>25</v>
      </c>
      <c r="I398" t="s">
        <v>57</v>
      </c>
      <c r="J398" t="s">
        <v>45</v>
      </c>
      <c r="K398" t="s">
        <v>37</v>
      </c>
      <c r="L398" t="s">
        <v>38</v>
      </c>
      <c r="M398" t="s">
        <v>39</v>
      </c>
      <c r="N398" t="s">
        <v>39</v>
      </c>
      <c r="P398" t="b">
        <v>1</v>
      </c>
      <c r="Q398">
        <v>10</v>
      </c>
      <c r="R398" t="b">
        <v>0</v>
      </c>
      <c r="T398">
        <v>0</v>
      </c>
      <c r="U398">
        <v>91.74</v>
      </c>
      <c r="V398" t="b">
        <v>1</v>
      </c>
      <c r="W398" t="s">
        <v>58</v>
      </c>
      <c r="AE398" t="str">
        <f t="shared" si="42"/>
        <v>Yes</v>
      </c>
      <c r="AF398" t="str">
        <f t="shared" si="43"/>
        <v>High</v>
      </c>
      <c r="AG398" t="str">
        <f t="shared" si="44"/>
        <v>No</v>
      </c>
      <c r="AH398" t="str">
        <f t="shared" si="45"/>
        <v>Unknown</v>
      </c>
      <c r="AJ398" t="str">
        <f t="shared" si="46"/>
        <v>High Trust</v>
      </c>
      <c r="AL398">
        <f t="shared" si="47"/>
        <v>91.7</v>
      </c>
      <c r="AM398" t="str">
        <f t="shared" si="48"/>
        <v>High School</v>
      </c>
    </row>
    <row r="399" spans="1:39" x14ac:dyDescent="0.25">
      <c r="A399" t="s">
        <v>23</v>
      </c>
      <c r="B399" t="s">
        <v>70</v>
      </c>
      <c r="C399">
        <v>87.07</v>
      </c>
      <c r="D399">
        <v>89</v>
      </c>
      <c r="E399" t="b">
        <v>0</v>
      </c>
      <c r="F399" t="b">
        <v>1</v>
      </c>
      <c r="G399" t="b">
        <v>1</v>
      </c>
      <c r="H399" t="s">
        <v>25</v>
      </c>
      <c r="I399" t="s">
        <v>57</v>
      </c>
      <c r="J399" t="s">
        <v>27</v>
      </c>
      <c r="K399" t="s">
        <v>37</v>
      </c>
      <c r="L399" t="s">
        <v>37</v>
      </c>
      <c r="M399" t="s">
        <v>47</v>
      </c>
      <c r="N399" t="s">
        <v>46</v>
      </c>
      <c r="O399" t="b">
        <v>1</v>
      </c>
      <c r="P399" t="b">
        <v>0</v>
      </c>
      <c r="Q399">
        <v>9.1999999999999993</v>
      </c>
      <c r="R399" t="b">
        <v>0</v>
      </c>
      <c r="T399">
        <v>0</v>
      </c>
      <c r="U399">
        <v>86.98</v>
      </c>
      <c r="V399" t="b">
        <v>1</v>
      </c>
      <c r="W399" t="s">
        <v>58</v>
      </c>
      <c r="AE399" t="str">
        <f t="shared" si="42"/>
        <v>Yes</v>
      </c>
      <c r="AF399" t="str">
        <f t="shared" si="43"/>
        <v>Medium</v>
      </c>
      <c r="AG399" t="str">
        <f t="shared" si="44"/>
        <v>Yes</v>
      </c>
      <c r="AH399" t="str">
        <f t="shared" si="45"/>
        <v>Unknown</v>
      </c>
      <c r="AJ399" t="str">
        <f t="shared" si="46"/>
        <v>High Trust</v>
      </c>
      <c r="AL399">
        <f t="shared" si="47"/>
        <v>87</v>
      </c>
      <c r="AM399" t="str">
        <f t="shared" si="48"/>
        <v>Bachelors</v>
      </c>
    </row>
    <row r="400" spans="1:39" x14ac:dyDescent="0.25">
      <c r="A400" t="s">
        <v>68</v>
      </c>
      <c r="B400" t="s">
        <v>76</v>
      </c>
      <c r="C400">
        <v>75.86</v>
      </c>
      <c r="D400">
        <v>93</v>
      </c>
      <c r="E400" t="b">
        <v>0</v>
      </c>
      <c r="F400" t="b">
        <v>0</v>
      </c>
      <c r="G400" t="b">
        <v>1</v>
      </c>
      <c r="H400" t="s">
        <v>34</v>
      </c>
      <c r="I400" t="s">
        <v>44</v>
      </c>
      <c r="J400" t="s">
        <v>36</v>
      </c>
      <c r="K400" t="s">
        <v>37</v>
      </c>
      <c r="L400" t="s">
        <v>38</v>
      </c>
      <c r="M400" t="s">
        <v>46</v>
      </c>
      <c r="N400" t="s">
        <v>28</v>
      </c>
      <c r="O400" t="b">
        <v>1</v>
      </c>
      <c r="P400" t="b">
        <v>0</v>
      </c>
      <c r="Q400">
        <v>10</v>
      </c>
      <c r="R400" t="b">
        <v>1</v>
      </c>
      <c r="S400" t="s">
        <v>75</v>
      </c>
      <c r="T400">
        <v>17.600000000000001</v>
      </c>
      <c r="U400">
        <v>70.62</v>
      </c>
      <c r="V400" t="b">
        <v>0</v>
      </c>
      <c r="W400" t="s">
        <v>31</v>
      </c>
      <c r="AE400" t="str">
        <f t="shared" si="42"/>
        <v>No</v>
      </c>
      <c r="AF400" t="str">
        <f t="shared" si="43"/>
        <v>Low</v>
      </c>
      <c r="AG400" t="str">
        <f t="shared" si="44"/>
        <v>Yes</v>
      </c>
      <c r="AH400" t="str">
        <f t="shared" si="45"/>
        <v>Asked Colleague</v>
      </c>
      <c r="AJ400" t="str">
        <f t="shared" si="46"/>
        <v>High Trust</v>
      </c>
      <c r="AL400">
        <f t="shared" si="47"/>
        <v>70.599999999999994</v>
      </c>
      <c r="AM400" t="str">
        <f t="shared" si="48"/>
        <v>PhD</v>
      </c>
    </row>
    <row r="401" spans="1:39" x14ac:dyDescent="0.25">
      <c r="A401" t="s">
        <v>23</v>
      </c>
      <c r="B401" t="s">
        <v>24</v>
      </c>
      <c r="C401">
        <v>92.71</v>
      </c>
      <c r="D401">
        <v>471</v>
      </c>
      <c r="E401" t="b">
        <v>1</v>
      </c>
      <c r="F401" t="b">
        <v>1</v>
      </c>
      <c r="G401" t="b">
        <v>0</v>
      </c>
      <c r="H401" t="s">
        <v>34</v>
      </c>
      <c r="I401" t="s">
        <v>63</v>
      </c>
      <c r="J401" t="s">
        <v>36</v>
      </c>
      <c r="K401" t="s">
        <v>37</v>
      </c>
      <c r="L401" t="s">
        <v>37</v>
      </c>
      <c r="M401" t="s">
        <v>46</v>
      </c>
      <c r="N401" t="s">
        <v>39</v>
      </c>
      <c r="O401" t="b">
        <v>1</v>
      </c>
      <c r="P401" t="b">
        <v>0</v>
      </c>
      <c r="Q401">
        <v>10</v>
      </c>
      <c r="R401" t="b">
        <v>1</v>
      </c>
      <c r="S401" t="s">
        <v>48</v>
      </c>
      <c r="T401">
        <v>40.299999999999997</v>
      </c>
      <c r="U401">
        <v>79.2</v>
      </c>
      <c r="V401" t="b">
        <v>0</v>
      </c>
      <c r="W401" t="s">
        <v>31</v>
      </c>
      <c r="AE401" t="str">
        <f t="shared" si="42"/>
        <v>Yes</v>
      </c>
      <c r="AF401" t="str">
        <f t="shared" si="43"/>
        <v>High</v>
      </c>
      <c r="AG401" t="str">
        <f t="shared" si="44"/>
        <v>Yes</v>
      </c>
      <c r="AH401" t="str">
        <f t="shared" si="45"/>
        <v>Consulted Documentation</v>
      </c>
      <c r="AJ401" t="str">
        <f t="shared" si="46"/>
        <v>High Trust</v>
      </c>
      <c r="AL401">
        <f t="shared" si="47"/>
        <v>79.2</v>
      </c>
      <c r="AM401" t="str">
        <f t="shared" si="48"/>
        <v>PhD</v>
      </c>
    </row>
    <row r="402" spans="1:39" x14ac:dyDescent="0.25">
      <c r="A402" t="s">
        <v>74</v>
      </c>
      <c r="B402" t="s">
        <v>71</v>
      </c>
      <c r="C402">
        <v>52.74</v>
      </c>
      <c r="D402">
        <v>515</v>
      </c>
      <c r="E402" t="b">
        <v>1</v>
      </c>
      <c r="F402" t="b">
        <v>0</v>
      </c>
      <c r="G402" t="b">
        <v>0</v>
      </c>
      <c r="H402" t="s">
        <v>25</v>
      </c>
      <c r="I402" t="s">
        <v>44</v>
      </c>
      <c r="J402" t="s">
        <v>54</v>
      </c>
      <c r="K402" t="s">
        <v>46</v>
      </c>
      <c r="L402" t="s">
        <v>69</v>
      </c>
      <c r="M402" t="s">
        <v>39</v>
      </c>
      <c r="O402" t="b">
        <v>0</v>
      </c>
      <c r="P402" t="b">
        <v>0</v>
      </c>
      <c r="Q402">
        <v>5.5</v>
      </c>
      <c r="R402" t="b">
        <v>1</v>
      </c>
      <c r="S402" t="s">
        <v>40</v>
      </c>
      <c r="T402">
        <v>29.3</v>
      </c>
      <c r="U402">
        <v>46.58</v>
      </c>
      <c r="V402" t="b">
        <v>1</v>
      </c>
      <c r="W402" t="s">
        <v>41</v>
      </c>
      <c r="AE402" t="str">
        <f t="shared" si="42"/>
        <v>No</v>
      </c>
      <c r="AF402" t="str">
        <f t="shared" si="43"/>
        <v>Unknown</v>
      </c>
      <c r="AG402" t="str">
        <f t="shared" si="44"/>
        <v>No</v>
      </c>
      <c r="AH402" t="str">
        <f t="shared" si="45"/>
        <v>Asked Expert</v>
      </c>
      <c r="AJ402" t="str">
        <f t="shared" si="46"/>
        <v>Moderate Trust</v>
      </c>
      <c r="AL402">
        <f t="shared" si="47"/>
        <v>46.6</v>
      </c>
      <c r="AM402" t="str">
        <f t="shared" si="48"/>
        <v>Masters</v>
      </c>
    </row>
    <row r="403" spans="1:39" x14ac:dyDescent="0.25">
      <c r="A403" t="s">
        <v>68</v>
      </c>
      <c r="B403" t="s">
        <v>73</v>
      </c>
      <c r="C403">
        <v>50.69</v>
      </c>
      <c r="D403">
        <v>298</v>
      </c>
      <c r="E403" t="b">
        <v>0</v>
      </c>
      <c r="F403" t="b">
        <v>1</v>
      </c>
      <c r="G403" t="b">
        <v>0</v>
      </c>
      <c r="H403" t="s">
        <v>53</v>
      </c>
      <c r="I403" t="s">
        <v>35</v>
      </c>
      <c r="J403" t="s">
        <v>27</v>
      </c>
      <c r="K403" t="s">
        <v>39</v>
      </c>
      <c r="L403" t="s">
        <v>38</v>
      </c>
      <c r="M403" t="s">
        <v>39</v>
      </c>
      <c r="N403" t="s">
        <v>39</v>
      </c>
      <c r="P403" t="b">
        <v>0</v>
      </c>
      <c r="Q403">
        <v>5.0999999999999996</v>
      </c>
      <c r="R403" t="b">
        <v>1</v>
      </c>
      <c r="S403" t="s">
        <v>40</v>
      </c>
      <c r="T403">
        <v>40.6</v>
      </c>
      <c r="U403">
        <v>47.91</v>
      </c>
      <c r="V403" t="b">
        <v>1</v>
      </c>
      <c r="W403" t="s">
        <v>41</v>
      </c>
      <c r="AE403" t="str">
        <f t="shared" si="42"/>
        <v>Yes</v>
      </c>
      <c r="AF403" t="str">
        <f t="shared" si="43"/>
        <v>High</v>
      </c>
      <c r="AG403" t="str">
        <f t="shared" si="44"/>
        <v>No</v>
      </c>
      <c r="AH403" t="str">
        <f t="shared" si="45"/>
        <v>Asked Expert</v>
      </c>
      <c r="AJ403" t="str">
        <f t="shared" si="46"/>
        <v>Moderate Trust</v>
      </c>
      <c r="AL403">
        <f t="shared" si="47"/>
        <v>47.9</v>
      </c>
      <c r="AM403" t="str">
        <f t="shared" si="48"/>
        <v>Bachelors</v>
      </c>
    </row>
    <row r="404" spans="1:39" x14ac:dyDescent="0.25">
      <c r="A404" t="s">
        <v>56</v>
      </c>
      <c r="B404" t="s">
        <v>76</v>
      </c>
      <c r="C404">
        <v>85.03</v>
      </c>
      <c r="D404">
        <v>132</v>
      </c>
      <c r="E404" t="b">
        <v>1</v>
      </c>
      <c r="F404" t="b">
        <v>0</v>
      </c>
      <c r="G404" t="b">
        <v>0</v>
      </c>
      <c r="H404" t="s">
        <v>53</v>
      </c>
      <c r="I404" t="s">
        <v>35</v>
      </c>
      <c r="J404" t="s">
        <v>45</v>
      </c>
      <c r="K404" t="s">
        <v>46</v>
      </c>
      <c r="L404" t="s">
        <v>51</v>
      </c>
      <c r="M404" t="s">
        <v>46</v>
      </c>
      <c r="N404" t="s">
        <v>46</v>
      </c>
      <c r="O404" t="b">
        <v>0</v>
      </c>
      <c r="P404" t="b">
        <v>0</v>
      </c>
      <c r="Q404">
        <v>9.3000000000000007</v>
      </c>
      <c r="R404" t="b">
        <v>0</v>
      </c>
      <c r="T404">
        <v>0</v>
      </c>
      <c r="U404">
        <v>87.57</v>
      </c>
      <c r="V404" t="b">
        <v>1</v>
      </c>
      <c r="W404" t="s">
        <v>58</v>
      </c>
      <c r="AE404" t="str">
        <f t="shared" si="42"/>
        <v>No</v>
      </c>
      <c r="AF404" t="str">
        <f t="shared" si="43"/>
        <v>Medium</v>
      </c>
      <c r="AG404" t="str">
        <f t="shared" si="44"/>
        <v>No</v>
      </c>
      <c r="AH404" t="str">
        <f t="shared" si="45"/>
        <v>Unknown</v>
      </c>
      <c r="AJ404" t="str">
        <f t="shared" si="46"/>
        <v>High Trust</v>
      </c>
      <c r="AL404">
        <f t="shared" si="47"/>
        <v>87.6</v>
      </c>
      <c r="AM404" t="str">
        <f t="shared" si="48"/>
        <v>High School</v>
      </c>
    </row>
    <row r="405" spans="1:39" x14ac:dyDescent="0.25">
      <c r="A405" t="s">
        <v>61</v>
      </c>
      <c r="B405" t="s">
        <v>70</v>
      </c>
      <c r="C405">
        <v>94.61</v>
      </c>
      <c r="D405">
        <v>373</v>
      </c>
      <c r="E405" t="b">
        <v>0</v>
      </c>
      <c r="F405" t="b">
        <v>1</v>
      </c>
      <c r="G405" t="b">
        <v>0</v>
      </c>
      <c r="H405" t="s">
        <v>43</v>
      </c>
      <c r="I405" t="s">
        <v>67</v>
      </c>
      <c r="J405" t="s">
        <v>27</v>
      </c>
      <c r="K405" t="s">
        <v>46</v>
      </c>
      <c r="L405" t="s">
        <v>38</v>
      </c>
      <c r="M405" t="s">
        <v>47</v>
      </c>
      <c r="N405" t="s">
        <v>46</v>
      </c>
      <c r="P405" t="b">
        <v>0</v>
      </c>
      <c r="Q405">
        <v>9.1</v>
      </c>
      <c r="R405" t="b">
        <v>0</v>
      </c>
      <c r="T405">
        <v>0</v>
      </c>
      <c r="U405">
        <v>80.91</v>
      </c>
      <c r="V405" t="b">
        <v>1</v>
      </c>
      <c r="W405" t="s">
        <v>58</v>
      </c>
      <c r="AE405" t="str">
        <f t="shared" si="42"/>
        <v>Yes</v>
      </c>
      <c r="AF405" t="str">
        <f t="shared" si="43"/>
        <v>Medium</v>
      </c>
      <c r="AG405" t="str">
        <f t="shared" si="44"/>
        <v>No</v>
      </c>
      <c r="AH405" t="str">
        <f t="shared" si="45"/>
        <v>Unknown</v>
      </c>
      <c r="AJ405" t="str">
        <f t="shared" si="46"/>
        <v>High Trust</v>
      </c>
      <c r="AL405">
        <f t="shared" si="47"/>
        <v>80.900000000000006</v>
      </c>
      <c r="AM405" t="str">
        <f t="shared" si="48"/>
        <v>Bachelors</v>
      </c>
    </row>
    <row r="406" spans="1:39" x14ac:dyDescent="0.25">
      <c r="A406" t="s">
        <v>68</v>
      </c>
      <c r="B406" t="s">
        <v>60</v>
      </c>
      <c r="C406">
        <v>42.25</v>
      </c>
      <c r="D406">
        <v>516</v>
      </c>
      <c r="E406" t="b">
        <v>1</v>
      </c>
      <c r="F406" t="b">
        <v>1</v>
      </c>
      <c r="G406" t="b">
        <v>1</v>
      </c>
      <c r="H406" t="s">
        <v>25</v>
      </c>
      <c r="I406" t="s">
        <v>44</v>
      </c>
      <c r="J406" t="s">
        <v>36</v>
      </c>
      <c r="K406" t="s">
        <v>37</v>
      </c>
      <c r="L406" t="s">
        <v>38</v>
      </c>
      <c r="M406" t="s">
        <v>39</v>
      </c>
      <c r="O406" t="b">
        <v>1</v>
      </c>
      <c r="P406" t="b">
        <v>1</v>
      </c>
      <c r="Q406">
        <v>6</v>
      </c>
      <c r="R406" t="b">
        <v>1</v>
      </c>
      <c r="S406" t="s">
        <v>48</v>
      </c>
      <c r="T406">
        <v>2.7</v>
      </c>
      <c r="U406">
        <v>35.840000000000003</v>
      </c>
      <c r="V406" t="b">
        <v>0</v>
      </c>
      <c r="W406" t="s">
        <v>41</v>
      </c>
      <c r="AE406" t="str">
        <f t="shared" si="42"/>
        <v>Yes</v>
      </c>
      <c r="AF406" t="str">
        <f t="shared" si="43"/>
        <v>Unknown</v>
      </c>
      <c r="AG406" t="str">
        <f t="shared" si="44"/>
        <v>Yes</v>
      </c>
      <c r="AH406" t="str">
        <f t="shared" si="45"/>
        <v>Consulted Documentation</v>
      </c>
      <c r="AJ406" t="str">
        <f t="shared" si="46"/>
        <v>Moderate Trust</v>
      </c>
      <c r="AL406">
        <f t="shared" si="47"/>
        <v>35.799999999999997</v>
      </c>
      <c r="AM406" t="str">
        <f t="shared" si="48"/>
        <v>PhD</v>
      </c>
    </row>
    <row r="407" spans="1:39" x14ac:dyDescent="0.25">
      <c r="A407" t="s">
        <v>68</v>
      </c>
      <c r="B407" t="s">
        <v>66</v>
      </c>
      <c r="C407">
        <v>78.52</v>
      </c>
      <c r="D407">
        <v>773</v>
      </c>
      <c r="E407" t="b">
        <v>0</v>
      </c>
      <c r="F407" t="b">
        <v>0</v>
      </c>
      <c r="G407" t="b">
        <v>0</v>
      </c>
      <c r="H407" t="s">
        <v>25</v>
      </c>
      <c r="I407" t="s">
        <v>67</v>
      </c>
      <c r="J407" t="s">
        <v>27</v>
      </c>
      <c r="K407" t="s">
        <v>28</v>
      </c>
      <c r="L407" t="s">
        <v>29</v>
      </c>
      <c r="M407" t="s">
        <v>28</v>
      </c>
      <c r="N407" t="s">
        <v>46</v>
      </c>
      <c r="O407" t="b">
        <v>0</v>
      </c>
      <c r="P407" t="b">
        <v>0</v>
      </c>
      <c r="Q407">
        <v>8</v>
      </c>
      <c r="R407" t="b">
        <v>0</v>
      </c>
      <c r="T407">
        <v>0</v>
      </c>
      <c r="U407">
        <v>79.36</v>
      </c>
      <c r="V407" t="b">
        <v>1</v>
      </c>
      <c r="W407" t="s">
        <v>58</v>
      </c>
      <c r="AE407" t="str">
        <f t="shared" si="42"/>
        <v>No</v>
      </c>
      <c r="AF407" t="str">
        <f t="shared" si="43"/>
        <v>Medium</v>
      </c>
      <c r="AG407" t="str">
        <f t="shared" si="44"/>
        <v>No</v>
      </c>
      <c r="AH407" t="str">
        <f t="shared" si="45"/>
        <v>Unknown</v>
      </c>
      <c r="AJ407" t="str">
        <f t="shared" si="46"/>
        <v>High Trust</v>
      </c>
      <c r="AL407">
        <f t="shared" si="47"/>
        <v>79.400000000000006</v>
      </c>
      <c r="AM407" t="str">
        <f t="shared" si="48"/>
        <v>Bachelors</v>
      </c>
    </row>
    <row r="408" spans="1:39" x14ac:dyDescent="0.25">
      <c r="A408" t="s">
        <v>56</v>
      </c>
      <c r="B408" t="s">
        <v>33</v>
      </c>
      <c r="C408">
        <v>79.39</v>
      </c>
      <c r="D408">
        <v>404</v>
      </c>
      <c r="E408" t="b">
        <v>1</v>
      </c>
      <c r="F408" t="b">
        <v>1</v>
      </c>
      <c r="G408" t="b">
        <v>1</v>
      </c>
      <c r="H408" t="s">
        <v>25</v>
      </c>
      <c r="I408" t="s">
        <v>67</v>
      </c>
      <c r="J408" t="s">
        <v>36</v>
      </c>
      <c r="K408" t="s">
        <v>28</v>
      </c>
      <c r="L408" t="s">
        <v>69</v>
      </c>
      <c r="M408" t="s">
        <v>47</v>
      </c>
      <c r="N408" t="s">
        <v>39</v>
      </c>
      <c r="P408" t="b">
        <v>1</v>
      </c>
      <c r="Q408">
        <v>8.6999999999999993</v>
      </c>
      <c r="R408" t="b">
        <v>1</v>
      </c>
      <c r="S408" t="s">
        <v>65</v>
      </c>
      <c r="T408">
        <v>22.8</v>
      </c>
      <c r="U408">
        <v>83.62</v>
      </c>
      <c r="V408" t="b">
        <v>1</v>
      </c>
      <c r="W408" t="s">
        <v>31</v>
      </c>
      <c r="AE408" t="str">
        <f t="shared" si="42"/>
        <v>Yes</v>
      </c>
      <c r="AF408" t="str">
        <f t="shared" si="43"/>
        <v>High</v>
      </c>
      <c r="AG408" t="str">
        <f t="shared" si="44"/>
        <v>No</v>
      </c>
      <c r="AH408" t="str">
        <f t="shared" si="45"/>
        <v>Cross-referenced Multiple AIs</v>
      </c>
      <c r="AJ408" t="str">
        <f t="shared" si="46"/>
        <v>High Trust</v>
      </c>
      <c r="AL408">
        <f t="shared" si="47"/>
        <v>83.6</v>
      </c>
      <c r="AM408" t="str">
        <f t="shared" si="48"/>
        <v>PhD</v>
      </c>
    </row>
    <row r="409" spans="1:39" x14ac:dyDescent="0.25">
      <c r="A409" t="s">
        <v>61</v>
      </c>
      <c r="B409" t="s">
        <v>42</v>
      </c>
      <c r="C409">
        <v>79.83</v>
      </c>
      <c r="D409">
        <v>372</v>
      </c>
      <c r="E409" t="b">
        <v>0</v>
      </c>
      <c r="F409" t="b">
        <v>1</v>
      </c>
      <c r="G409" t="b">
        <v>1</v>
      </c>
      <c r="H409" t="s">
        <v>34</v>
      </c>
      <c r="I409" t="s">
        <v>63</v>
      </c>
      <c r="J409" t="s">
        <v>54</v>
      </c>
      <c r="K409" t="s">
        <v>39</v>
      </c>
      <c r="L409" t="s">
        <v>29</v>
      </c>
      <c r="M409" t="s">
        <v>46</v>
      </c>
      <c r="N409" t="s">
        <v>28</v>
      </c>
      <c r="O409" t="b">
        <v>1</v>
      </c>
      <c r="P409" t="b">
        <v>0</v>
      </c>
      <c r="Q409">
        <v>9</v>
      </c>
      <c r="R409" t="b">
        <v>1</v>
      </c>
      <c r="S409" t="s">
        <v>65</v>
      </c>
      <c r="T409">
        <v>44.1</v>
      </c>
      <c r="U409">
        <v>76.650000000000006</v>
      </c>
      <c r="V409" t="b">
        <v>1</v>
      </c>
      <c r="W409" t="s">
        <v>31</v>
      </c>
      <c r="AE409" t="str">
        <f t="shared" si="42"/>
        <v>Yes</v>
      </c>
      <c r="AF409" t="str">
        <f t="shared" si="43"/>
        <v>Low</v>
      </c>
      <c r="AG409" t="str">
        <f t="shared" si="44"/>
        <v>Yes</v>
      </c>
      <c r="AH409" t="str">
        <f t="shared" si="45"/>
        <v>Cross-referenced Multiple AIs</v>
      </c>
      <c r="AJ409" t="str">
        <f t="shared" si="46"/>
        <v>High Trust</v>
      </c>
      <c r="AL409">
        <f t="shared" si="47"/>
        <v>76.7</v>
      </c>
      <c r="AM409" t="str">
        <f t="shared" si="48"/>
        <v>Masters</v>
      </c>
    </row>
    <row r="410" spans="1:39" x14ac:dyDescent="0.25">
      <c r="A410" t="s">
        <v>32</v>
      </c>
      <c r="B410" t="s">
        <v>60</v>
      </c>
      <c r="C410">
        <v>61.02</v>
      </c>
      <c r="D410">
        <v>62</v>
      </c>
      <c r="E410" t="b">
        <v>1</v>
      </c>
      <c r="F410" t="b">
        <v>0</v>
      </c>
      <c r="G410" t="b">
        <v>1</v>
      </c>
      <c r="H410" t="s">
        <v>53</v>
      </c>
      <c r="I410" t="s">
        <v>57</v>
      </c>
      <c r="J410" t="s">
        <v>36</v>
      </c>
      <c r="K410" t="s">
        <v>37</v>
      </c>
      <c r="L410" t="s">
        <v>29</v>
      </c>
      <c r="M410" t="s">
        <v>28</v>
      </c>
      <c r="N410" t="s">
        <v>39</v>
      </c>
      <c r="O410" t="b">
        <v>1</v>
      </c>
      <c r="P410" t="b">
        <v>0</v>
      </c>
      <c r="Q410">
        <v>9</v>
      </c>
      <c r="R410" t="b">
        <v>1</v>
      </c>
      <c r="S410" t="s">
        <v>48</v>
      </c>
      <c r="T410">
        <v>13.7</v>
      </c>
      <c r="U410">
        <v>68.87</v>
      </c>
      <c r="V410" t="b">
        <v>0</v>
      </c>
      <c r="W410" t="s">
        <v>31</v>
      </c>
      <c r="AE410" t="str">
        <f t="shared" si="42"/>
        <v>No</v>
      </c>
      <c r="AF410" t="str">
        <f t="shared" si="43"/>
        <v>High</v>
      </c>
      <c r="AG410" t="str">
        <f t="shared" si="44"/>
        <v>Yes</v>
      </c>
      <c r="AH410" t="str">
        <f t="shared" si="45"/>
        <v>Consulted Documentation</v>
      </c>
      <c r="AJ410" t="str">
        <f t="shared" si="46"/>
        <v>High Trust</v>
      </c>
      <c r="AL410">
        <f t="shared" si="47"/>
        <v>68.900000000000006</v>
      </c>
      <c r="AM410" t="str">
        <f t="shared" si="48"/>
        <v>PhD</v>
      </c>
    </row>
    <row r="411" spans="1:39" x14ac:dyDescent="0.25">
      <c r="A411" t="s">
        <v>23</v>
      </c>
      <c r="B411" t="s">
        <v>71</v>
      </c>
      <c r="C411">
        <v>57.46</v>
      </c>
      <c r="D411">
        <v>623</v>
      </c>
      <c r="E411" t="b">
        <v>0</v>
      </c>
      <c r="F411" t="b">
        <v>0</v>
      </c>
      <c r="G411" t="b">
        <v>1</v>
      </c>
      <c r="H411" t="s">
        <v>34</v>
      </c>
      <c r="I411" t="s">
        <v>44</v>
      </c>
      <c r="J411" t="s">
        <v>27</v>
      </c>
      <c r="K411" t="s">
        <v>39</v>
      </c>
      <c r="L411" t="s">
        <v>37</v>
      </c>
      <c r="M411" t="s">
        <v>39</v>
      </c>
      <c r="N411" t="s">
        <v>46</v>
      </c>
      <c r="P411" t="b">
        <v>1</v>
      </c>
      <c r="Q411">
        <v>5.2</v>
      </c>
      <c r="R411" t="b">
        <v>1</v>
      </c>
      <c r="S411" t="s">
        <v>64</v>
      </c>
      <c r="T411">
        <v>7.3</v>
      </c>
      <c r="U411">
        <v>56.22</v>
      </c>
      <c r="V411" t="b">
        <v>1</v>
      </c>
      <c r="W411" t="s">
        <v>41</v>
      </c>
      <c r="AE411" t="str">
        <f t="shared" si="42"/>
        <v>No</v>
      </c>
      <c r="AF411" t="str">
        <f t="shared" si="43"/>
        <v>Medium</v>
      </c>
      <c r="AG411" t="str">
        <f t="shared" si="44"/>
        <v>No</v>
      </c>
      <c r="AH411" t="str">
        <f t="shared" si="45"/>
        <v>Personal Testing</v>
      </c>
      <c r="AJ411" t="str">
        <f t="shared" si="46"/>
        <v>Moderate Trust</v>
      </c>
      <c r="AL411">
        <f t="shared" si="47"/>
        <v>56.2</v>
      </c>
      <c r="AM411" t="str">
        <f t="shared" si="48"/>
        <v>Bachelors</v>
      </c>
    </row>
    <row r="412" spans="1:39" x14ac:dyDescent="0.25">
      <c r="A412" t="s">
        <v>32</v>
      </c>
      <c r="B412" t="s">
        <v>60</v>
      </c>
      <c r="C412">
        <v>63.19</v>
      </c>
      <c r="D412">
        <v>462</v>
      </c>
      <c r="E412" t="b">
        <v>1</v>
      </c>
      <c r="F412" t="b">
        <v>0</v>
      </c>
      <c r="G412" t="b">
        <v>0</v>
      </c>
      <c r="H412" t="s">
        <v>34</v>
      </c>
      <c r="I412" t="s">
        <v>63</v>
      </c>
      <c r="J412" t="s">
        <v>54</v>
      </c>
      <c r="K412" t="s">
        <v>46</v>
      </c>
      <c r="L412" t="s">
        <v>37</v>
      </c>
      <c r="M412" t="s">
        <v>39</v>
      </c>
      <c r="O412" t="b">
        <v>0</v>
      </c>
      <c r="P412" t="b">
        <v>0</v>
      </c>
      <c r="Q412">
        <v>6.2</v>
      </c>
      <c r="R412" t="b">
        <v>1</v>
      </c>
      <c r="S412" t="s">
        <v>75</v>
      </c>
      <c r="T412">
        <v>8.5</v>
      </c>
      <c r="U412">
        <v>53.13</v>
      </c>
      <c r="V412" t="b">
        <v>1</v>
      </c>
      <c r="W412" t="s">
        <v>41</v>
      </c>
      <c r="AE412" t="str">
        <f t="shared" si="42"/>
        <v>No</v>
      </c>
      <c r="AF412" t="str">
        <f t="shared" si="43"/>
        <v>Unknown</v>
      </c>
      <c r="AG412" t="str">
        <f t="shared" si="44"/>
        <v>No</v>
      </c>
      <c r="AH412" t="str">
        <f t="shared" si="45"/>
        <v>Asked Colleague</v>
      </c>
      <c r="AJ412" t="str">
        <f t="shared" si="46"/>
        <v>Moderate Trust</v>
      </c>
      <c r="AL412">
        <f t="shared" si="47"/>
        <v>53.1</v>
      </c>
      <c r="AM412" t="str">
        <f t="shared" si="48"/>
        <v>Masters</v>
      </c>
    </row>
    <row r="413" spans="1:39" x14ac:dyDescent="0.25">
      <c r="A413" t="s">
        <v>23</v>
      </c>
      <c r="B413" t="s">
        <v>33</v>
      </c>
      <c r="C413">
        <v>83.79</v>
      </c>
      <c r="D413">
        <v>478</v>
      </c>
      <c r="E413" t="b">
        <v>1</v>
      </c>
      <c r="F413" t="b">
        <v>1</v>
      </c>
      <c r="G413" t="b">
        <v>1</v>
      </c>
      <c r="H413" t="s">
        <v>34</v>
      </c>
      <c r="I413" t="s">
        <v>44</v>
      </c>
      <c r="J413" t="s">
        <v>36</v>
      </c>
      <c r="K413" t="s">
        <v>37</v>
      </c>
      <c r="L413" t="s">
        <v>29</v>
      </c>
      <c r="M413" t="s">
        <v>39</v>
      </c>
      <c r="N413" t="s">
        <v>46</v>
      </c>
      <c r="P413" t="b">
        <v>0</v>
      </c>
      <c r="Q413">
        <v>8.6</v>
      </c>
      <c r="R413" t="b">
        <v>0</v>
      </c>
      <c r="T413">
        <v>0</v>
      </c>
      <c r="U413">
        <v>92.94</v>
      </c>
      <c r="V413" t="b">
        <v>1</v>
      </c>
      <c r="W413" t="s">
        <v>58</v>
      </c>
      <c r="AE413" t="str">
        <f t="shared" si="42"/>
        <v>Yes</v>
      </c>
      <c r="AF413" t="str">
        <f t="shared" si="43"/>
        <v>Medium</v>
      </c>
      <c r="AG413" t="str">
        <f t="shared" si="44"/>
        <v>No</v>
      </c>
      <c r="AH413" t="str">
        <f t="shared" si="45"/>
        <v>Unknown</v>
      </c>
      <c r="AJ413" t="str">
        <f t="shared" si="46"/>
        <v>High Trust</v>
      </c>
      <c r="AL413">
        <f t="shared" si="47"/>
        <v>92.9</v>
      </c>
      <c r="AM413" t="str">
        <f t="shared" si="48"/>
        <v>PhD</v>
      </c>
    </row>
    <row r="414" spans="1:39" x14ac:dyDescent="0.25">
      <c r="A414" t="s">
        <v>23</v>
      </c>
      <c r="B414" t="s">
        <v>42</v>
      </c>
      <c r="C414">
        <v>70.61</v>
      </c>
      <c r="D414">
        <v>215</v>
      </c>
      <c r="E414" t="b">
        <v>1</v>
      </c>
      <c r="F414" t="b">
        <v>0</v>
      </c>
      <c r="G414" t="b">
        <v>1</v>
      </c>
      <c r="H414" t="s">
        <v>25</v>
      </c>
      <c r="I414" t="s">
        <v>44</v>
      </c>
      <c r="J414" t="s">
        <v>36</v>
      </c>
      <c r="K414" t="s">
        <v>28</v>
      </c>
      <c r="L414" t="s">
        <v>29</v>
      </c>
      <c r="M414" t="s">
        <v>28</v>
      </c>
      <c r="N414" t="s">
        <v>46</v>
      </c>
      <c r="O414" t="b">
        <v>0</v>
      </c>
      <c r="P414" t="b">
        <v>1</v>
      </c>
      <c r="Q414">
        <v>7.8</v>
      </c>
      <c r="R414" t="b">
        <v>1</v>
      </c>
      <c r="S414" t="s">
        <v>65</v>
      </c>
      <c r="T414">
        <v>37.6</v>
      </c>
      <c r="U414">
        <v>65.819999999999993</v>
      </c>
      <c r="V414" t="b">
        <v>1</v>
      </c>
      <c r="W414" t="s">
        <v>41</v>
      </c>
      <c r="AE414" t="str">
        <f t="shared" si="42"/>
        <v>No</v>
      </c>
      <c r="AF414" t="str">
        <f t="shared" si="43"/>
        <v>Medium</v>
      </c>
      <c r="AG414" t="str">
        <f t="shared" si="44"/>
        <v>No</v>
      </c>
      <c r="AH414" t="str">
        <f t="shared" si="45"/>
        <v>Cross-referenced Multiple AIs</v>
      </c>
      <c r="AJ414" t="str">
        <f t="shared" si="46"/>
        <v>Moderate Trust</v>
      </c>
      <c r="AL414">
        <f t="shared" si="47"/>
        <v>65.8</v>
      </c>
      <c r="AM414" t="str">
        <f t="shared" si="48"/>
        <v>PhD</v>
      </c>
    </row>
    <row r="415" spans="1:39" x14ac:dyDescent="0.25">
      <c r="A415" t="s">
        <v>32</v>
      </c>
      <c r="B415" t="s">
        <v>71</v>
      </c>
      <c r="C415">
        <v>59.39</v>
      </c>
      <c r="D415">
        <v>599</v>
      </c>
      <c r="E415" t="b">
        <v>1</v>
      </c>
      <c r="F415" t="b">
        <v>1</v>
      </c>
      <c r="G415" t="b">
        <v>1</v>
      </c>
      <c r="H415" t="s">
        <v>34</v>
      </c>
      <c r="I415" t="s">
        <v>67</v>
      </c>
      <c r="J415" t="s">
        <v>54</v>
      </c>
      <c r="K415" t="s">
        <v>28</v>
      </c>
      <c r="L415" t="s">
        <v>51</v>
      </c>
      <c r="M415" t="s">
        <v>46</v>
      </c>
      <c r="O415" t="b">
        <v>1</v>
      </c>
      <c r="P415" t="b">
        <v>1</v>
      </c>
      <c r="Q415">
        <v>8.1</v>
      </c>
      <c r="R415" t="b">
        <v>0</v>
      </c>
      <c r="T415">
        <v>0</v>
      </c>
      <c r="U415">
        <v>56.53</v>
      </c>
      <c r="V415" t="b">
        <v>0</v>
      </c>
      <c r="W415" t="s">
        <v>58</v>
      </c>
      <c r="AE415" t="str">
        <f t="shared" si="42"/>
        <v>Yes</v>
      </c>
      <c r="AF415" t="str">
        <f t="shared" si="43"/>
        <v>Unknown</v>
      </c>
      <c r="AG415" t="str">
        <f t="shared" si="44"/>
        <v>Yes</v>
      </c>
      <c r="AH415" t="str">
        <f t="shared" si="45"/>
        <v>Unknown</v>
      </c>
      <c r="AJ415" t="str">
        <f t="shared" si="46"/>
        <v>High Trust</v>
      </c>
      <c r="AL415">
        <f t="shared" si="47"/>
        <v>56.5</v>
      </c>
      <c r="AM415" t="str">
        <f t="shared" si="48"/>
        <v>Masters</v>
      </c>
    </row>
    <row r="416" spans="1:39" x14ac:dyDescent="0.25">
      <c r="A416" t="s">
        <v>74</v>
      </c>
      <c r="B416" t="s">
        <v>66</v>
      </c>
      <c r="C416">
        <v>67.7</v>
      </c>
      <c r="D416">
        <v>254</v>
      </c>
      <c r="E416" t="b">
        <v>0</v>
      </c>
      <c r="F416" t="b">
        <v>0</v>
      </c>
      <c r="G416" t="b">
        <v>0</v>
      </c>
      <c r="H416" t="s">
        <v>53</v>
      </c>
      <c r="I416" t="s">
        <v>44</v>
      </c>
      <c r="J416" t="s">
        <v>27</v>
      </c>
      <c r="K416" t="s">
        <v>28</v>
      </c>
      <c r="L416" t="s">
        <v>51</v>
      </c>
      <c r="M416" t="s">
        <v>28</v>
      </c>
      <c r="O416" t="b">
        <v>1</v>
      </c>
      <c r="P416" t="b">
        <v>1</v>
      </c>
      <c r="Q416">
        <v>9.5</v>
      </c>
      <c r="R416" t="b">
        <v>0</v>
      </c>
      <c r="T416">
        <v>0</v>
      </c>
      <c r="U416">
        <v>67.69</v>
      </c>
      <c r="V416" t="b">
        <v>0</v>
      </c>
      <c r="W416" t="s">
        <v>58</v>
      </c>
      <c r="AE416" t="str">
        <f t="shared" si="42"/>
        <v>No</v>
      </c>
      <c r="AF416" t="str">
        <f t="shared" si="43"/>
        <v>Unknown</v>
      </c>
      <c r="AG416" t="str">
        <f t="shared" si="44"/>
        <v>Yes</v>
      </c>
      <c r="AH416" t="str">
        <f t="shared" si="45"/>
        <v>Unknown</v>
      </c>
      <c r="AJ416" t="str">
        <f t="shared" si="46"/>
        <v>High Trust</v>
      </c>
      <c r="AL416">
        <f t="shared" si="47"/>
        <v>67.7</v>
      </c>
      <c r="AM416" t="str">
        <f t="shared" si="48"/>
        <v>Bachelors</v>
      </c>
    </row>
    <row r="417" spans="1:39" x14ac:dyDescent="0.25">
      <c r="A417" t="s">
        <v>23</v>
      </c>
      <c r="B417" t="s">
        <v>60</v>
      </c>
      <c r="C417">
        <v>49.49</v>
      </c>
      <c r="D417">
        <v>458</v>
      </c>
      <c r="E417" t="b">
        <v>1</v>
      </c>
      <c r="F417" t="b">
        <v>0</v>
      </c>
      <c r="G417" t="b">
        <v>0</v>
      </c>
      <c r="H417" t="s">
        <v>43</v>
      </c>
      <c r="I417" t="s">
        <v>26</v>
      </c>
      <c r="J417" t="s">
        <v>54</v>
      </c>
      <c r="K417" t="s">
        <v>39</v>
      </c>
      <c r="L417" t="s">
        <v>29</v>
      </c>
      <c r="M417" t="s">
        <v>28</v>
      </c>
      <c r="N417" t="s">
        <v>39</v>
      </c>
      <c r="O417" t="b">
        <v>0</v>
      </c>
      <c r="P417" t="b">
        <v>0</v>
      </c>
      <c r="Q417">
        <v>6.3</v>
      </c>
      <c r="R417" t="b">
        <v>1</v>
      </c>
      <c r="S417" t="s">
        <v>30</v>
      </c>
      <c r="T417">
        <v>2.1</v>
      </c>
      <c r="U417">
        <v>59.44</v>
      </c>
      <c r="V417" t="b">
        <v>1</v>
      </c>
      <c r="W417" t="s">
        <v>41</v>
      </c>
      <c r="AE417" t="str">
        <f t="shared" si="42"/>
        <v>No</v>
      </c>
      <c r="AF417" t="str">
        <f t="shared" si="43"/>
        <v>High</v>
      </c>
      <c r="AG417" t="str">
        <f t="shared" si="44"/>
        <v>No</v>
      </c>
      <c r="AH417" t="str">
        <f t="shared" si="45"/>
        <v>Google Search</v>
      </c>
      <c r="AJ417" t="str">
        <f t="shared" si="46"/>
        <v>Moderate Trust</v>
      </c>
      <c r="AL417">
        <f t="shared" si="47"/>
        <v>59.4</v>
      </c>
      <c r="AM417" t="str">
        <f t="shared" si="48"/>
        <v>Masters</v>
      </c>
    </row>
    <row r="418" spans="1:39" x14ac:dyDescent="0.25">
      <c r="A418" t="s">
        <v>56</v>
      </c>
      <c r="B418" t="s">
        <v>70</v>
      </c>
      <c r="C418">
        <v>74.19</v>
      </c>
      <c r="D418">
        <v>756</v>
      </c>
      <c r="E418" t="b">
        <v>1</v>
      </c>
      <c r="F418" t="b">
        <v>1</v>
      </c>
      <c r="G418" t="b">
        <v>1</v>
      </c>
      <c r="H418" t="s">
        <v>25</v>
      </c>
      <c r="I418" t="s">
        <v>57</v>
      </c>
      <c r="J418" t="s">
        <v>54</v>
      </c>
      <c r="K418" t="s">
        <v>46</v>
      </c>
      <c r="L418" t="s">
        <v>38</v>
      </c>
      <c r="M418" t="s">
        <v>28</v>
      </c>
      <c r="N418" t="s">
        <v>39</v>
      </c>
      <c r="O418" t="b">
        <v>1</v>
      </c>
      <c r="P418" t="b">
        <v>0</v>
      </c>
      <c r="Q418">
        <v>10</v>
      </c>
      <c r="R418" t="b">
        <v>0</v>
      </c>
      <c r="T418">
        <v>0</v>
      </c>
      <c r="U418">
        <v>74.650000000000006</v>
      </c>
      <c r="V418" t="b">
        <v>0</v>
      </c>
      <c r="W418" t="s">
        <v>58</v>
      </c>
      <c r="AE418" t="str">
        <f t="shared" si="42"/>
        <v>Yes</v>
      </c>
      <c r="AF418" t="str">
        <f t="shared" si="43"/>
        <v>High</v>
      </c>
      <c r="AG418" t="str">
        <f t="shared" si="44"/>
        <v>Yes</v>
      </c>
      <c r="AH418" t="str">
        <f t="shared" si="45"/>
        <v>Unknown</v>
      </c>
      <c r="AJ418" t="str">
        <f t="shared" si="46"/>
        <v>High Trust</v>
      </c>
      <c r="AL418">
        <f t="shared" si="47"/>
        <v>74.7</v>
      </c>
      <c r="AM418" t="str">
        <f t="shared" si="48"/>
        <v>Masters</v>
      </c>
    </row>
    <row r="419" spans="1:39" x14ac:dyDescent="0.25">
      <c r="A419" t="s">
        <v>68</v>
      </c>
      <c r="B419" t="s">
        <v>66</v>
      </c>
      <c r="C419">
        <v>74.540000000000006</v>
      </c>
      <c r="D419">
        <v>664</v>
      </c>
      <c r="E419" t="b">
        <v>1</v>
      </c>
      <c r="F419" t="b">
        <v>1</v>
      </c>
      <c r="G419" t="b">
        <v>1</v>
      </c>
      <c r="H419" t="s">
        <v>53</v>
      </c>
      <c r="I419" t="s">
        <v>35</v>
      </c>
      <c r="J419" t="s">
        <v>50</v>
      </c>
      <c r="K419" t="s">
        <v>37</v>
      </c>
      <c r="L419" t="s">
        <v>37</v>
      </c>
      <c r="M419" t="s">
        <v>28</v>
      </c>
      <c r="N419" t="s">
        <v>28</v>
      </c>
      <c r="O419" t="b">
        <v>0</v>
      </c>
      <c r="P419" t="b">
        <v>0</v>
      </c>
      <c r="Q419">
        <v>7.1</v>
      </c>
      <c r="R419" t="b">
        <v>1</v>
      </c>
      <c r="S419" t="s">
        <v>55</v>
      </c>
      <c r="T419">
        <v>20.399999999999999</v>
      </c>
      <c r="U419">
        <v>50.2</v>
      </c>
      <c r="V419" t="b">
        <v>0</v>
      </c>
      <c r="W419" t="s">
        <v>41</v>
      </c>
      <c r="AE419" t="str">
        <f t="shared" si="42"/>
        <v>Yes</v>
      </c>
      <c r="AF419" t="str">
        <f t="shared" si="43"/>
        <v>Low</v>
      </c>
      <c r="AG419" t="str">
        <f t="shared" si="44"/>
        <v>No</v>
      </c>
      <c r="AH419" t="str">
        <f t="shared" si="45"/>
        <v>Academic Paper</v>
      </c>
      <c r="AJ419" t="str">
        <f t="shared" si="46"/>
        <v>Moderate Trust</v>
      </c>
      <c r="AL419">
        <f t="shared" si="47"/>
        <v>50.2</v>
      </c>
      <c r="AM419" t="str">
        <f t="shared" si="48"/>
        <v>Professional</v>
      </c>
    </row>
    <row r="420" spans="1:39" x14ac:dyDescent="0.25">
      <c r="A420" t="s">
        <v>56</v>
      </c>
      <c r="B420" t="s">
        <v>70</v>
      </c>
      <c r="C420">
        <v>72.97</v>
      </c>
      <c r="D420">
        <v>228</v>
      </c>
      <c r="E420" t="b">
        <v>0</v>
      </c>
      <c r="F420" t="b">
        <v>0</v>
      </c>
      <c r="G420" t="b">
        <v>1</v>
      </c>
      <c r="H420" t="s">
        <v>43</v>
      </c>
      <c r="I420" t="s">
        <v>63</v>
      </c>
      <c r="J420" t="s">
        <v>27</v>
      </c>
      <c r="K420" t="s">
        <v>39</v>
      </c>
      <c r="L420" t="s">
        <v>37</v>
      </c>
      <c r="M420" t="s">
        <v>28</v>
      </c>
      <c r="N420" t="s">
        <v>46</v>
      </c>
      <c r="O420" t="b">
        <v>1</v>
      </c>
      <c r="P420" t="b">
        <v>1</v>
      </c>
      <c r="Q420">
        <v>8.9</v>
      </c>
      <c r="R420" t="b">
        <v>0</v>
      </c>
      <c r="T420">
        <v>0</v>
      </c>
      <c r="U420">
        <v>84.67</v>
      </c>
      <c r="V420" t="b">
        <v>1</v>
      </c>
      <c r="W420" t="s">
        <v>58</v>
      </c>
      <c r="AE420" t="str">
        <f t="shared" si="42"/>
        <v>No</v>
      </c>
      <c r="AF420" t="str">
        <f t="shared" si="43"/>
        <v>Medium</v>
      </c>
      <c r="AG420" t="str">
        <f t="shared" si="44"/>
        <v>Yes</v>
      </c>
      <c r="AH420" t="str">
        <f t="shared" si="45"/>
        <v>Unknown</v>
      </c>
      <c r="AJ420" t="str">
        <f t="shared" si="46"/>
        <v>High Trust</v>
      </c>
      <c r="AL420">
        <f t="shared" si="47"/>
        <v>84.7</v>
      </c>
      <c r="AM420" t="str">
        <f t="shared" si="48"/>
        <v>Bachelors</v>
      </c>
    </row>
    <row r="421" spans="1:39" x14ac:dyDescent="0.25">
      <c r="A421" t="s">
        <v>32</v>
      </c>
      <c r="B421" t="s">
        <v>70</v>
      </c>
      <c r="C421">
        <v>94.41</v>
      </c>
      <c r="D421">
        <v>359</v>
      </c>
      <c r="E421" t="b">
        <v>0</v>
      </c>
      <c r="F421" t="b">
        <v>1</v>
      </c>
      <c r="G421" t="b">
        <v>1</v>
      </c>
      <c r="H421" t="s">
        <v>25</v>
      </c>
      <c r="I421" t="s">
        <v>57</v>
      </c>
      <c r="J421" t="s">
        <v>50</v>
      </c>
      <c r="K421" t="s">
        <v>37</v>
      </c>
      <c r="L421" t="s">
        <v>37</v>
      </c>
      <c r="M421" t="s">
        <v>47</v>
      </c>
      <c r="O421" t="b">
        <v>1</v>
      </c>
      <c r="P421" t="b">
        <v>1</v>
      </c>
      <c r="Q421">
        <v>8.9</v>
      </c>
      <c r="R421" t="b">
        <v>1</v>
      </c>
      <c r="S421" t="s">
        <v>52</v>
      </c>
      <c r="T421">
        <v>27.7</v>
      </c>
      <c r="U421">
        <v>93.62</v>
      </c>
      <c r="V421" t="b">
        <v>1</v>
      </c>
      <c r="W421" t="s">
        <v>31</v>
      </c>
      <c r="AE421" t="str">
        <f t="shared" si="42"/>
        <v>Yes</v>
      </c>
      <c r="AF421" t="str">
        <f t="shared" si="43"/>
        <v>Unknown</v>
      </c>
      <c r="AG421" t="str">
        <f t="shared" si="44"/>
        <v>Yes</v>
      </c>
      <c r="AH421" t="str">
        <f t="shared" si="45"/>
        <v>Checked Official Source</v>
      </c>
      <c r="AJ421" t="str">
        <f t="shared" si="46"/>
        <v>High Trust</v>
      </c>
      <c r="AL421">
        <f t="shared" si="47"/>
        <v>93.6</v>
      </c>
      <c r="AM421" t="str">
        <f t="shared" si="48"/>
        <v>Professional</v>
      </c>
    </row>
    <row r="422" spans="1:39" x14ac:dyDescent="0.25">
      <c r="A422" t="s">
        <v>56</v>
      </c>
      <c r="B422" t="s">
        <v>49</v>
      </c>
      <c r="C422">
        <v>64.17</v>
      </c>
      <c r="D422">
        <v>580</v>
      </c>
      <c r="E422" t="b">
        <v>1</v>
      </c>
      <c r="F422" t="b">
        <v>1</v>
      </c>
      <c r="G422" t="b">
        <v>1</v>
      </c>
      <c r="H422" t="s">
        <v>25</v>
      </c>
      <c r="I422" t="s">
        <v>35</v>
      </c>
      <c r="J422" t="s">
        <v>45</v>
      </c>
      <c r="K422" t="s">
        <v>39</v>
      </c>
      <c r="L422" t="s">
        <v>38</v>
      </c>
      <c r="M422" t="s">
        <v>39</v>
      </c>
      <c r="N422" t="s">
        <v>39</v>
      </c>
      <c r="O422" t="b">
        <v>0</v>
      </c>
      <c r="P422" t="b">
        <v>0</v>
      </c>
      <c r="Q422">
        <v>6.5</v>
      </c>
      <c r="R422" t="b">
        <v>0</v>
      </c>
      <c r="T422">
        <v>0</v>
      </c>
      <c r="U422">
        <v>68.52</v>
      </c>
      <c r="V422" t="b">
        <v>1</v>
      </c>
      <c r="W422" t="s">
        <v>31</v>
      </c>
      <c r="AE422" t="str">
        <f t="shared" si="42"/>
        <v>Yes</v>
      </c>
      <c r="AF422" t="str">
        <f t="shared" si="43"/>
        <v>High</v>
      </c>
      <c r="AG422" t="str">
        <f t="shared" si="44"/>
        <v>No</v>
      </c>
      <c r="AH422" t="str">
        <f t="shared" si="45"/>
        <v>Unknown</v>
      </c>
      <c r="AJ422" t="str">
        <f t="shared" si="46"/>
        <v>Moderate Trust</v>
      </c>
      <c r="AL422">
        <f t="shared" si="47"/>
        <v>68.5</v>
      </c>
      <c r="AM422" t="str">
        <f t="shared" si="48"/>
        <v>High School</v>
      </c>
    </row>
    <row r="423" spans="1:39" x14ac:dyDescent="0.25">
      <c r="A423" t="s">
        <v>74</v>
      </c>
      <c r="B423" t="s">
        <v>73</v>
      </c>
      <c r="C423">
        <v>64.11</v>
      </c>
      <c r="D423">
        <v>617</v>
      </c>
      <c r="E423" t="b">
        <v>0</v>
      </c>
      <c r="F423" t="b">
        <v>0</v>
      </c>
      <c r="G423" t="b">
        <v>0</v>
      </c>
      <c r="H423" t="s">
        <v>25</v>
      </c>
      <c r="I423" t="s">
        <v>44</v>
      </c>
      <c r="J423" t="s">
        <v>54</v>
      </c>
      <c r="K423" t="s">
        <v>28</v>
      </c>
      <c r="L423" t="s">
        <v>29</v>
      </c>
      <c r="M423" t="s">
        <v>39</v>
      </c>
      <c r="N423" t="s">
        <v>39</v>
      </c>
      <c r="O423" t="b">
        <v>1</v>
      </c>
      <c r="P423" t="b">
        <v>1</v>
      </c>
      <c r="Q423">
        <v>8.1</v>
      </c>
      <c r="R423" t="b">
        <v>1</v>
      </c>
      <c r="S423" t="s">
        <v>64</v>
      </c>
      <c r="T423">
        <v>27</v>
      </c>
      <c r="U423">
        <v>75.42</v>
      </c>
      <c r="V423" t="b">
        <v>1</v>
      </c>
      <c r="W423" t="s">
        <v>31</v>
      </c>
      <c r="AE423" t="str">
        <f t="shared" si="42"/>
        <v>No</v>
      </c>
      <c r="AF423" t="str">
        <f t="shared" si="43"/>
        <v>High</v>
      </c>
      <c r="AG423" t="str">
        <f t="shared" si="44"/>
        <v>Yes</v>
      </c>
      <c r="AH423" t="str">
        <f t="shared" si="45"/>
        <v>Personal Testing</v>
      </c>
      <c r="AJ423" t="str">
        <f t="shared" si="46"/>
        <v>High Trust</v>
      </c>
      <c r="AL423">
        <f t="shared" si="47"/>
        <v>75.400000000000006</v>
      </c>
      <c r="AM423" t="str">
        <f t="shared" si="48"/>
        <v>Masters</v>
      </c>
    </row>
    <row r="424" spans="1:39" x14ac:dyDescent="0.25">
      <c r="A424" t="s">
        <v>61</v>
      </c>
      <c r="B424" t="s">
        <v>59</v>
      </c>
      <c r="C424">
        <v>79.69</v>
      </c>
      <c r="D424">
        <v>558</v>
      </c>
      <c r="E424" t="b">
        <v>1</v>
      </c>
      <c r="F424" t="b">
        <v>0</v>
      </c>
      <c r="G424" t="b">
        <v>1</v>
      </c>
      <c r="H424" t="s">
        <v>53</v>
      </c>
      <c r="I424" t="s">
        <v>67</v>
      </c>
      <c r="J424" t="s">
        <v>27</v>
      </c>
      <c r="K424" t="s">
        <v>39</v>
      </c>
      <c r="L424" t="s">
        <v>37</v>
      </c>
      <c r="M424" t="s">
        <v>28</v>
      </c>
      <c r="P424" t="b">
        <v>0</v>
      </c>
      <c r="Q424">
        <v>9.9</v>
      </c>
      <c r="R424" t="b">
        <v>1</v>
      </c>
      <c r="S424" t="s">
        <v>65</v>
      </c>
      <c r="T424">
        <v>43.1</v>
      </c>
      <c r="U424">
        <v>82.2</v>
      </c>
      <c r="V424" t="b">
        <v>1</v>
      </c>
      <c r="W424" t="s">
        <v>31</v>
      </c>
      <c r="AE424" t="str">
        <f t="shared" si="42"/>
        <v>No</v>
      </c>
      <c r="AF424" t="str">
        <f t="shared" si="43"/>
        <v>Unknown</v>
      </c>
      <c r="AG424" t="str">
        <f t="shared" si="44"/>
        <v>No</v>
      </c>
      <c r="AH424" t="str">
        <f t="shared" si="45"/>
        <v>Cross-referenced Multiple AIs</v>
      </c>
      <c r="AJ424" t="str">
        <f t="shared" si="46"/>
        <v>High Trust</v>
      </c>
      <c r="AL424">
        <f t="shared" si="47"/>
        <v>82.2</v>
      </c>
      <c r="AM424" t="str">
        <f t="shared" si="48"/>
        <v>Bachelors</v>
      </c>
    </row>
    <row r="425" spans="1:39" x14ac:dyDescent="0.25">
      <c r="A425" t="s">
        <v>68</v>
      </c>
      <c r="B425" t="s">
        <v>73</v>
      </c>
      <c r="C425">
        <v>50.91</v>
      </c>
      <c r="D425">
        <v>218</v>
      </c>
      <c r="E425" t="b">
        <v>1</v>
      </c>
      <c r="F425" t="b">
        <v>1</v>
      </c>
      <c r="G425" t="b">
        <v>1</v>
      </c>
      <c r="H425" t="s">
        <v>43</v>
      </c>
      <c r="I425" t="s">
        <v>63</v>
      </c>
      <c r="J425" t="s">
        <v>36</v>
      </c>
      <c r="K425" t="s">
        <v>37</v>
      </c>
      <c r="L425" t="s">
        <v>51</v>
      </c>
      <c r="M425" t="s">
        <v>39</v>
      </c>
      <c r="N425" t="s">
        <v>28</v>
      </c>
      <c r="P425" t="b">
        <v>1</v>
      </c>
      <c r="Q425">
        <v>5.3</v>
      </c>
      <c r="R425" t="b">
        <v>1</v>
      </c>
      <c r="S425" t="s">
        <v>75</v>
      </c>
      <c r="T425">
        <v>29.7</v>
      </c>
      <c r="U425">
        <v>43.49</v>
      </c>
      <c r="V425" t="b">
        <v>1</v>
      </c>
      <c r="W425" t="s">
        <v>41</v>
      </c>
      <c r="AE425" t="str">
        <f t="shared" si="42"/>
        <v>Yes</v>
      </c>
      <c r="AF425" t="str">
        <f t="shared" si="43"/>
        <v>Low</v>
      </c>
      <c r="AG425" t="str">
        <f t="shared" si="44"/>
        <v>No</v>
      </c>
      <c r="AH425" t="str">
        <f t="shared" si="45"/>
        <v>Asked Colleague</v>
      </c>
      <c r="AJ425" t="str">
        <f t="shared" si="46"/>
        <v>Moderate Trust</v>
      </c>
      <c r="AL425">
        <f t="shared" si="47"/>
        <v>43.5</v>
      </c>
      <c r="AM425" t="str">
        <f t="shared" si="48"/>
        <v>PhD</v>
      </c>
    </row>
    <row r="426" spans="1:39" x14ac:dyDescent="0.25">
      <c r="A426" t="s">
        <v>23</v>
      </c>
      <c r="B426" t="s">
        <v>71</v>
      </c>
      <c r="C426">
        <v>54.67</v>
      </c>
      <c r="D426">
        <v>283</v>
      </c>
      <c r="E426" t="b">
        <v>1</v>
      </c>
      <c r="F426" t="b">
        <v>0</v>
      </c>
      <c r="G426" t="b">
        <v>1</v>
      </c>
      <c r="H426" t="s">
        <v>43</v>
      </c>
      <c r="I426" t="s">
        <v>57</v>
      </c>
      <c r="J426" t="s">
        <v>27</v>
      </c>
      <c r="K426" t="s">
        <v>46</v>
      </c>
      <c r="L426" t="s">
        <v>38</v>
      </c>
      <c r="M426" t="s">
        <v>28</v>
      </c>
      <c r="N426" t="s">
        <v>28</v>
      </c>
      <c r="O426" t="b">
        <v>0</v>
      </c>
      <c r="P426" t="b">
        <v>0</v>
      </c>
      <c r="Q426">
        <v>7.4</v>
      </c>
      <c r="R426" t="b">
        <v>0</v>
      </c>
      <c r="T426">
        <v>0</v>
      </c>
      <c r="U426">
        <v>46.76</v>
      </c>
      <c r="V426" t="b">
        <v>0</v>
      </c>
      <c r="W426" t="s">
        <v>31</v>
      </c>
      <c r="AE426" t="str">
        <f t="shared" si="42"/>
        <v>No</v>
      </c>
      <c r="AF426" t="str">
        <f t="shared" si="43"/>
        <v>Low</v>
      </c>
      <c r="AG426" t="str">
        <f t="shared" si="44"/>
        <v>No</v>
      </c>
      <c r="AH426" t="str">
        <f t="shared" si="45"/>
        <v>Unknown</v>
      </c>
      <c r="AJ426" t="str">
        <f t="shared" si="46"/>
        <v>Moderate Trust</v>
      </c>
      <c r="AL426">
        <f t="shared" si="47"/>
        <v>46.8</v>
      </c>
      <c r="AM426" t="str">
        <f t="shared" si="48"/>
        <v>Bachelors</v>
      </c>
    </row>
    <row r="427" spans="1:39" x14ac:dyDescent="0.25">
      <c r="A427" t="s">
        <v>68</v>
      </c>
      <c r="B427" t="s">
        <v>71</v>
      </c>
      <c r="C427">
        <v>57.6</v>
      </c>
      <c r="D427">
        <v>89</v>
      </c>
      <c r="E427" t="b">
        <v>1</v>
      </c>
      <c r="F427" t="b">
        <v>1</v>
      </c>
      <c r="G427" t="b">
        <v>0</v>
      </c>
      <c r="H427" t="s">
        <v>34</v>
      </c>
      <c r="I427" t="s">
        <v>44</v>
      </c>
      <c r="J427" t="s">
        <v>45</v>
      </c>
      <c r="K427" t="s">
        <v>37</v>
      </c>
      <c r="L427" t="s">
        <v>38</v>
      </c>
      <c r="M427" t="s">
        <v>39</v>
      </c>
      <c r="N427" t="s">
        <v>39</v>
      </c>
      <c r="O427" t="b">
        <v>0</v>
      </c>
      <c r="P427" t="b">
        <v>0</v>
      </c>
      <c r="Q427">
        <v>5.0999999999999996</v>
      </c>
      <c r="R427" t="b">
        <v>0</v>
      </c>
      <c r="T427">
        <v>0</v>
      </c>
      <c r="U427">
        <v>46.63</v>
      </c>
      <c r="V427" t="b">
        <v>1</v>
      </c>
      <c r="W427" t="s">
        <v>41</v>
      </c>
      <c r="AE427" t="str">
        <f t="shared" si="42"/>
        <v>Yes</v>
      </c>
      <c r="AF427" t="str">
        <f t="shared" si="43"/>
        <v>High</v>
      </c>
      <c r="AG427" t="str">
        <f t="shared" si="44"/>
        <v>No</v>
      </c>
      <c r="AH427" t="str">
        <f t="shared" si="45"/>
        <v>Unknown</v>
      </c>
      <c r="AJ427" t="str">
        <f t="shared" si="46"/>
        <v>Moderate Trust</v>
      </c>
      <c r="AL427">
        <f t="shared" si="47"/>
        <v>46.6</v>
      </c>
      <c r="AM427" t="str">
        <f t="shared" si="48"/>
        <v>High School</v>
      </c>
    </row>
    <row r="428" spans="1:39" x14ac:dyDescent="0.25">
      <c r="A428" t="s">
        <v>74</v>
      </c>
      <c r="B428" t="s">
        <v>42</v>
      </c>
      <c r="C428">
        <v>81.05</v>
      </c>
      <c r="D428">
        <v>123</v>
      </c>
      <c r="E428" t="b">
        <v>1</v>
      </c>
      <c r="F428" t="b">
        <v>1</v>
      </c>
      <c r="G428" t="b">
        <v>1</v>
      </c>
      <c r="H428" t="s">
        <v>43</v>
      </c>
      <c r="I428" t="s">
        <v>67</v>
      </c>
      <c r="J428" t="s">
        <v>27</v>
      </c>
      <c r="K428" t="s">
        <v>28</v>
      </c>
      <c r="L428" t="s">
        <v>38</v>
      </c>
      <c r="M428" t="s">
        <v>28</v>
      </c>
      <c r="N428" t="s">
        <v>28</v>
      </c>
      <c r="O428" t="b">
        <v>0</v>
      </c>
      <c r="P428" t="b">
        <v>1</v>
      </c>
      <c r="Q428">
        <v>9.3000000000000007</v>
      </c>
      <c r="R428" t="b">
        <v>1</v>
      </c>
      <c r="S428" t="s">
        <v>52</v>
      </c>
      <c r="T428">
        <v>41</v>
      </c>
      <c r="U428">
        <v>92.23</v>
      </c>
      <c r="V428" t="b">
        <v>1</v>
      </c>
      <c r="W428" t="s">
        <v>31</v>
      </c>
      <c r="AE428" t="str">
        <f t="shared" si="42"/>
        <v>Yes</v>
      </c>
      <c r="AF428" t="str">
        <f t="shared" si="43"/>
        <v>Low</v>
      </c>
      <c r="AG428" t="str">
        <f t="shared" si="44"/>
        <v>No</v>
      </c>
      <c r="AH428" t="str">
        <f t="shared" si="45"/>
        <v>Checked Official Source</v>
      </c>
      <c r="AJ428" t="str">
        <f t="shared" si="46"/>
        <v>High Trust</v>
      </c>
      <c r="AL428">
        <f t="shared" si="47"/>
        <v>92.2</v>
      </c>
      <c r="AM428" t="str">
        <f t="shared" si="48"/>
        <v>Bachelors</v>
      </c>
    </row>
    <row r="429" spans="1:39" x14ac:dyDescent="0.25">
      <c r="A429" t="s">
        <v>56</v>
      </c>
      <c r="B429" t="s">
        <v>66</v>
      </c>
      <c r="C429">
        <v>60.3</v>
      </c>
      <c r="D429">
        <v>281</v>
      </c>
      <c r="E429" t="b">
        <v>1</v>
      </c>
      <c r="F429" t="b">
        <v>0</v>
      </c>
      <c r="G429" t="b">
        <v>0</v>
      </c>
      <c r="H429" t="s">
        <v>25</v>
      </c>
      <c r="I429" t="s">
        <v>44</v>
      </c>
      <c r="J429" t="s">
        <v>36</v>
      </c>
      <c r="K429" t="s">
        <v>46</v>
      </c>
      <c r="L429" t="s">
        <v>69</v>
      </c>
      <c r="M429" t="s">
        <v>39</v>
      </c>
      <c r="N429" t="s">
        <v>46</v>
      </c>
      <c r="P429" t="b">
        <v>1</v>
      </c>
      <c r="Q429">
        <v>8.1</v>
      </c>
      <c r="R429" t="b">
        <v>1</v>
      </c>
      <c r="S429" t="s">
        <v>48</v>
      </c>
      <c r="T429">
        <v>8.8000000000000007</v>
      </c>
      <c r="U429">
        <v>56.11</v>
      </c>
      <c r="V429" t="b">
        <v>0</v>
      </c>
      <c r="W429" t="s">
        <v>31</v>
      </c>
      <c r="AE429" t="str">
        <f t="shared" si="42"/>
        <v>No</v>
      </c>
      <c r="AF429" t="str">
        <f t="shared" si="43"/>
        <v>Medium</v>
      </c>
      <c r="AG429" t="str">
        <f t="shared" si="44"/>
        <v>No</v>
      </c>
      <c r="AH429" t="str">
        <f t="shared" si="45"/>
        <v>Consulted Documentation</v>
      </c>
      <c r="AJ429" t="str">
        <f t="shared" si="46"/>
        <v>High Trust</v>
      </c>
      <c r="AL429">
        <f t="shared" si="47"/>
        <v>56.1</v>
      </c>
      <c r="AM429" t="str">
        <f t="shared" si="48"/>
        <v>PhD</v>
      </c>
    </row>
    <row r="430" spans="1:39" x14ac:dyDescent="0.25">
      <c r="A430" t="s">
        <v>61</v>
      </c>
      <c r="B430" t="s">
        <v>76</v>
      </c>
      <c r="C430">
        <v>74.98</v>
      </c>
      <c r="D430">
        <v>253</v>
      </c>
      <c r="E430" t="b">
        <v>1</v>
      </c>
      <c r="F430" t="b">
        <v>0</v>
      </c>
      <c r="G430" t="b">
        <v>0</v>
      </c>
      <c r="H430" t="s">
        <v>25</v>
      </c>
      <c r="I430" t="s">
        <v>35</v>
      </c>
      <c r="J430" t="s">
        <v>50</v>
      </c>
      <c r="K430" t="s">
        <v>39</v>
      </c>
      <c r="L430" t="s">
        <v>51</v>
      </c>
      <c r="M430" t="s">
        <v>47</v>
      </c>
      <c r="N430" t="s">
        <v>46</v>
      </c>
      <c r="O430" t="b">
        <v>1</v>
      </c>
      <c r="P430" t="b">
        <v>0</v>
      </c>
      <c r="Q430">
        <v>9.1999999999999993</v>
      </c>
      <c r="R430" t="b">
        <v>1</v>
      </c>
      <c r="S430" t="s">
        <v>52</v>
      </c>
      <c r="T430">
        <v>38.5</v>
      </c>
      <c r="U430">
        <v>76.61</v>
      </c>
      <c r="V430" t="b">
        <v>1</v>
      </c>
      <c r="W430" t="s">
        <v>31</v>
      </c>
      <c r="AE430" t="str">
        <f t="shared" si="42"/>
        <v>No</v>
      </c>
      <c r="AF430" t="str">
        <f t="shared" si="43"/>
        <v>Medium</v>
      </c>
      <c r="AG430" t="str">
        <f t="shared" si="44"/>
        <v>Yes</v>
      </c>
      <c r="AH430" t="str">
        <f t="shared" si="45"/>
        <v>Checked Official Source</v>
      </c>
      <c r="AJ430" t="str">
        <f t="shared" si="46"/>
        <v>High Trust</v>
      </c>
      <c r="AL430">
        <f t="shared" si="47"/>
        <v>76.599999999999994</v>
      </c>
      <c r="AM430" t="str">
        <f t="shared" si="48"/>
        <v>Professional</v>
      </c>
    </row>
    <row r="431" spans="1:39" x14ac:dyDescent="0.25">
      <c r="A431" t="s">
        <v>61</v>
      </c>
      <c r="B431" t="s">
        <v>76</v>
      </c>
      <c r="C431">
        <v>85.68</v>
      </c>
      <c r="D431">
        <v>435</v>
      </c>
      <c r="E431" t="b">
        <v>1</v>
      </c>
      <c r="F431" t="b">
        <v>0</v>
      </c>
      <c r="G431" t="b">
        <v>1</v>
      </c>
      <c r="H431" t="s">
        <v>43</v>
      </c>
      <c r="I431" t="s">
        <v>35</v>
      </c>
      <c r="J431" t="s">
        <v>54</v>
      </c>
      <c r="K431" t="s">
        <v>39</v>
      </c>
      <c r="L431" t="s">
        <v>38</v>
      </c>
      <c r="M431" t="s">
        <v>39</v>
      </c>
      <c r="N431" t="s">
        <v>28</v>
      </c>
      <c r="O431" t="b">
        <v>1</v>
      </c>
      <c r="P431" t="b">
        <v>0</v>
      </c>
      <c r="Q431">
        <v>10</v>
      </c>
      <c r="R431" t="b">
        <v>1</v>
      </c>
      <c r="S431" t="s">
        <v>30</v>
      </c>
      <c r="T431">
        <v>11.5</v>
      </c>
      <c r="U431">
        <v>91.07</v>
      </c>
      <c r="V431" t="b">
        <v>1</v>
      </c>
      <c r="W431" t="s">
        <v>31</v>
      </c>
      <c r="AE431" t="str">
        <f t="shared" si="42"/>
        <v>No</v>
      </c>
      <c r="AF431" t="str">
        <f t="shared" si="43"/>
        <v>Low</v>
      </c>
      <c r="AG431" t="str">
        <f t="shared" si="44"/>
        <v>Yes</v>
      </c>
      <c r="AH431" t="str">
        <f t="shared" si="45"/>
        <v>Google Search</v>
      </c>
      <c r="AJ431" t="str">
        <f t="shared" si="46"/>
        <v>High Trust</v>
      </c>
      <c r="AL431">
        <f t="shared" si="47"/>
        <v>91.1</v>
      </c>
      <c r="AM431" t="str">
        <f t="shared" si="48"/>
        <v>Masters</v>
      </c>
    </row>
    <row r="432" spans="1:39" x14ac:dyDescent="0.25">
      <c r="A432" t="s">
        <v>32</v>
      </c>
      <c r="B432" t="s">
        <v>73</v>
      </c>
      <c r="C432">
        <v>64.8</v>
      </c>
      <c r="D432">
        <v>340</v>
      </c>
      <c r="E432" t="b">
        <v>1</v>
      </c>
      <c r="F432" t="b">
        <v>1</v>
      </c>
      <c r="G432" t="b">
        <v>0</v>
      </c>
      <c r="H432" t="s">
        <v>25</v>
      </c>
      <c r="I432" t="s">
        <v>63</v>
      </c>
      <c r="J432" t="s">
        <v>50</v>
      </c>
      <c r="K432" t="s">
        <v>39</v>
      </c>
      <c r="L432" t="s">
        <v>51</v>
      </c>
      <c r="M432" t="s">
        <v>47</v>
      </c>
      <c r="O432" t="b">
        <v>0</v>
      </c>
      <c r="P432" t="b">
        <v>1</v>
      </c>
      <c r="Q432">
        <v>5.3</v>
      </c>
      <c r="R432" t="b">
        <v>1</v>
      </c>
      <c r="S432" t="s">
        <v>52</v>
      </c>
      <c r="T432">
        <v>10.3</v>
      </c>
      <c r="U432">
        <v>52.55</v>
      </c>
      <c r="V432" t="b">
        <v>1</v>
      </c>
      <c r="W432" t="s">
        <v>41</v>
      </c>
      <c r="AE432" t="str">
        <f t="shared" si="42"/>
        <v>Yes</v>
      </c>
      <c r="AF432" t="str">
        <f t="shared" si="43"/>
        <v>Unknown</v>
      </c>
      <c r="AG432" t="str">
        <f t="shared" si="44"/>
        <v>No</v>
      </c>
      <c r="AH432" t="str">
        <f t="shared" si="45"/>
        <v>Checked Official Source</v>
      </c>
      <c r="AJ432" t="str">
        <f t="shared" si="46"/>
        <v>Moderate Trust</v>
      </c>
      <c r="AL432">
        <f t="shared" si="47"/>
        <v>52.6</v>
      </c>
      <c r="AM432" t="str">
        <f t="shared" si="48"/>
        <v>Professional</v>
      </c>
    </row>
    <row r="433" spans="1:39" x14ac:dyDescent="0.25">
      <c r="A433" t="s">
        <v>74</v>
      </c>
      <c r="B433" t="s">
        <v>24</v>
      </c>
      <c r="C433">
        <v>86.3</v>
      </c>
      <c r="D433">
        <v>305</v>
      </c>
      <c r="E433" t="b">
        <v>0</v>
      </c>
      <c r="F433" t="b">
        <v>1</v>
      </c>
      <c r="G433" t="b">
        <v>0</v>
      </c>
      <c r="H433" t="s">
        <v>25</v>
      </c>
      <c r="I433" t="s">
        <v>44</v>
      </c>
      <c r="J433" t="s">
        <v>36</v>
      </c>
      <c r="K433" t="s">
        <v>37</v>
      </c>
      <c r="L433" t="s">
        <v>69</v>
      </c>
      <c r="M433" t="s">
        <v>28</v>
      </c>
      <c r="N433" t="s">
        <v>39</v>
      </c>
      <c r="O433" t="b">
        <v>1</v>
      </c>
      <c r="P433" t="b">
        <v>0</v>
      </c>
      <c r="Q433">
        <v>10</v>
      </c>
      <c r="R433" t="b">
        <v>0</v>
      </c>
      <c r="T433">
        <v>0</v>
      </c>
      <c r="U433">
        <v>99.83</v>
      </c>
      <c r="V433" t="b">
        <v>1</v>
      </c>
      <c r="W433" t="s">
        <v>58</v>
      </c>
      <c r="AE433" t="str">
        <f t="shared" si="42"/>
        <v>Yes</v>
      </c>
      <c r="AF433" t="str">
        <f t="shared" si="43"/>
        <v>High</v>
      </c>
      <c r="AG433" t="str">
        <f t="shared" si="44"/>
        <v>Yes</v>
      </c>
      <c r="AH433" t="str">
        <f t="shared" si="45"/>
        <v>Unknown</v>
      </c>
      <c r="AJ433" t="str">
        <f t="shared" si="46"/>
        <v>High Trust</v>
      </c>
      <c r="AL433">
        <f t="shared" si="47"/>
        <v>99.8</v>
      </c>
      <c r="AM433" t="str">
        <f t="shared" si="48"/>
        <v>PhD</v>
      </c>
    </row>
    <row r="434" spans="1:39" x14ac:dyDescent="0.25">
      <c r="A434" t="s">
        <v>61</v>
      </c>
      <c r="B434" t="s">
        <v>70</v>
      </c>
      <c r="C434">
        <v>85.04</v>
      </c>
      <c r="D434">
        <v>797</v>
      </c>
      <c r="E434" t="b">
        <v>0</v>
      </c>
      <c r="F434" t="b">
        <v>1</v>
      </c>
      <c r="G434" t="b">
        <v>1</v>
      </c>
      <c r="H434" t="s">
        <v>43</v>
      </c>
      <c r="I434" t="s">
        <v>57</v>
      </c>
      <c r="J434" t="s">
        <v>45</v>
      </c>
      <c r="K434" t="s">
        <v>37</v>
      </c>
      <c r="L434" t="s">
        <v>69</v>
      </c>
      <c r="M434" t="s">
        <v>28</v>
      </c>
      <c r="N434" t="s">
        <v>28</v>
      </c>
      <c r="O434" t="b">
        <v>0</v>
      </c>
      <c r="P434" t="b">
        <v>1</v>
      </c>
      <c r="Q434">
        <v>8.4</v>
      </c>
      <c r="R434" t="b">
        <v>0</v>
      </c>
      <c r="T434">
        <v>0</v>
      </c>
      <c r="U434">
        <v>88.94</v>
      </c>
      <c r="V434" t="b">
        <v>1</v>
      </c>
      <c r="W434" t="s">
        <v>58</v>
      </c>
      <c r="AE434" t="str">
        <f t="shared" si="42"/>
        <v>Yes</v>
      </c>
      <c r="AF434" t="str">
        <f t="shared" si="43"/>
        <v>Low</v>
      </c>
      <c r="AG434" t="str">
        <f t="shared" si="44"/>
        <v>No</v>
      </c>
      <c r="AH434" t="str">
        <f t="shared" si="45"/>
        <v>Unknown</v>
      </c>
      <c r="AJ434" t="str">
        <f t="shared" si="46"/>
        <v>High Trust</v>
      </c>
      <c r="AL434">
        <f t="shared" si="47"/>
        <v>88.9</v>
      </c>
      <c r="AM434" t="str">
        <f t="shared" si="48"/>
        <v>High School</v>
      </c>
    </row>
    <row r="435" spans="1:39" x14ac:dyDescent="0.25">
      <c r="A435" t="s">
        <v>68</v>
      </c>
      <c r="B435" t="s">
        <v>62</v>
      </c>
      <c r="C435">
        <v>65.44</v>
      </c>
      <c r="D435">
        <v>703</v>
      </c>
      <c r="E435" t="b">
        <v>1</v>
      </c>
      <c r="F435" t="b">
        <v>0</v>
      </c>
      <c r="G435" t="b">
        <v>0</v>
      </c>
      <c r="H435" t="s">
        <v>25</v>
      </c>
      <c r="I435" t="s">
        <v>26</v>
      </c>
      <c r="J435" t="s">
        <v>27</v>
      </c>
      <c r="K435" t="s">
        <v>46</v>
      </c>
      <c r="L435" t="s">
        <v>37</v>
      </c>
      <c r="M435" t="s">
        <v>28</v>
      </c>
      <c r="N435" t="s">
        <v>28</v>
      </c>
      <c r="O435" t="b">
        <v>1</v>
      </c>
      <c r="P435" t="b">
        <v>0</v>
      </c>
      <c r="Q435">
        <v>9.8000000000000007</v>
      </c>
      <c r="R435" t="b">
        <v>0</v>
      </c>
      <c r="T435">
        <v>0</v>
      </c>
      <c r="U435">
        <v>56.25</v>
      </c>
      <c r="V435" t="b">
        <v>0</v>
      </c>
      <c r="W435" t="s">
        <v>58</v>
      </c>
      <c r="AE435" t="str">
        <f t="shared" si="42"/>
        <v>No</v>
      </c>
      <c r="AF435" t="str">
        <f t="shared" si="43"/>
        <v>Low</v>
      </c>
      <c r="AG435" t="str">
        <f t="shared" si="44"/>
        <v>Yes</v>
      </c>
      <c r="AH435" t="str">
        <f t="shared" si="45"/>
        <v>Unknown</v>
      </c>
      <c r="AJ435" t="str">
        <f t="shared" si="46"/>
        <v>High Trust</v>
      </c>
      <c r="AL435">
        <f t="shared" si="47"/>
        <v>56.3</v>
      </c>
      <c r="AM435" t="str">
        <f t="shared" si="48"/>
        <v>Bachelors</v>
      </c>
    </row>
    <row r="436" spans="1:39" x14ac:dyDescent="0.25">
      <c r="A436" t="s">
        <v>56</v>
      </c>
      <c r="B436" t="s">
        <v>70</v>
      </c>
      <c r="C436">
        <v>76.45</v>
      </c>
      <c r="D436">
        <v>628</v>
      </c>
      <c r="E436" t="b">
        <v>1</v>
      </c>
      <c r="F436" t="b">
        <v>1</v>
      </c>
      <c r="G436" t="b">
        <v>0</v>
      </c>
      <c r="H436" t="s">
        <v>43</v>
      </c>
      <c r="I436" t="s">
        <v>26</v>
      </c>
      <c r="J436" t="s">
        <v>54</v>
      </c>
      <c r="K436" t="s">
        <v>46</v>
      </c>
      <c r="L436" t="s">
        <v>38</v>
      </c>
      <c r="M436" t="s">
        <v>28</v>
      </c>
      <c r="N436" t="s">
        <v>46</v>
      </c>
      <c r="P436" t="b">
        <v>1</v>
      </c>
      <c r="Q436">
        <v>10</v>
      </c>
      <c r="R436" t="b">
        <v>0</v>
      </c>
      <c r="T436">
        <v>0</v>
      </c>
      <c r="U436">
        <v>68.209999999999994</v>
      </c>
      <c r="V436" t="b">
        <v>0</v>
      </c>
      <c r="W436" t="s">
        <v>58</v>
      </c>
      <c r="AE436" t="str">
        <f t="shared" si="42"/>
        <v>Yes</v>
      </c>
      <c r="AF436" t="str">
        <f t="shared" si="43"/>
        <v>Medium</v>
      </c>
      <c r="AG436" t="str">
        <f t="shared" si="44"/>
        <v>No</v>
      </c>
      <c r="AH436" t="str">
        <f t="shared" si="45"/>
        <v>Unknown</v>
      </c>
      <c r="AJ436" t="str">
        <f t="shared" si="46"/>
        <v>High Trust</v>
      </c>
      <c r="AL436">
        <f t="shared" si="47"/>
        <v>68.2</v>
      </c>
      <c r="AM436" t="str">
        <f t="shared" si="48"/>
        <v>Masters</v>
      </c>
    </row>
    <row r="437" spans="1:39" x14ac:dyDescent="0.25">
      <c r="A437" t="s">
        <v>32</v>
      </c>
      <c r="B437" t="s">
        <v>42</v>
      </c>
      <c r="C437">
        <v>83.87</v>
      </c>
      <c r="D437">
        <v>310</v>
      </c>
      <c r="E437" t="b">
        <v>0</v>
      </c>
      <c r="F437" t="b">
        <v>1</v>
      </c>
      <c r="G437" t="b">
        <v>0</v>
      </c>
      <c r="H437" t="s">
        <v>34</v>
      </c>
      <c r="I437" t="s">
        <v>35</v>
      </c>
      <c r="J437" t="s">
        <v>45</v>
      </c>
      <c r="K437" t="s">
        <v>39</v>
      </c>
      <c r="L437" t="s">
        <v>51</v>
      </c>
      <c r="M437" t="s">
        <v>47</v>
      </c>
      <c r="P437" t="b">
        <v>1</v>
      </c>
      <c r="Q437">
        <v>7.1</v>
      </c>
      <c r="R437" t="b">
        <v>1</v>
      </c>
      <c r="S437" t="s">
        <v>30</v>
      </c>
      <c r="T437">
        <v>29.4</v>
      </c>
      <c r="U437">
        <v>95.4</v>
      </c>
      <c r="V437" t="b">
        <v>0</v>
      </c>
      <c r="W437" t="s">
        <v>41</v>
      </c>
      <c r="AE437" t="str">
        <f t="shared" si="42"/>
        <v>Yes</v>
      </c>
      <c r="AF437" t="str">
        <f t="shared" si="43"/>
        <v>Unknown</v>
      </c>
      <c r="AG437" t="str">
        <f t="shared" si="44"/>
        <v>No</v>
      </c>
      <c r="AH437" t="str">
        <f t="shared" si="45"/>
        <v>Google Search</v>
      </c>
      <c r="AJ437" t="str">
        <f t="shared" si="46"/>
        <v>Moderate Trust</v>
      </c>
      <c r="AL437">
        <f t="shared" si="47"/>
        <v>95.4</v>
      </c>
      <c r="AM437" t="str">
        <f t="shared" si="48"/>
        <v>High School</v>
      </c>
    </row>
    <row r="438" spans="1:39" x14ac:dyDescent="0.25">
      <c r="A438" t="s">
        <v>74</v>
      </c>
      <c r="B438" t="s">
        <v>59</v>
      </c>
      <c r="C438">
        <v>79.03</v>
      </c>
      <c r="D438">
        <v>625</v>
      </c>
      <c r="E438" t="b">
        <v>0</v>
      </c>
      <c r="F438" t="b">
        <v>1</v>
      </c>
      <c r="G438" t="b">
        <v>1</v>
      </c>
      <c r="H438" t="s">
        <v>34</v>
      </c>
      <c r="I438" t="s">
        <v>67</v>
      </c>
      <c r="J438" t="s">
        <v>54</v>
      </c>
      <c r="K438" t="s">
        <v>39</v>
      </c>
      <c r="L438" t="s">
        <v>51</v>
      </c>
      <c r="M438" t="s">
        <v>47</v>
      </c>
      <c r="N438" t="s">
        <v>39</v>
      </c>
      <c r="O438" t="b">
        <v>1</v>
      </c>
      <c r="P438" t="b">
        <v>0</v>
      </c>
      <c r="Q438">
        <v>8</v>
      </c>
      <c r="R438" t="b">
        <v>0</v>
      </c>
      <c r="T438">
        <v>0</v>
      </c>
      <c r="U438">
        <v>74.680000000000007</v>
      </c>
      <c r="V438" t="b">
        <v>1</v>
      </c>
      <c r="W438" t="s">
        <v>58</v>
      </c>
      <c r="AE438" t="str">
        <f t="shared" si="42"/>
        <v>Yes</v>
      </c>
      <c r="AF438" t="str">
        <f t="shared" si="43"/>
        <v>High</v>
      </c>
      <c r="AG438" t="str">
        <f t="shared" si="44"/>
        <v>Yes</v>
      </c>
      <c r="AH438" t="str">
        <f t="shared" si="45"/>
        <v>Unknown</v>
      </c>
      <c r="AJ438" t="str">
        <f t="shared" si="46"/>
        <v>High Trust</v>
      </c>
      <c r="AL438">
        <f t="shared" si="47"/>
        <v>74.7</v>
      </c>
      <c r="AM438" t="str">
        <f t="shared" si="48"/>
        <v>Masters</v>
      </c>
    </row>
    <row r="439" spans="1:39" x14ac:dyDescent="0.25">
      <c r="A439" t="s">
        <v>74</v>
      </c>
      <c r="B439" t="s">
        <v>60</v>
      </c>
      <c r="C439">
        <v>59.18</v>
      </c>
      <c r="D439">
        <v>596</v>
      </c>
      <c r="E439" t="b">
        <v>1</v>
      </c>
      <c r="F439" t="b">
        <v>0</v>
      </c>
      <c r="G439" t="b">
        <v>0</v>
      </c>
      <c r="H439" t="s">
        <v>25</v>
      </c>
      <c r="I439" t="s">
        <v>57</v>
      </c>
      <c r="J439" t="s">
        <v>45</v>
      </c>
      <c r="K439" t="s">
        <v>39</v>
      </c>
      <c r="L439" t="s">
        <v>38</v>
      </c>
      <c r="M439" t="s">
        <v>28</v>
      </c>
      <c r="N439" t="s">
        <v>28</v>
      </c>
      <c r="O439" t="b">
        <v>1</v>
      </c>
      <c r="P439" t="b">
        <v>1</v>
      </c>
      <c r="Q439">
        <v>9.6</v>
      </c>
      <c r="R439" t="b">
        <v>0</v>
      </c>
      <c r="T439">
        <v>0</v>
      </c>
      <c r="U439">
        <v>44.83</v>
      </c>
      <c r="V439" t="b">
        <v>0</v>
      </c>
      <c r="W439" t="s">
        <v>58</v>
      </c>
      <c r="AE439" t="str">
        <f t="shared" si="42"/>
        <v>No</v>
      </c>
      <c r="AF439" t="str">
        <f t="shared" si="43"/>
        <v>Low</v>
      </c>
      <c r="AG439" t="str">
        <f t="shared" si="44"/>
        <v>Yes</v>
      </c>
      <c r="AH439" t="str">
        <f t="shared" si="45"/>
        <v>Unknown</v>
      </c>
      <c r="AJ439" t="str">
        <f t="shared" si="46"/>
        <v>High Trust</v>
      </c>
      <c r="AL439">
        <f t="shared" si="47"/>
        <v>44.8</v>
      </c>
      <c r="AM439" t="str">
        <f t="shared" si="48"/>
        <v>High School</v>
      </c>
    </row>
    <row r="440" spans="1:39" x14ac:dyDescent="0.25">
      <c r="A440" t="s">
        <v>23</v>
      </c>
      <c r="B440" t="s">
        <v>70</v>
      </c>
      <c r="C440">
        <v>76.02</v>
      </c>
      <c r="D440">
        <v>152</v>
      </c>
      <c r="E440" t="b">
        <v>0</v>
      </c>
      <c r="F440" t="b">
        <v>1</v>
      </c>
      <c r="G440" t="b">
        <v>0</v>
      </c>
      <c r="H440" t="s">
        <v>53</v>
      </c>
      <c r="I440" t="s">
        <v>63</v>
      </c>
      <c r="J440" t="s">
        <v>54</v>
      </c>
      <c r="K440" t="s">
        <v>28</v>
      </c>
      <c r="L440" t="s">
        <v>37</v>
      </c>
      <c r="M440" t="s">
        <v>28</v>
      </c>
      <c r="N440" t="s">
        <v>39</v>
      </c>
      <c r="P440" t="b">
        <v>0</v>
      </c>
      <c r="Q440">
        <v>7.8</v>
      </c>
      <c r="R440" t="b">
        <v>1</v>
      </c>
      <c r="S440" t="s">
        <v>65</v>
      </c>
      <c r="T440">
        <v>30.4</v>
      </c>
      <c r="U440">
        <v>76.02</v>
      </c>
      <c r="V440" t="b">
        <v>1</v>
      </c>
      <c r="W440" t="s">
        <v>41</v>
      </c>
      <c r="AE440" t="str">
        <f t="shared" si="42"/>
        <v>Yes</v>
      </c>
      <c r="AF440" t="str">
        <f t="shared" si="43"/>
        <v>High</v>
      </c>
      <c r="AG440" t="str">
        <f t="shared" si="44"/>
        <v>No</v>
      </c>
      <c r="AH440" t="str">
        <f t="shared" si="45"/>
        <v>Cross-referenced Multiple AIs</v>
      </c>
      <c r="AJ440" t="str">
        <f t="shared" si="46"/>
        <v>Moderate Trust</v>
      </c>
      <c r="AL440">
        <f t="shared" si="47"/>
        <v>76</v>
      </c>
      <c r="AM440" t="str">
        <f t="shared" si="48"/>
        <v>Masters</v>
      </c>
    </row>
    <row r="441" spans="1:39" x14ac:dyDescent="0.25">
      <c r="A441" t="s">
        <v>68</v>
      </c>
      <c r="B441" t="s">
        <v>59</v>
      </c>
      <c r="C441">
        <v>76.599999999999994</v>
      </c>
      <c r="D441">
        <v>263</v>
      </c>
      <c r="E441" t="b">
        <v>0</v>
      </c>
      <c r="F441" t="b">
        <v>1</v>
      </c>
      <c r="G441" t="b">
        <v>1</v>
      </c>
      <c r="H441" t="s">
        <v>53</v>
      </c>
      <c r="I441" t="s">
        <v>44</v>
      </c>
      <c r="J441" t="s">
        <v>27</v>
      </c>
      <c r="K441" t="s">
        <v>46</v>
      </c>
      <c r="L441" t="s">
        <v>29</v>
      </c>
      <c r="M441" t="s">
        <v>28</v>
      </c>
      <c r="N441" t="s">
        <v>46</v>
      </c>
      <c r="O441" t="b">
        <v>1</v>
      </c>
      <c r="P441" t="b">
        <v>0</v>
      </c>
      <c r="Q441">
        <v>9.6</v>
      </c>
      <c r="R441" t="b">
        <v>1</v>
      </c>
      <c r="S441" t="s">
        <v>65</v>
      </c>
      <c r="T441">
        <v>4.2</v>
      </c>
      <c r="U441">
        <v>79.06</v>
      </c>
      <c r="V441" t="b">
        <v>1</v>
      </c>
      <c r="W441" t="s">
        <v>31</v>
      </c>
      <c r="AE441" t="str">
        <f t="shared" si="42"/>
        <v>Yes</v>
      </c>
      <c r="AF441" t="str">
        <f t="shared" si="43"/>
        <v>Medium</v>
      </c>
      <c r="AG441" t="str">
        <f t="shared" si="44"/>
        <v>Yes</v>
      </c>
      <c r="AH441" t="str">
        <f t="shared" si="45"/>
        <v>Cross-referenced Multiple AIs</v>
      </c>
      <c r="AJ441" t="str">
        <f t="shared" si="46"/>
        <v>High Trust</v>
      </c>
      <c r="AL441">
        <f t="shared" si="47"/>
        <v>79.099999999999994</v>
      </c>
      <c r="AM441" t="str">
        <f t="shared" si="48"/>
        <v>Bachelors</v>
      </c>
    </row>
    <row r="442" spans="1:39" x14ac:dyDescent="0.25">
      <c r="A442" t="s">
        <v>68</v>
      </c>
      <c r="B442" t="s">
        <v>71</v>
      </c>
      <c r="C442">
        <v>49.87</v>
      </c>
      <c r="D442">
        <v>728</v>
      </c>
      <c r="E442" t="b">
        <v>0</v>
      </c>
      <c r="F442" t="b">
        <v>1</v>
      </c>
      <c r="G442" t="b">
        <v>0</v>
      </c>
      <c r="H442" t="s">
        <v>25</v>
      </c>
      <c r="I442" t="s">
        <v>26</v>
      </c>
      <c r="J442" t="s">
        <v>36</v>
      </c>
      <c r="K442" t="s">
        <v>46</v>
      </c>
      <c r="L442" t="s">
        <v>38</v>
      </c>
      <c r="M442" t="s">
        <v>46</v>
      </c>
      <c r="O442" t="b">
        <v>0</v>
      </c>
      <c r="P442" t="b">
        <v>1</v>
      </c>
      <c r="Q442">
        <v>4.7</v>
      </c>
      <c r="R442" t="b">
        <v>1</v>
      </c>
      <c r="S442" t="s">
        <v>55</v>
      </c>
      <c r="T442">
        <v>12.7</v>
      </c>
      <c r="U442">
        <v>38.28</v>
      </c>
      <c r="V442" t="b">
        <v>1</v>
      </c>
      <c r="W442" t="s">
        <v>72</v>
      </c>
      <c r="AE442" t="str">
        <f t="shared" si="42"/>
        <v>Yes</v>
      </c>
      <c r="AF442" t="str">
        <f t="shared" si="43"/>
        <v>Unknown</v>
      </c>
      <c r="AG442" t="str">
        <f t="shared" si="44"/>
        <v>No</v>
      </c>
      <c r="AH442" t="str">
        <f t="shared" si="45"/>
        <v>Academic Paper</v>
      </c>
      <c r="AJ442" t="str">
        <f t="shared" si="46"/>
        <v>Moderate Trust</v>
      </c>
      <c r="AL442">
        <f t="shared" si="47"/>
        <v>38.299999999999997</v>
      </c>
      <c r="AM442" t="str">
        <f t="shared" si="48"/>
        <v>PhD</v>
      </c>
    </row>
    <row r="443" spans="1:39" x14ac:dyDescent="0.25">
      <c r="A443" t="s">
        <v>68</v>
      </c>
      <c r="B443" t="s">
        <v>59</v>
      </c>
      <c r="C443">
        <v>92.18</v>
      </c>
      <c r="D443">
        <v>670</v>
      </c>
      <c r="E443" t="b">
        <v>1</v>
      </c>
      <c r="F443" t="b">
        <v>1</v>
      </c>
      <c r="G443" t="b">
        <v>0</v>
      </c>
      <c r="H443" t="s">
        <v>43</v>
      </c>
      <c r="I443" t="s">
        <v>35</v>
      </c>
      <c r="J443" t="s">
        <v>54</v>
      </c>
      <c r="K443" t="s">
        <v>39</v>
      </c>
      <c r="L443" t="s">
        <v>69</v>
      </c>
      <c r="M443" t="s">
        <v>47</v>
      </c>
      <c r="P443" t="b">
        <v>1</v>
      </c>
      <c r="Q443">
        <v>9.3000000000000007</v>
      </c>
      <c r="R443" t="b">
        <v>0</v>
      </c>
      <c r="T443">
        <v>0</v>
      </c>
      <c r="U443">
        <v>90.9</v>
      </c>
      <c r="V443" t="b">
        <v>1</v>
      </c>
      <c r="W443" t="s">
        <v>58</v>
      </c>
      <c r="AE443" t="str">
        <f t="shared" si="42"/>
        <v>Yes</v>
      </c>
      <c r="AF443" t="str">
        <f t="shared" si="43"/>
        <v>Unknown</v>
      </c>
      <c r="AG443" t="str">
        <f t="shared" si="44"/>
        <v>No</v>
      </c>
      <c r="AH443" t="str">
        <f t="shared" si="45"/>
        <v>Unknown</v>
      </c>
      <c r="AJ443" t="str">
        <f t="shared" si="46"/>
        <v>High Trust</v>
      </c>
      <c r="AL443">
        <f t="shared" si="47"/>
        <v>90.9</v>
      </c>
      <c r="AM443" t="str">
        <f t="shared" si="48"/>
        <v>Masters</v>
      </c>
    </row>
    <row r="444" spans="1:39" x14ac:dyDescent="0.25">
      <c r="A444" t="s">
        <v>68</v>
      </c>
      <c r="B444" t="s">
        <v>71</v>
      </c>
      <c r="C444">
        <v>58.19</v>
      </c>
      <c r="D444">
        <v>643</v>
      </c>
      <c r="E444" t="b">
        <v>1</v>
      </c>
      <c r="F444" t="b">
        <v>1</v>
      </c>
      <c r="G444" t="b">
        <v>0</v>
      </c>
      <c r="H444" t="s">
        <v>43</v>
      </c>
      <c r="I444" t="s">
        <v>26</v>
      </c>
      <c r="J444" t="s">
        <v>45</v>
      </c>
      <c r="K444" t="s">
        <v>28</v>
      </c>
      <c r="L444" t="s">
        <v>37</v>
      </c>
      <c r="M444" t="s">
        <v>47</v>
      </c>
      <c r="N444" t="s">
        <v>46</v>
      </c>
      <c r="O444" t="b">
        <v>0</v>
      </c>
      <c r="P444" t="b">
        <v>1</v>
      </c>
      <c r="Q444">
        <v>4.5999999999999996</v>
      </c>
      <c r="R444" t="b">
        <v>1</v>
      </c>
      <c r="S444" t="s">
        <v>64</v>
      </c>
      <c r="T444">
        <v>32.700000000000003</v>
      </c>
      <c r="U444">
        <v>51.73</v>
      </c>
      <c r="V444" t="b">
        <v>1</v>
      </c>
      <c r="W444" t="s">
        <v>72</v>
      </c>
      <c r="AE444" t="str">
        <f t="shared" si="42"/>
        <v>Yes</v>
      </c>
      <c r="AF444" t="str">
        <f t="shared" si="43"/>
        <v>Medium</v>
      </c>
      <c r="AG444" t="str">
        <f t="shared" si="44"/>
        <v>No</v>
      </c>
      <c r="AH444" t="str">
        <f t="shared" si="45"/>
        <v>Personal Testing</v>
      </c>
      <c r="AJ444" t="str">
        <f t="shared" si="46"/>
        <v>Moderate Trust</v>
      </c>
      <c r="AL444">
        <f t="shared" si="47"/>
        <v>51.7</v>
      </c>
      <c r="AM444" t="str">
        <f t="shared" si="48"/>
        <v>High School</v>
      </c>
    </row>
    <row r="445" spans="1:39" x14ac:dyDescent="0.25">
      <c r="A445" t="s">
        <v>61</v>
      </c>
      <c r="B445" t="s">
        <v>42</v>
      </c>
      <c r="C445">
        <v>74.47</v>
      </c>
      <c r="D445">
        <v>83</v>
      </c>
      <c r="E445" t="b">
        <v>0</v>
      </c>
      <c r="F445" t="b">
        <v>0</v>
      </c>
      <c r="G445" t="b">
        <v>1</v>
      </c>
      <c r="H445" t="s">
        <v>53</v>
      </c>
      <c r="I445" t="s">
        <v>67</v>
      </c>
      <c r="J445" t="s">
        <v>36</v>
      </c>
      <c r="K445" t="s">
        <v>46</v>
      </c>
      <c r="L445" t="s">
        <v>51</v>
      </c>
      <c r="M445" t="s">
        <v>39</v>
      </c>
      <c r="N445" t="s">
        <v>28</v>
      </c>
      <c r="P445" t="b">
        <v>1</v>
      </c>
      <c r="Q445">
        <v>7.3</v>
      </c>
      <c r="R445" t="b">
        <v>1</v>
      </c>
      <c r="S445" t="s">
        <v>52</v>
      </c>
      <c r="T445">
        <v>3.2</v>
      </c>
      <c r="U445">
        <v>85.22</v>
      </c>
      <c r="V445" t="b">
        <v>1</v>
      </c>
      <c r="W445" t="s">
        <v>41</v>
      </c>
      <c r="AE445" t="str">
        <f t="shared" si="42"/>
        <v>No</v>
      </c>
      <c r="AF445" t="str">
        <f t="shared" si="43"/>
        <v>Low</v>
      </c>
      <c r="AG445" t="str">
        <f t="shared" si="44"/>
        <v>No</v>
      </c>
      <c r="AH445" t="str">
        <f t="shared" si="45"/>
        <v>Checked Official Source</v>
      </c>
      <c r="AJ445" t="str">
        <f t="shared" si="46"/>
        <v>Moderate Trust</v>
      </c>
      <c r="AL445">
        <f t="shared" si="47"/>
        <v>85.2</v>
      </c>
      <c r="AM445" t="str">
        <f t="shared" si="48"/>
        <v>PhD</v>
      </c>
    </row>
    <row r="446" spans="1:39" x14ac:dyDescent="0.25">
      <c r="A446" t="s">
        <v>74</v>
      </c>
      <c r="B446" t="s">
        <v>24</v>
      </c>
      <c r="C446">
        <v>92.53</v>
      </c>
      <c r="D446">
        <v>417</v>
      </c>
      <c r="E446" t="b">
        <v>1</v>
      </c>
      <c r="F446" t="b">
        <v>1</v>
      </c>
      <c r="G446" t="b">
        <v>1</v>
      </c>
      <c r="H446" t="s">
        <v>53</v>
      </c>
      <c r="I446" t="s">
        <v>57</v>
      </c>
      <c r="J446" t="s">
        <v>27</v>
      </c>
      <c r="K446" t="s">
        <v>46</v>
      </c>
      <c r="L446" t="s">
        <v>69</v>
      </c>
      <c r="M446" t="s">
        <v>39</v>
      </c>
      <c r="N446" t="s">
        <v>28</v>
      </c>
      <c r="P446" t="b">
        <v>1</v>
      </c>
      <c r="Q446">
        <v>10</v>
      </c>
      <c r="R446" t="b">
        <v>0</v>
      </c>
      <c r="T446">
        <v>0</v>
      </c>
      <c r="U446">
        <v>84.11</v>
      </c>
      <c r="V446" t="b">
        <v>1</v>
      </c>
      <c r="W446" t="s">
        <v>58</v>
      </c>
      <c r="AE446" t="str">
        <f t="shared" si="42"/>
        <v>Yes</v>
      </c>
      <c r="AF446" t="str">
        <f t="shared" si="43"/>
        <v>Low</v>
      </c>
      <c r="AG446" t="str">
        <f t="shared" si="44"/>
        <v>No</v>
      </c>
      <c r="AH446" t="str">
        <f t="shared" si="45"/>
        <v>Unknown</v>
      </c>
      <c r="AJ446" t="str">
        <f t="shared" si="46"/>
        <v>High Trust</v>
      </c>
      <c r="AL446">
        <f t="shared" si="47"/>
        <v>84.1</v>
      </c>
      <c r="AM446" t="str">
        <f t="shared" si="48"/>
        <v>Bachelors</v>
      </c>
    </row>
    <row r="447" spans="1:39" x14ac:dyDescent="0.25">
      <c r="A447" t="s">
        <v>74</v>
      </c>
      <c r="B447" t="s">
        <v>71</v>
      </c>
      <c r="C447">
        <v>48.21</v>
      </c>
      <c r="D447">
        <v>720</v>
      </c>
      <c r="E447" t="b">
        <v>0</v>
      </c>
      <c r="F447" t="b">
        <v>1</v>
      </c>
      <c r="G447" t="b">
        <v>1</v>
      </c>
      <c r="H447" t="s">
        <v>43</v>
      </c>
      <c r="I447" t="s">
        <v>67</v>
      </c>
      <c r="J447" t="s">
        <v>50</v>
      </c>
      <c r="K447" t="s">
        <v>39</v>
      </c>
      <c r="L447" t="s">
        <v>29</v>
      </c>
      <c r="M447" t="s">
        <v>47</v>
      </c>
      <c r="N447" t="s">
        <v>28</v>
      </c>
      <c r="P447" t="b">
        <v>0</v>
      </c>
      <c r="Q447">
        <v>3.3</v>
      </c>
      <c r="R447" t="b">
        <v>1</v>
      </c>
      <c r="S447" t="s">
        <v>65</v>
      </c>
      <c r="T447">
        <v>13.2</v>
      </c>
      <c r="U447">
        <v>49.33</v>
      </c>
      <c r="V447" t="b">
        <v>1</v>
      </c>
      <c r="W447" t="s">
        <v>72</v>
      </c>
      <c r="AE447" t="str">
        <f t="shared" si="42"/>
        <v>Yes</v>
      </c>
      <c r="AF447" t="str">
        <f t="shared" si="43"/>
        <v>Low</v>
      </c>
      <c r="AG447" t="str">
        <f t="shared" si="44"/>
        <v>No</v>
      </c>
      <c r="AH447" t="str">
        <f t="shared" si="45"/>
        <v>Cross-referenced Multiple AIs</v>
      </c>
      <c r="AJ447" t="str">
        <f t="shared" si="46"/>
        <v>Moderate Trust</v>
      </c>
      <c r="AL447">
        <f t="shared" si="47"/>
        <v>49.3</v>
      </c>
      <c r="AM447" t="str">
        <f t="shared" si="48"/>
        <v>Professional</v>
      </c>
    </row>
    <row r="448" spans="1:39" x14ac:dyDescent="0.25">
      <c r="A448" t="s">
        <v>68</v>
      </c>
      <c r="B448" t="s">
        <v>62</v>
      </c>
      <c r="C448">
        <v>74.760000000000005</v>
      </c>
      <c r="D448">
        <v>698</v>
      </c>
      <c r="E448" t="b">
        <v>1</v>
      </c>
      <c r="F448" t="b">
        <v>0</v>
      </c>
      <c r="G448" t="b">
        <v>0</v>
      </c>
      <c r="H448" t="s">
        <v>34</v>
      </c>
      <c r="I448" t="s">
        <v>63</v>
      </c>
      <c r="J448" t="s">
        <v>54</v>
      </c>
      <c r="K448" t="s">
        <v>46</v>
      </c>
      <c r="L448" t="s">
        <v>69</v>
      </c>
      <c r="M448" t="s">
        <v>47</v>
      </c>
      <c r="N448" t="s">
        <v>39</v>
      </c>
      <c r="O448" t="b">
        <v>0</v>
      </c>
      <c r="P448" t="b">
        <v>0</v>
      </c>
      <c r="Q448">
        <v>8.8000000000000007</v>
      </c>
      <c r="R448" t="b">
        <v>1</v>
      </c>
      <c r="S448" t="s">
        <v>40</v>
      </c>
      <c r="T448">
        <v>43.6</v>
      </c>
      <c r="U448">
        <v>84.8</v>
      </c>
      <c r="V448" t="b">
        <v>1</v>
      </c>
      <c r="W448" t="s">
        <v>31</v>
      </c>
      <c r="AE448" t="str">
        <f t="shared" si="42"/>
        <v>No</v>
      </c>
      <c r="AF448" t="str">
        <f t="shared" si="43"/>
        <v>High</v>
      </c>
      <c r="AG448" t="str">
        <f t="shared" si="44"/>
        <v>No</v>
      </c>
      <c r="AH448" t="str">
        <f t="shared" si="45"/>
        <v>Asked Expert</v>
      </c>
      <c r="AJ448" t="str">
        <f t="shared" si="46"/>
        <v>High Trust</v>
      </c>
      <c r="AL448">
        <f t="shared" si="47"/>
        <v>84.8</v>
      </c>
      <c r="AM448" t="str">
        <f t="shared" si="48"/>
        <v>Masters</v>
      </c>
    </row>
    <row r="449" spans="1:39" x14ac:dyDescent="0.25">
      <c r="A449" t="s">
        <v>56</v>
      </c>
      <c r="B449" t="s">
        <v>76</v>
      </c>
      <c r="C449">
        <v>74.069999999999993</v>
      </c>
      <c r="D449">
        <v>728</v>
      </c>
      <c r="E449" t="b">
        <v>1</v>
      </c>
      <c r="F449" t="b">
        <v>1</v>
      </c>
      <c r="G449" t="b">
        <v>0</v>
      </c>
      <c r="H449" t="s">
        <v>53</v>
      </c>
      <c r="I449" t="s">
        <v>57</v>
      </c>
      <c r="J449" t="s">
        <v>27</v>
      </c>
      <c r="K449" t="s">
        <v>39</v>
      </c>
      <c r="L449" t="s">
        <v>29</v>
      </c>
      <c r="M449" t="s">
        <v>46</v>
      </c>
      <c r="O449" t="b">
        <v>0</v>
      </c>
      <c r="P449" t="b">
        <v>0</v>
      </c>
      <c r="Q449">
        <v>7.3</v>
      </c>
      <c r="R449" t="b">
        <v>1</v>
      </c>
      <c r="S449" t="s">
        <v>64</v>
      </c>
      <c r="T449">
        <v>11.1</v>
      </c>
      <c r="U449">
        <v>65.53</v>
      </c>
      <c r="V449" t="b">
        <v>1</v>
      </c>
      <c r="W449" t="s">
        <v>41</v>
      </c>
      <c r="AE449" t="str">
        <f t="shared" si="42"/>
        <v>Yes</v>
      </c>
      <c r="AF449" t="str">
        <f t="shared" si="43"/>
        <v>Unknown</v>
      </c>
      <c r="AG449" t="str">
        <f t="shared" si="44"/>
        <v>No</v>
      </c>
      <c r="AH449" t="str">
        <f t="shared" si="45"/>
        <v>Personal Testing</v>
      </c>
      <c r="AJ449" t="str">
        <f t="shared" si="46"/>
        <v>Moderate Trust</v>
      </c>
      <c r="AL449">
        <f t="shared" si="47"/>
        <v>65.5</v>
      </c>
      <c r="AM449" t="str">
        <f t="shared" si="48"/>
        <v>Bachelors</v>
      </c>
    </row>
    <row r="450" spans="1:39" x14ac:dyDescent="0.25">
      <c r="A450" t="s">
        <v>61</v>
      </c>
      <c r="B450" t="s">
        <v>49</v>
      </c>
      <c r="C450">
        <v>78.95</v>
      </c>
      <c r="D450">
        <v>297</v>
      </c>
      <c r="E450" t="b">
        <v>1</v>
      </c>
      <c r="F450" t="b">
        <v>0</v>
      </c>
      <c r="G450" t="b">
        <v>0</v>
      </c>
      <c r="H450" t="s">
        <v>34</v>
      </c>
      <c r="I450" t="s">
        <v>63</v>
      </c>
      <c r="J450" t="s">
        <v>54</v>
      </c>
      <c r="K450" t="s">
        <v>28</v>
      </c>
      <c r="L450" t="s">
        <v>38</v>
      </c>
      <c r="M450" t="s">
        <v>46</v>
      </c>
      <c r="N450" t="s">
        <v>39</v>
      </c>
      <c r="O450" t="b">
        <v>1</v>
      </c>
      <c r="P450" t="b">
        <v>0</v>
      </c>
      <c r="Q450">
        <v>10</v>
      </c>
      <c r="R450" t="b">
        <v>0</v>
      </c>
      <c r="T450">
        <v>0</v>
      </c>
      <c r="U450">
        <v>92.56</v>
      </c>
      <c r="V450" t="b">
        <v>1</v>
      </c>
      <c r="W450" t="s">
        <v>58</v>
      </c>
      <c r="AE450" t="str">
        <f t="shared" si="42"/>
        <v>No</v>
      </c>
      <c r="AF450" t="str">
        <f t="shared" si="43"/>
        <v>High</v>
      </c>
      <c r="AG450" t="str">
        <f t="shared" si="44"/>
        <v>Yes</v>
      </c>
      <c r="AH450" t="str">
        <f t="shared" si="45"/>
        <v>Unknown</v>
      </c>
      <c r="AJ450" t="str">
        <f t="shared" si="46"/>
        <v>High Trust</v>
      </c>
      <c r="AL450">
        <f t="shared" si="47"/>
        <v>92.6</v>
      </c>
      <c r="AM450" t="str">
        <f t="shared" si="48"/>
        <v>Masters</v>
      </c>
    </row>
    <row r="451" spans="1:39" x14ac:dyDescent="0.25">
      <c r="A451" t="s">
        <v>68</v>
      </c>
      <c r="B451" t="s">
        <v>60</v>
      </c>
      <c r="C451">
        <v>57.61</v>
      </c>
      <c r="D451">
        <v>285</v>
      </c>
      <c r="E451" t="b">
        <v>1</v>
      </c>
      <c r="F451" t="b">
        <v>0</v>
      </c>
      <c r="G451" t="b">
        <v>0</v>
      </c>
      <c r="H451" t="s">
        <v>25</v>
      </c>
      <c r="I451" t="s">
        <v>63</v>
      </c>
      <c r="J451" t="s">
        <v>27</v>
      </c>
      <c r="K451" t="s">
        <v>39</v>
      </c>
      <c r="L451" t="s">
        <v>38</v>
      </c>
      <c r="M451" t="s">
        <v>46</v>
      </c>
      <c r="P451" t="b">
        <v>0</v>
      </c>
      <c r="Q451">
        <v>7.5</v>
      </c>
      <c r="R451" t="b">
        <v>0</v>
      </c>
      <c r="T451">
        <v>0</v>
      </c>
      <c r="U451">
        <v>71.36</v>
      </c>
      <c r="V451" t="b">
        <v>1</v>
      </c>
      <c r="W451" t="s">
        <v>31</v>
      </c>
      <c r="AE451" t="str">
        <f t="shared" ref="AE451:AE514" si="49">IF(F451=TRUE,"Yes","No")</f>
        <v>No</v>
      </c>
      <c r="AF451" t="str">
        <f t="shared" ref="AF451:AF514" si="50">IF(ISBLANK(N451),"Unknown",N451)</f>
        <v>Unknown</v>
      </c>
      <c r="AG451" t="str">
        <f t="shared" ref="AG451:AG514" si="51">IF(O451=TRUE,"Yes","No")</f>
        <v>No</v>
      </c>
      <c r="AH451" t="str">
        <f t="shared" ref="AH451:AH514" si="52">IF(ISBLANK(S451),"Unknown",S451)</f>
        <v>Unknown</v>
      </c>
      <c r="AJ451" t="str">
        <f t="shared" ref="AJ451:AJ514" si="53">IF(Q451&gt;=8,"High Trust",
IF(Q452&gt;=5,"Moderate Trust","Low Trust"))</f>
        <v>Moderate Trust</v>
      </c>
      <c r="AL451">
        <f t="shared" ref="AL451:AL514" si="54">ROUND(U451,1)</f>
        <v>71.400000000000006</v>
      </c>
      <c r="AM451" t="str">
        <f t="shared" ref="AM451:AM514" si="55">TRIM(J451)</f>
        <v>Bachelors</v>
      </c>
    </row>
    <row r="452" spans="1:39" x14ac:dyDescent="0.25">
      <c r="A452" t="s">
        <v>68</v>
      </c>
      <c r="B452" t="s">
        <v>66</v>
      </c>
      <c r="C452">
        <v>59.87</v>
      </c>
      <c r="D452">
        <v>600</v>
      </c>
      <c r="E452" t="b">
        <v>1</v>
      </c>
      <c r="F452" t="b">
        <v>1</v>
      </c>
      <c r="G452" t="b">
        <v>0</v>
      </c>
      <c r="H452" t="s">
        <v>34</v>
      </c>
      <c r="I452" t="s">
        <v>63</v>
      </c>
      <c r="J452" t="s">
        <v>50</v>
      </c>
      <c r="K452" t="s">
        <v>39</v>
      </c>
      <c r="L452" t="s">
        <v>69</v>
      </c>
      <c r="M452" t="s">
        <v>46</v>
      </c>
      <c r="N452" t="s">
        <v>28</v>
      </c>
      <c r="O452" t="b">
        <v>1</v>
      </c>
      <c r="P452" t="b">
        <v>0</v>
      </c>
      <c r="Q452">
        <v>8.8000000000000007</v>
      </c>
      <c r="R452" t="b">
        <v>0</v>
      </c>
      <c r="T452">
        <v>0</v>
      </c>
      <c r="U452">
        <v>44.38</v>
      </c>
      <c r="V452" t="b">
        <v>0</v>
      </c>
      <c r="W452" t="s">
        <v>58</v>
      </c>
      <c r="AE452" t="str">
        <f t="shared" si="49"/>
        <v>Yes</v>
      </c>
      <c r="AF452" t="str">
        <f t="shared" si="50"/>
        <v>Low</v>
      </c>
      <c r="AG452" t="str">
        <f t="shared" si="51"/>
        <v>Yes</v>
      </c>
      <c r="AH452" t="str">
        <f t="shared" si="52"/>
        <v>Unknown</v>
      </c>
      <c r="AJ452" t="str">
        <f t="shared" si="53"/>
        <v>High Trust</v>
      </c>
      <c r="AL452">
        <f t="shared" si="54"/>
        <v>44.4</v>
      </c>
      <c r="AM452" t="str">
        <f t="shared" si="55"/>
        <v>Professional</v>
      </c>
    </row>
    <row r="453" spans="1:39" x14ac:dyDescent="0.25">
      <c r="A453" t="s">
        <v>74</v>
      </c>
      <c r="B453" t="s">
        <v>49</v>
      </c>
      <c r="C453">
        <v>76.75</v>
      </c>
      <c r="D453">
        <v>630</v>
      </c>
      <c r="E453" t="b">
        <v>1</v>
      </c>
      <c r="F453" t="b">
        <v>0</v>
      </c>
      <c r="G453" t="b">
        <v>1</v>
      </c>
      <c r="H453" t="s">
        <v>53</v>
      </c>
      <c r="I453" t="s">
        <v>44</v>
      </c>
      <c r="J453" t="s">
        <v>45</v>
      </c>
      <c r="K453" t="s">
        <v>46</v>
      </c>
      <c r="L453" t="s">
        <v>29</v>
      </c>
      <c r="M453" t="s">
        <v>46</v>
      </c>
      <c r="N453" t="s">
        <v>28</v>
      </c>
      <c r="O453" t="b">
        <v>1</v>
      </c>
      <c r="P453" t="b">
        <v>1</v>
      </c>
      <c r="Q453">
        <v>10</v>
      </c>
      <c r="R453" t="b">
        <v>0</v>
      </c>
      <c r="T453">
        <v>0</v>
      </c>
      <c r="U453">
        <v>85.95</v>
      </c>
      <c r="V453" t="b">
        <v>1</v>
      </c>
      <c r="W453" t="s">
        <v>58</v>
      </c>
      <c r="AE453" t="str">
        <f t="shared" si="49"/>
        <v>No</v>
      </c>
      <c r="AF453" t="str">
        <f t="shared" si="50"/>
        <v>Low</v>
      </c>
      <c r="AG453" t="str">
        <f t="shared" si="51"/>
        <v>Yes</v>
      </c>
      <c r="AH453" t="str">
        <f t="shared" si="52"/>
        <v>Unknown</v>
      </c>
      <c r="AJ453" t="str">
        <f t="shared" si="53"/>
        <v>High Trust</v>
      </c>
      <c r="AL453">
        <f t="shared" si="54"/>
        <v>86</v>
      </c>
      <c r="AM453" t="str">
        <f t="shared" si="55"/>
        <v>High School</v>
      </c>
    </row>
    <row r="454" spans="1:39" x14ac:dyDescent="0.25">
      <c r="A454" t="s">
        <v>61</v>
      </c>
      <c r="B454" t="s">
        <v>76</v>
      </c>
      <c r="C454">
        <v>73.88</v>
      </c>
      <c r="D454">
        <v>340</v>
      </c>
      <c r="E454" t="b">
        <v>0</v>
      </c>
      <c r="F454" t="b">
        <v>0</v>
      </c>
      <c r="G454" t="b">
        <v>1</v>
      </c>
      <c r="H454" t="s">
        <v>53</v>
      </c>
      <c r="I454" t="s">
        <v>26</v>
      </c>
      <c r="J454" t="s">
        <v>54</v>
      </c>
      <c r="K454" t="s">
        <v>37</v>
      </c>
      <c r="L454" t="s">
        <v>69</v>
      </c>
      <c r="M454" t="s">
        <v>39</v>
      </c>
      <c r="N454" t="s">
        <v>39</v>
      </c>
      <c r="O454" t="b">
        <v>1</v>
      </c>
      <c r="P454" t="b">
        <v>1</v>
      </c>
      <c r="Q454">
        <v>9.1</v>
      </c>
      <c r="R454" t="b">
        <v>1</v>
      </c>
      <c r="S454" t="s">
        <v>52</v>
      </c>
      <c r="T454">
        <v>35.9</v>
      </c>
      <c r="U454">
        <v>65.22</v>
      </c>
      <c r="V454" t="b">
        <v>0</v>
      </c>
      <c r="W454" t="s">
        <v>31</v>
      </c>
      <c r="AE454" t="str">
        <f t="shared" si="49"/>
        <v>No</v>
      </c>
      <c r="AF454" t="str">
        <f t="shared" si="50"/>
        <v>High</v>
      </c>
      <c r="AG454" t="str">
        <f t="shared" si="51"/>
        <v>Yes</v>
      </c>
      <c r="AH454" t="str">
        <f t="shared" si="52"/>
        <v>Checked Official Source</v>
      </c>
      <c r="AJ454" t="str">
        <f t="shared" si="53"/>
        <v>High Trust</v>
      </c>
      <c r="AL454">
        <f t="shared" si="54"/>
        <v>65.2</v>
      </c>
      <c r="AM454" t="str">
        <f t="shared" si="55"/>
        <v>Masters</v>
      </c>
    </row>
    <row r="455" spans="1:39" x14ac:dyDescent="0.25">
      <c r="A455" t="s">
        <v>56</v>
      </c>
      <c r="B455" t="s">
        <v>33</v>
      </c>
      <c r="C455">
        <v>77.31</v>
      </c>
      <c r="D455">
        <v>672</v>
      </c>
      <c r="E455" t="b">
        <v>1</v>
      </c>
      <c r="F455" t="b">
        <v>1</v>
      </c>
      <c r="G455" t="b">
        <v>0</v>
      </c>
      <c r="H455" t="s">
        <v>25</v>
      </c>
      <c r="I455" t="s">
        <v>44</v>
      </c>
      <c r="J455" t="s">
        <v>27</v>
      </c>
      <c r="K455" t="s">
        <v>39</v>
      </c>
      <c r="L455" t="s">
        <v>37</v>
      </c>
      <c r="M455" t="s">
        <v>28</v>
      </c>
      <c r="N455" t="s">
        <v>28</v>
      </c>
      <c r="O455" t="b">
        <v>1</v>
      </c>
      <c r="P455" t="b">
        <v>1</v>
      </c>
      <c r="Q455">
        <v>10</v>
      </c>
      <c r="R455" t="b">
        <v>0</v>
      </c>
      <c r="T455">
        <v>0</v>
      </c>
      <c r="U455">
        <v>63.18</v>
      </c>
      <c r="V455" t="b">
        <v>0</v>
      </c>
      <c r="W455" t="s">
        <v>58</v>
      </c>
      <c r="AE455" t="str">
        <f t="shared" si="49"/>
        <v>Yes</v>
      </c>
      <c r="AF455" t="str">
        <f t="shared" si="50"/>
        <v>Low</v>
      </c>
      <c r="AG455" t="str">
        <f t="shared" si="51"/>
        <v>Yes</v>
      </c>
      <c r="AH455" t="str">
        <f t="shared" si="52"/>
        <v>Unknown</v>
      </c>
      <c r="AJ455" t="str">
        <f t="shared" si="53"/>
        <v>High Trust</v>
      </c>
      <c r="AL455">
        <f t="shared" si="54"/>
        <v>63.2</v>
      </c>
      <c r="AM455" t="str">
        <f t="shared" si="55"/>
        <v>Bachelors</v>
      </c>
    </row>
    <row r="456" spans="1:39" x14ac:dyDescent="0.25">
      <c r="A456" t="s">
        <v>68</v>
      </c>
      <c r="B456" t="s">
        <v>42</v>
      </c>
      <c r="C456">
        <v>76.02</v>
      </c>
      <c r="D456">
        <v>750</v>
      </c>
      <c r="E456" t="b">
        <v>0</v>
      </c>
      <c r="F456" t="b">
        <v>1</v>
      </c>
      <c r="G456" t="b">
        <v>0</v>
      </c>
      <c r="H456" t="s">
        <v>34</v>
      </c>
      <c r="I456" t="s">
        <v>67</v>
      </c>
      <c r="J456" t="s">
        <v>27</v>
      </c>
      <c r="K456" t="s">
        <v>28</v>
      </c>
      <c r="L456" t="s">
        <v>51</v>
      </c>
      <c r="M456" t="s">
        <v>39</v>
      </c>
      <c r="P456" t="b">
        <v>0</v>
      </c>
      <c r="Q456">
        <v>7.2</v>
      </c>
      <c r="R456" t="b">
        <v>1</v>
      </c>
      <c r="S456" t="s">
        <v>55</v>
      </c>
      <c r="T456">
        <v>12.8</v>
      </c>
      <c r="U456">
        <v>88.41</v>
      </c>
      <c r="V456" t="b">
        <v>1</v>
      </c>
      <c r="W456" t="s">
        <v>41</v>
      </c>
      <c r="AE456" t="str">
        <f t="shared" si="49"/>
        <v>Yes</v>
      </c>
      <c r="AF456" t="str">
        <f t="shared" si="50"/>
        <v>Unknown</v>
      </c>
      <c r="AG456" t="str">
        <f t="shared" si="51"/>
        <v>No</v>
      </c>
      <c r="AH456" t="str">
        <f t="shared" si="52"/>
        <v>Academic Paper</v>
      </c>
      <c r="AJ456" t="str">
        <f t="shared" si="53"/>
        <v>Moderate Trust</v>
      </c>
      <c r="AL456">
        <f t="shared" si="54"/>
        <v>88.4</v>
      </c>
      <c r="AM456" t="str">
        <f t="shared" si="55"/>
        <v>Bachelors</v>
      </c>
    </row>
    <row r="457" spans="1:39" x14ac:dyDescent="0.25">
      <c r="A457" t="s">
        <v>61</v>
      </c>
      <c r="B457" t="s">
        <v>62</v>
      </c>
      <c r="C457">
        <v>69.739999999999995</v>
      </c>
      <c r="D457">
        <v>65</v>
      </c>
      <c r="E457" t="b">
        <v>1</v>
      </c>
      <c r="F457" t="b">
        <v>0</v>
      </c>
      <c r="G457" t="b">
        <v>0</v>
      </c>
      <c r="H457" t="s">
        <v>43</v>
      </c>
      <c r="I457" t="s">
        <v>44</v>
      </c>
      <c r="J457" t="s">
        <v>36</v>
      </c>
      <c r="K457" t="s">
        <v>39</v>
      </c>
      <c r="L457" t="s">
        <v>29</v>
      </c>
      <c r="M457" t="s">
        <v>28</v>
      </c>
      <c r="O457" t="b">
        <v>1</v>
      </c>
      <c r="P457" t="b">
        <v>1</v>
      </c>
      <c r="Q457">
        <v>10</v>
      </c>
      <c r="R457" t="b">
        <v>1</v>
      </c>
      <c r="S457" t="s">
        <v>65</v>
      </c>
      <c r="T457">
        <v>8.1999999999999993</v>
      </c>
      <c r="U457">
        <v>58.93</v>
      </c>
      <c r="V457" t="b">
        <v>0</v>
      </c>
      <c r="W457" t="s">
        <v>31</v>
      </c>
      <c r="AE457" t="str">
        <f t="shared" si="49"/>
        <v>No</v>
      </c>
      <c r="AF457" t="str">
        <f t="shared" si="50"/>
        <v>Unknown</v>
      </c>
      <c r="AG457" t="str">
        <f t="shared" si="51"/>
        <v>Yes</v>
      </c>
      <c r="AH457" t="str">
        <f t="shared" si="52"/>
        <v>Cross-referenced Multiple AIs</v>
      </c>
      <c r="AJ457" t="str">
        <f t="shared" si="53"/>
        <v>High Trust</v>
      </c>
      <c r="AL457">
        <f t="shared" si="54"/>
        <v>58.9</v>
      </c>
      <c r="AM457" t="str">
        <f t="shared" si="55"/>
        <v>PhD</v>
      </c>
    </row>
    <row r="458" spans="1:39" x14ac:dyDescent="0.25">
      <c r="A458" t="s">
        <v>32</v>
      </c>
      <c r="B458" t="s">
        <v>24</v>
      </c>
      <c r="C458">
        <v>93.21</v>
      </c>
      <c r="D458">
        <v>95</v>
      </c>
      <c r="E458" t="b">
        <v>0</v>
      </c>
      <c r="F458" t="b">
        <v>0</v>
      </c>
      <c r="G458" t="b">
        <v>0</v>
      </c>
      <c r="H458" t="s">
        <v>34</v>
      </c>
      <c r="I458" t="s">
        <v>35</v>
      </c>
      <c r="J458" t="s">
        <v>27</v>
      </c>
      <c r="K458" t="s">
        <v>46</v>
      </c>
      <c r="L458" t="s">
        <v>37</v>
      </c>
      <c r="M458" t="s">
        <v>46</v>
      </c>
      <c r="N458" t="s">
        <v>28</v>
      </c>
      <c r="P458" t="b">
        <v>1</v>
      </c>
      <c r="Q458">
        <v>9.6</v>
      </c>
      <c r="R458" t="b">
        <v>0</v>
      </c>
      <c r="T458">
        <v>0</v>
      </c>
      <c r="U458">
        <v>90.67</v>
      </c>
      <c r="V458" t="b">
        <v>1</v>
      </c>
      <c r="W458" t="s">
        <v>58</v>
      </c>
      <c r="AE458" t="str">
        <f t="shared" si="49"/>
        <v>No</v>
      </c>
      <c r="AF458" t="str">
        <f t="shared" si="50"/>
        <v>Low</v>
      </c>
      <c r="AG458" t="str">
        <f t="shared" si="51"/>
        <v>No</v>
      </c>
      <c r="AH458" t="str">
        <f t="shared" si="52"/>
        <v>Unknown</v>
      </c>
      <c r="AJ458" t="str">
        <f t="shared" si="53"/>
        <v>High Trust</v>
      </c>
      <c r="AL458">
        <f t="shared" si="54"/>
        <v>90.7</v>
      </c>
      <c r="AM458" t="str">
        <f t="shared" si="55"/>
        <v>Bachelors</v>
      </c>
    </row>
    <row r="459" spans="1:39" x14ac:dyDescent="0.25">
      <c r="A459" t="s">
        <v>56</v>
      </c>
      <c r="B459" t="s">
        <v>33</v>
      </c>
      <c r="C459">
        <v>75.27</v>
      </c>
      <c r="D459">
        <v>230</v>
      </c>
      <c r="E459" t="b">
        <v>0</v>
      </c>
      <c r="F459" t="b">
        <v>0</v>
      </c>
      <c r="G459" t="b">
        <v>1</v>
      </c>
      <c r="H459" t="s">
        <v>34</v>
      </c>
      <c r="I459" t="s">
        <v>67</v>
      </c>
      <c r="J459" t="s">
        <v>54</v>
      </c>
      <c r="K459" t="s">
        <v>28</v>
      </c>
      <c r="L459" t="s">
        <v>37</v>
      </c>
      <c r="M459" t="s">
        <v>39</v>
      </c>
      <c r="N459" t="s">
        <v>39</v>
      </c>
      <c r="P459" t="b">
        <v>1</v>
      </c>
      <c r="Q459">
        <v>7.4</v>
      </c>
      <c r="R459" t="b">
        <v>0</v>
      </c>
      <c r="T459">
        <v>0</v>
      </c>
      <c r="U459">
        <v>71.010000000000005</v>
      </c>
      <c r="V459" t="b">
        <v>1</v>
      </c>
      <c r="W459" t="s">
        <v>31</v>
      </c>
      <c r="AE459" t="str">
        <f t="shared" si="49"/>
        <v>No</v>
      </c>
      <c r="AF459" t="str">
        <f t="shared" si="50"/>
        <v>High</v>
      </c>
      <c r="AG459" t="str">
        <f t="shared" si="51"/>
        <v>No</v>
      </c>
      <c r="AH459" t="str">
        <f t="shared" si="52"/>
        <v>Unknown</v>
      </c>
      <c r="AJ459" t="str">
        <f t="shared" si="53"/>
        <v>Moderate Trust</v>
      </c>
      <c r="AL459">
        <f t="shared" si="54"/>
        <v>71</v>
      </c>
      <c r="AM459" t="str">
        <f t="shared" si="55"/>
        <v>Masters</v>
      </c>
    </row>
    <row r="460" spans="1:39" x14ac:dyDescent="0.25">
      <c r="A460" t="s">
        <v>56</v>
      </c>
      <c r="B460" t="s">
        <v>76</v>
      </c>
      <c r="C460">
        <v>70.06</v>
      </c>
      <c r="D460">
        <v>710</v>
      </c>
      <c r="E460" t="b">
        <v>1</v>
      </c>
      <c r="F460" t="b">
        <v>1</v>
      </c>
      <c r="G460" t="b">
        <v>1</v>
      </c>
      <c r="H460" t="s">
        <v>34</v>
      </c>
      <c r="I460" t="s">
        <v>35</v>
      </c>
      <c r="J460" t="s">
        <v>54</v>
      </c>
      <c r="K460" t="s">
        <v>46</v>
      </c>
      <c r="L460" t="s">
        <v>69</v>
      </c>
      <c r="M460" t="s">
        <v>47</v>
      </c>
      <c r="N460" t="s">
        <v>28</v>
      </c>
      <c r="O460" t="b">
        <v>0</v>
      </c>
      <c r="P460" t="b">
        <v>1</v>
      </c>
      <c r="Q460">
        <v>6.7</v>
      </c>
      <c r="R460" t="b">
        <v>1</v>
      </c>
      <c r="S460" t="s">
        <v>75</v>
      </c>
      <c r="T460">
        <v>10</v>
      </c>
      <c r="U460">
        <v>60.85</v>
      </c>
      <c r="V460" t="b">
        <v>1</v>
      </c>
      <c r="W460" t="s">
        <v>41</v>
      </c>
      <c r="AE460" t="str">
        <f t="shared" si="49"/>
        <v>Yes</v>
      </c>
      <c r="AF460" t="str">
        <f t="shared" si="50"/>
        <v>Low</v>
      </c>
      <c r="AG460" t="str">
        <f t="shared" si="51"/>
        <v>No</v>
      </c>
      <c r="AH460" t="str">
        <f t="shared" si="52"/>
        <v>Asked Colleague</v>
      </c>
      <c r="AJ460" t="str">
        <f t="shared" si="53"/>
        <v>Moderate Trust</v>
      </c>
      <c r="AL460">
        <f t="shared" si="54"/>
        <v>60.9</v>
      </c>
      <c r="AM460" t="str">
        <f t="shared" si="55"/>
        <v>Masters</v>
      </c>
    </row>
    <row r="461" spans="1:39" x14ac:dyDescent="0.25">
      <c r="A461" t="s">
        <v>32</v>
      </c>
      <c r="B461" t="s">
        <v>76</v>
      </c>
      <c r="C461">
        <v>71.83</v>
      </c>
      <c r="D461">
        <v>660</v>
      </c>
      <c r="E461" t="b">
        <v>0</v>
      </c>
      <c r="F461" t="b">
        <v>0</v>
      </c>
      <c r="G461" t="b">
        <v>0</v>
      </c>
      <c r="H461" t="s">
        <v>25</v>
      </c>
      <c r="I461" t="s">
        <v>35</v>
      </c>
      <c r="J461" t="s">
        <v>27</v>
      </c>
      <c r="K461" t="s">
        <v>37</v>
      </c>
      <c r="L461" t="s">
        <v>38</v>
      </c>
      <c r="M461" t="s">
        <v>28</v>
      </c>
      <c r="N461" t="s">
        <v>39</v>
      </c>
      <c r="O461" t="b">
        <v>1</v>
      </c>
      <c r="P461" t="b">
        <v>1</v>
      </c>
      <c r="Q461">
        <v>10</v>
      </c>
      <c r="R461" t="b">
        <v>1</v>
      </c>
      <c r="S461" t="s">
        <v>75</v>
      </c>
      <c r="T461">
        <v>12.7</v>
      </c>
      <c r="U461">
        <v>66.3</v>
      </c>
      <c r="V461" t="b">
        <v>0</v>
      </c>
      <c r="W461" t="s">
        <v>31</v>
      </c>
      <c r="AE461" t="str">
        <f t="shared" si="49"/>
        <v>No</v>
      </c>
      <c r="AF461" t="str">
        <f t="shared" si="50"/>
        <v>High</v>
      </c>
      <c r="AG461" t="str">
        <f t="shared" si="51"/>
        <v>Yes</v>
      </c>
      <c r="AH461" t="str">
        <f t="shared" si="52"/>
        <v>Asked Colleague</v>
      </c>
      <c r="AJ461" t="str">
        <f t="shared" si="53"/>
        <v>High Trust</v>
      </c>
      <c r="AL461">
        <f t="shared" si="54"/>
        <v>66.3</v>
      </c>
      <c r="AM461" t="str">
        <f t="shared" si="55"/>
        <v>Bachelors</v>
      </c>
    </row>
    <row r="462" spans="1:39" x14ac:dyDescent="0.25">
      <c r="A462" t="s">
        <v>74</v>
      </c>
      <c r="B462" t="s">
        <v>24</v>
      </c>
      <c r="C462">
        <v>88.49</v>
      </c>
      <c r="D462">
        <v>789</v>
      </c>
      <c r="E462" t="b">
        <v>0</v>
      </c>
      <c r="F462" t="b">
        <v>0</v>
      </c>
      <c r="G462" t="b">
        <v>0</v>
      </c>
      <c r="H462" t="s">
        <v>34</v>
      </c>
      <c r="I462" t="s">
        <v>63</v>
      </c>
      <c r="J462" t="s">
        <v>36</v>
      </c>
      <c r="K462" t="s">
        <v>46</v>
      </c>
      <c r="L462" t="s">
        <v>37</v>
      </c>
      <c r="M462" t="s">
        <v>39</v>
      </c>
      <c r="N462" t="s">
        <v>39</v>
      </c>
      <c r="O462" t="b">
        <v>0</v>
      </c>
      <c r="P462" t="b">
        <v>1</v>
      </c>
      <c r="Q462">
        <v>7.9</v>
      </c>
      <c r="R462" t="b">
        <v>0</v>
      </c>
      <c r="T462">
        <v>0</v>
      </c>
      <c r="U462">
        <v>73.78</v>
      </c>
      <c r="V462" t="b">
        <v>1</v>
      </c>
      <c r="W462" t="s">
        <v>31</v>
      </c>
      <c r="AE462" t="str">
        <f t="shared" si="49"/>
        <v>No</v>
      </c>
      <c r="AF462" t="str">
        <f t="shared" si="50"/>
        <v>High</v>
      </c>
      <c r="AG462" t="str">
        <f t="shared" si="51"/>
        <v>No</v>
      </c>
      <c r="AH462" t="str">
        <f t="shared" si="52"/>
        <v>Unknown</v>
      </c>
      <c r="AJ462" t="str">
        <f t="shared" si="53"/>
        <v>Moderate Trust</v>
      </c>
      <c r="AL462">
        <f t="shared" si="54"/>
        <v>73.8</v>
      </c>
      <c r="AM462" t="str">
        <f t="shared" si="55"/>
        <v>PhD</v>
      </c>
    </row>
    <row r="463" spans="1:39" x14ac:dyDescent="0.25">
      <c r="A463" t="s">
        <v>23</v>
      </c>
      <c r="B463" t="s">
        <v>33</v>
      </c>
      <c r="C463">
        <v>80.599999999999994</v>
      </c>
      <c r="D463">
        <v>291</v>
      </c>
      <c r="E463" t="b">
        <v>0</v>
      </c>
      <c r="F463" t="b">
        <v>1</v>
      </c>
      <c r="G463" t="b">
        <v>0</v>
      </c>
      <c r="H463" t="s">
        <v>25</v>
      </c>
      <c r="I463" t="s">
        <v>57</v>
      </c>
      <c r="J463" t="s">
        <v>54</v>
      </c>
      <c r="K463" t="s">
        <v>28</v>
      </c>
      <c r="L463" t="s">
        <v>37</v>
      </c>
      <c r="M463" t="s">
        <v>39</v>
      </c>
      <c r="N463" t="s">
        <v>28</v>
      </c>
      <c r="O463" t="b">
        <v>1</v>
      </c>
      <c r="P463" t="b">
        <v>1</v>
      </c>
      <c r="Q463">
        <v>9.5</v>
      </c>
      <c r="R463" t="b">
        <v>0</v>
      </c>
      <c r="T463">
        <v>0</v>
      </c>
      <c r="U463">
        <v>93.68</v>
      </c>
      <c r="V463" t="b">
        <v>1</v>
      </c>
      <c r="W463" t="s">
        <v>58</v>
      </c>
      <c r="AE463" t="str">
        <f t="shared" si="49"/>
        <v>Yes</v>
      </c>
      <c r="AF463" t="str">
        <f t="shared" si="50"/>
        <v>Low</v>
      </c>
      <c r="AG463" t="str">
        <f t="shared" si="51"/>
        <v>Yes</v>
      </c>
      <c r="AH463" t="str">
        <f t="shared" si="52"/>
        <v>Unknown</v>
      </c>
      <c r="AJ463" t="str">
        <f t="shared" si="53"/>
        <v>High Trust</v>
      </c>
      <c r="AL463">
        <f t="shared" si="54"/>
        <v>93.7</v>
      </c>
      <c r="AM463" t="str">
        <f t="shared" si="55"/>
        <v>Masters</v>
      </c>
    </row>
    <row r="464" spans="1:39" x14ac:dyDescent="0.25">
      <c r="A464" t="s">
        <v>56</v>
      </c>
      <c r="B464" t="s">
        <v>59</v>
      </c>
      <c r="C464">
        <v>94.17</v>
      </c>
      <c r="D464">
        <v>637</v>
      </c>
      <c r="E464" t="b">
        <v>1</v>
      </c>
      <c r="F464" t="b">
        <v>1</v>
      </c>
      <c r="G464" t="b">
        <v>1</v>
      </c>
      <c r="H464" t="s">
        <v>43</v>
      </c>
      <c r="I464" t="s">
        <v>35</v>
      </c>
      <c r="J464" t="s">
        <v>50</v>
      </c>
      <c r="K464" t="s">
        <v>28</v>
      </c>
      <c r="L464" t="s">
        <v>38</v>
      </c>
      <c r="M464" t="s">
        <v>28</v>
      </c>
      <c r="N464" t="s">
        <v>46</v>
      </c>
      <c r="O464" t="b">
        <v>1</v>
      </c>
      <c r="P464" t="b">
        <v>1</v>
      </c>
      <c r="Q464">
        <v>10</v>
      </c>
      <c r="R464" t="b">
        <v>1</v>
      </c>
      <c r="S464" t="s">
        <v>64</v>
      </c>
      <c r="T464">
        <v>34.799999999999997</v>
      </c>
      <c r="U464">
        <v>96.63</v>
      </c>
      <c r="V464" t="b">
        <v>1</v>
      </c>
      <c r="W464" t="s">
        <v>31</v>
      </c>
      <c r="AE464" t="str">
        <f t="shared" si="49"/>
        <v>Yes</v>
      </c>
      <c r="AF464" t="str">
        <f t="shared" si="50"/>
        <v>Medium</v>
      </c>
      <c r="AG464" t="str">
        <f t="shared" si="51"/>
        <v>Yes</v>
      </c>
      <c r="AH464" t="str">
        <f t="shared" si="52"/>
        <v>Personal Testing</v>
      </c>
      <c r="AJ464" t="str">
        <f t="shared" si="53"/>
        <v>High Trust</v>
      </c>
      <c r="AL464">
        <f t="shared" si="54"/>
        <v>96.6</v>
      </c>
      <c r="AM464" t="str">
        <f t="shared" si="55"/>
        <v>Professional</v>
      </c>
    </row>
    <row r="465" spans="1:39" x14ac:dyDescent="0.25">
      <c r="A465" t="s">
        <v>32</v>
      </c>
      <c r="B465" t="s">
        <v>24</v>
      </c>
      <c r="C465">
        <v>94.45</v>
      </c>
      <c r="D465">
        <v>519</v>
      </c>
      <c r="E465" t="b">
        <v>1</v>
      </c>
      <c r="F465" t="b">
        <v>0</v>
      </c>
      <c r="G465" t="b">
        <v>1</v>
      </c>
      <c r="H465" t="s">
        <v>34</v>
      </c>
      <c r="I465" t="s">
        <v>57</v>
      </c>
      <c r="J465" t="s">
        <v>36</v>
      </c>
      <c r="K465" t="s">
        <v>46</v>
      </c>
      <c r="L465" t="s">
        <v>29</v>
      </c>
      <c r="M465" t="s">
        <v>28</v>
      </c>
      <c r="N465" t="s">
        <v>46</v>
      </c>
      <c r="P465" t="b">
        <v>0</v>
      </c>
      <c r="Q465">
        <v>10</v>
      </c>
      <c r="R465" t="b">
        <v>0</v>
      </c>
      <c r="T465">
        <v>0</v>
      </c>
      <c r="U465">
        <v>100</v>
      </c>
      <c r="V465" t="b">
        <v>1</v>
      </c>
      <c r="W465" t="s">
        <v>58</v>
      </c>
      <c r="AE465" t="str">
        <f t="shared" si="49"/>
        <v>No</v>
      </c>
      <c r="AF465" t="str">
        <f t="shared" si="50"/>
        <v>Medium</v>
      </c>
      <c r="AG465" t="str">
        <f t="shared" si="51"/>
        <v>No</v>
      </c>
      <c r="AH465" t="str">
        <f t="shared" si="52"/>
        <v>Unknown</v>
      </c>
      <c r="AJ465" t="str">
        <f t="shared" si="53"/>
        <v>High Trust</v>
      </c>
      <c r="AL465">
        <f t="shared" si="54"/>
        <v>100</v>
      </c>
      <c r="AM465" t="str">
        <f t="shared" si="55"/>
        <v>PhD</v>
      </c>
    </row>
    <row r="466" spans="1:39" x14ac:dyDescent="0.25">
      <c r="A466" t="s">
        <v>61</v>
      </c>
      <c r="B466" t="s">
        <v>62</v>
      </c>
      <c r="C466">
        <v>67.56</v>
      </c>
      <c r="D466">
        <v>424</v>
      </c>
      <c r="E466" t="b">
        <v>0</v>
      </c>
      <c r="F466" t="b">
        <v>0</v>
      </c>
      <c r="G466" t="b">
        <v>0</v>
      </c>
      <c r="H466" t="s">
        <v>53</v>
      </c>
      <c r="I466" t="s">
        <v>35</v>
      </c>
      <c r="J466" t="s">
        <v>27</v>
      </c>
      <c r="K466" t="s">
        <v>39</v>
      </c>
      <c r="L466" t="s">
        <v>29</v>
      </c>
      <c r="M466" t="s">
        <v>28</v>
      </c>
      <c r="N466" t="s">
        <v>46</v>
      </c>
      <c r="O466" t="b">
        <v>0</v>
      </c>
      <c r="P466" t="b">
        <v>0</v>
      </c>
      <c r="Q466">
        <v>6.3</v>
      </c>
      <c r="R466" t="b">
        <v>0</v>
      </c>
      <c r="T466">
        <v>0</v>
      </c>
      <c r="U466">
        <v>81.41</v>
      </c>
      <c r="V466" t="b">
        <v>1</v>
      </c>
      <c r="W466" t="s">
        <v>31</v>
      </c>
      <c r="AE466" t="str">
        <f t="shared" si="49"/>
        <v>No</v>
      </c>
      <c r="AF466" t="str">
        <f t="shared" si="50"/>
        <v>Medium</v>
      </c>
      <c r="AG466" t="str">
        <f t="shared" si="51"/>
        <v>No</v>
      </c>
      <c r="AH466" t="str">
        <f t="shared" si="52"/>
        <v>Unknown</v>
      </c>
      <c r="AJ466" t="str">
        <f t="shared" si="53"/>
        <v>Moderate Trust</v>
      </c>
      <c r="AL466">
        <f t="shared" si="54"/>
        <v>81.400000000000006</v>
      </c>
      <c r="AM466" t="str">
        <f t="shared" si="55"/>
        <v>Bachelors</v>
      </c>
    </row>
    <row r="467" spans="1:39" x14ac:dyDescent="0.25">
      <c r="A467" t="s">
        <v>32</v>
      </c>
      <c r="B467" t="s">
        <v>42</v>
      </c>
      <c r="C467">
        <v>75.72</v>
      </c>
      <c r="D467">
        <v>465</v>
      </c>
      <c r="E467" t="b">
        <v>1</v>
      </c>
      <c r="F467" t="b">
        <v>0</v>
      </c>
      <c r="G467" t="b">
        <v>0</v>
      </c>
      <c r="H467" t="s">
        <v>25</v>
      </c>
      <c r="I467" t="s">
        <v>44</v>
      </c>
      <c r="J467" t="s">
        <v>50</v>
      </c>
      <c r="K467" t="s">
        <v>28</v>
      </c>
      <c r="L467" t="s">
        <v>51</v>
      </c>
      <c r="M467" t="s">
        <v>47</v>
      </c>
      <c r="N467" t="s">
        <v>28</v>
      </c>
      <c r="O467" t="b">
        <v>0</v>
      </c>
      <c r="P467" t="b">
        <v>1</v>
      </c>
      <c r="Q467">
        <v>7</v>
      </c>
      <c r="R467" t="b">
        <v>1</v>
      </c>
      <c r="S467" t="s">
        <v>40</v>
      </c>
      <c r="T467">
        <v>29.5</v>
      </c>
      <c r="U467">
        <v>73.180000000000007</v>
      </c>
      <c r="V467" t="b">
        <v>1</v>
      </c>
      <c r="W467" t="s">
        <v>41</v>
      </c>
      <c r="AE467" t="str">
        <f t="shared" si="49"/>
        <v>No</v>
      </c>
      <c r="AF467" t="str">
        <f t="shared" si="50"/>
        <v>Low</v>
      </c>
      <c r="AG467" t="str">
        <f t="shared" si="51"/>
        <v>No</v>
      </c>
      <c r="AH467" t="str">
        <f t="shared" si="52"/>
        <v>Asked Expert</v>
      </c>
      <c r="AJ467" t="str">
        <f t="shared" si="53"/>
        <v>Moderate Trust</v>
      </c>
      <c r="AL467">
        <f t="shared" si="54"/>
        <v>73.2</v>
      </c>
      <c r="AM467" t="str">
        <f t="shared" si="55"/>
        <v>Professional</v>
      </c>
    </row>
    <row r="468" spans="1:39" x14ac:dyDescent="0.25">
      <c r="A468" t="s">
        <v>61</v>
      </c>
      <c r="B468" t="s">
        <v>60</v>
      </c>
      <c r="C468">
        <v>43.33</v>
      </c>
      <c r="D468">
        <v>538</v>
      </c>
      <c r="E468" t="b">
        <v>1</v>
      </c>
      <c r="F468" t="b">
        <v>0</v>
      </c>
      <c r="G468" t="b">
        <v>0</v>
      </c>
      <c r="H468" t="s">
        <v>53</v>
      </c>
      <c r="I468" t="s">
        <v>63</v>
      </c>
      <c r="J468" t="s">
        <v>36</v>
      </c>
      <c r="K468" t="s">
        <v>37</v>
      </c>
      <c r="L468" t="s">
        <v>51</v>
      </c>
      <c r="M468" t="s">
        <v>39</v>
      </c>
      <c r="N468" t="s">
        <v>28</v>
      </c>
      <c r="P468" t="b">
        <v>0</v>
      </c>
      <c r="Q468">
        <v>5.0999999999999996</v>
      </c>
      <c r="R468" t="b">
        <v>1</v>
      </c>
      <c r="S468" t="s">
        <v>55</v>
      </c>
      <c r="T468">
        <v>36.9</v>
      </c>
      <c r="U468">
        <v>30.33</v>
      </c>
      <c r="V468" t="b">
        <v>0</v>
      </c>
      <c r="W468" t="s">
        <v>41</v>
      </c>
      <c r="AE468" t="str">
        <f t="shared" si="49"/>
        <v>No</v>
      </c>
      <c r="AF468" t="str">
        <f t="shared" si="50"/>
        <v>Low</v>
      </c>
      <c r="AG468" t="str">
        <f t="shared" si="51"/>
        <v>No</v>
      </c>
      <c r="AH468" t="str">
        <f t="shared" si="52"/>
        <v>Academic Paper</v>
      </c>
      <c r="AJ468" t="str">
        <f t="shared" si="53"/>
        <v>Moderate Trust</v>
      </c>
      <c r="AL468">
        <f t="shared" si="54"/>
        <v>30.3</v>
      </c>
      <c r="AM468" t="str">
        <f t="shared" si="55"/>
        <v>PhD</v>
      </c>
    </row>
    <row r="469" spans="1:39" x14ac:dyDescent="0.25">
      <c r="A469" t="s">
        <v>61</v>
      </c>
      <c r="B469" t="s">
        <v>33</v>
      </c>
      <c r="C469">
        <v>78.13</v>
      </c>
      <c r="D469">
        <v>700</v>
      </c>
      <c r="E469" t="b">
        <v>0</v>
      </c>
      <c r="F469" t="b">
        <v>0</v>
      </c>
      <c r="G469" t="b">
        <v>0</v>
      </c>
      <c r="H469" t="s">
        <v>53</v>
      </c>
      <c r="I469" t="s">
        <v>44</v>
      </c>
      <c r="J469" t="s">
        <v>50</v>
      </c>
      <c r="K469" t="s">
        <v>39</v>
      </c>
      <c r="L469" t="s">
        <v>69</v>
      </c>
      <c r="M469" t="s">
        <v>47</v>
      </c>
      <c r="O469" t="b">
        <v>1</v>
      </c>
      <c r="P469" t="b">
        <v>0</v>
      </c>
      <c r="Q469">
        <v>9.5</v>
      </c>
      <c r="R469" t="b">
        <v>1</v>
      </c>
      <c r="S469" t="s">
        <v>75</v>
      </c>
      <c r="T469">
        <v>4.2</v>
      </c>
      <c r="U469">
        <v>68.69</v>
      </c>
      <c r="V469" t="b">
        <v>0</v>
      </c>
      <c r="W469" t="s">
        <v>31</v>
      </c>
      <c r="AE469" t="str">
        <f t="shared" si="49"/>
        <v>No</v>
      </c>
      <c r="AF469" t="str">
        <f t="shared" si="50"/>
        <v>Unknown</v>
      </c>
      <c r="AG469" t="str">
        <f t="shared" si="51"/>
        <v>Yes</v>
      </c>
      <c r="AH469" t="str">
        <f t="shared" si="52"/>
        <v>Asked Colleague</v>
      </c>
      <c r="AJ469" t="str">
        <f t="shared" si="53"/>
        <v>High Trust</v>
      </c>
      <c r="AL469">
        <f t="shared" si="54"/>
        <v>68.7</v>
      </c>
      <c r="AM469" t="str">
        <f t="shared" si="55"/>
        <v>Professional</v>
      </c>
    </row>
    <row r="470" spans="1:39" x14ac:dyDescent="0.25">
      <c r="A470" t="s">
        <v>32</v>
      </c>
      <c r="B470" t="s">
        <v>76</v>
      </c>
      <c r="C470">
        <v>88.26</v>
      </c>
      <c r="D470">
        <v>324</v>
      </c>
      <c r="E470" t="b">
        <v>0</v>
      </c>
      <c r="F470" t="b">
        <v>1</v>
      </c>
      <c r="G470" t="b">
        <v>1</v>
      </c>
      <c r="H470" t="s">
        <v>34</v>
      </c>
      <c r="I470" t="s">
        <v>44</v>
      </c>
      <c r="J470" t="s">
        <v>27</v>
      </c>
      <c r="K470" t="s">
        <v>37</v>
      </c>
      <c r="L470" t="s">
        <v>29</v>
      </c>
      <c r="M470" t="s">
        <v>39</v>
      </c>
      <c r="N470" t="s">
        <v>39</v>
      </c>
      <c r="P470" t="b">
        <v>0</v>
      </c>
      <c r="Q470">
        <v>7.9</v>
      </c>
      <c r="R470" t="b">
        <v>0</v>
      </c>
      <c r="T470">
        <v>0</v>
      </c>
      <c r="U470">
        <v>82.94</v>
      </c>
      <c r="V470" t="b">
        <v>1</v>
      </c>
      <c r="W470" t="s">
        <v>31</v>
      </c>
      <c r="AE470" t="str">
        <f t="shared" si="49"/>
        <v>Yes</v>
      </c>
      <c r="AF470" t="str">
        <f t="shared" si="50"/>
        <v>High</v>
      </c>
      <c r="AG470" t="str">
        <f t="shared" si="51"/>
        <v>No</v>
      </c>
      <c r="AH470" t="str">
        <f t="shared" si="52"/>
        <v>Unknown</v>
      </c>
      <c r="AJ470" t="str">
        <f t="shared" si="53"/>
        <v>Moderate Trust</v>
      </c>
      <c r="AL470">
        <f t="shared" si="54"/>
        <v>82.9</v>
      </c>
      <c r="AM470" t="str">
        <f t="shared" si="55"/>
        <v>Bachelors</v>
      </c>
    </row>
    <row r="471" spans="1:39" x14ac:dyDescent="0.25">
      <c r="A471" t="s">
        <v>68</v>
      </c>
      <c r="B471" t="s">
        <v>59</v>
      </c>
      <c r="C471">
        <v>90.06</v>
      </c>
      <c r="D471">
        <v>478</v>
      </c>
      <c r="E471" t="b">
        <v>0</v>
      </c>
      <c r="F471" t="b">
        <v>1</v>
      </c>
      <c r="G471" t="b">
        <v>1</v>
      </c>
      <c r="H471" t="s">
        <v>53</v>
      </c>
      <c r="I471" t="s">
        <v>26</v>
      </c>
      <c r="J471" t="s">
        <v>54</v>
      </c>
      <c r="K471" t="s">
        <v>37</v>
      </c>
      <c r="L471" t="s">
        <v>38</v>
      </c>
      <c r="M471" t="s">
        <v>28</v>
      </c>
      <c r="N471" t="s">
        <v>28</v>
      </c>
      <c r="O471" t="b">
        <v>1</v>
      </c>
      <c r="P471" t="b">
        <v>1</v>
      </c>
      <c r="Q471">
        <v>10</v>
      </c>
      <c r="R471" t="b">
        <v>1</v>
      </c>
      <c r="S471" t="s">
        <v>64</v>
      </c>
      <c r="T471">
        <v>41.3</v>
      </c>
      <c r="U471">
        <v>92.8</v>
      </c>
      <c r="V471" t="b">
        <v>1</v>
      </c>
      <c r="W471" t="s">
        <v>31</v>
      </c>
      <c r="AE471" t="str">
        <f t="shared" si="49"/>
        <v>Yes</v>
      </c>
      <c r="AF471" t="str">
        <f t="shared" si="50"/>
        <v>Low</v>
      </c>
      <c r="AG471" t="str">
        <f t="shared" si="51"/>
        <v>Yes</v>
      </c>
      <c r="AH471" t="str">
        <f t="shared" si="52"/>
        <v>Personal Testing</v>
      </c>
      <c r="AJ471" t="str">
        <f t="shared" si="53"/>
        <v>High Trust</v>
      </c>
      <c r="AL471">
        <f t="shared" si="54"/>
        <v>92.8</v>
      </c>
      <c r="AM471" t="str">
        <f t="shared" si="55"/>
        <v>Masters</v>
      </c>
    </row>
    <row r="472" spans="1:39" x14ac:dyDescent="0.25">
      <c r="A472" t="s">
        <v>61</v>
      </c>
      <c r="B472" t="s">
        <v>62</v>
      </c>
      <c r="C472">
        <v>50.1</v>
      </c>
      <c r="D472">
        <v>427</v>
      </c>
      <c r="E472" t="b">
        <v>1</v>
      </c>
      <c r="F472" t="b">
        <v>0</v>
      </c>
      <c r="G472" t="b">
        <v>0</v>
      </c>
      <c r="H472" t="s">
        <v>43</v>
      </c>
      <c r="I472" t="s">
        <v>67</v>
      </c>
      <c r="J472" t="s">
        <v>45</v>
      </c>
      <c r="K472" t="s">
        <v>28</v>
      </c>
      <c r="L472" t="s">
        <v>69</v>
      </c>
      <c r="M472" t="s">
        <v>47</v>
      </c>
      <c r="O472" t="b">
        <v>0</v>
      </c>
      <c r="P472" t="b">
        <v>1</v>
      </c>
      <c r="Q472">
        <v>5.4</v>
      </c>
      <c r="R472" t="b">
        <v>1</v>
      </c>
      <c r="S472" t="s">
        <v>30</v>
      </c>
      <c r="T472">
        <v>24.9</v>
      </c>
      <c r="U472">
        <v>57.02</v>
      </c>
      <c r="V472" t="b">
        <v>1</v>
      </c>
      <c r="W472" t="s">
        <v>41</v>
      </c>
      <c r="AE472" t="str">
        <f t="shared" si="49"/>
        <v>No</v>
      </c>
      <c r="AF472" t="str">
        <f t="shared" si="50"/>
        <v>Unknown</v>
      </c>
      <c r="AG472" t="str">
        <f t="shared" si="51"/>
        <v>No</v>
      </c>
      <c r="AH472" t="str">
        <f t="shared" si="52"/>
        <v>Google Search</v>
      </c>
      <c r="AJ472" t="str">
        <f t="shared" si="53"/>
        <v>Moderate Trust</v>
      </c>
      <c r="AL472">
        <f t="shared" si="54"/>
        <v>57</v>
      </c>
      <c r="AM472" t="str">
        <f t="shared" si="55"/>
        <v>High School</v>
      </c>
    </row>
    <row r="473" spans="1:39" x14ac:dyDescent="0.25">
      <c r="A473" t="s">
        <v>23</v>
      </c>
      <c r="B473" t="s">
        <v>42</v>
      </c>
      <c r="C473">
        <v>65.78</v>
      </c>
      <c r="D473">
        <v>405</v>
      </c>
      <c r="E473" t="b">
        <v>0</v>
      </c>
      <c r="F473" t="b">
        <v>0</v>
      </c>
      <c r="G473" t="b">
        <v>1</v>
      </c>
      <c r="H473" t="s">
        <v>25</v>
      </c>
      <c r="I473" t="s">
        <v>26</v>
      </c>
      <c r="J473" t="s">
        <v>45</v>
      </c>
      <c r="K473" t="s">
        <v>28</v>
      </c>
      <c r="L473" t="s">
        <v>29</v>
      </c>
      <c r="M473" t="s">
        <v>46</v>
      </c>
      <c r="N473" t="s">
        <v>46</v>
      </c>
      <c r="P473" t="b">
        <v>1</v>
      </c>
      <c r="Q473">
        <v>7.2</v>
      </c>
      <c r="R473" t="b">
        <v>0</v>
      </c>
      <c r="T473">
        <v>0</v>
      </c>
      <c r="U473">
        <v>70.7</v>
      </c>
      <c r="V473" t="b">
        <v>1</v>
      </c>
      <c r="W473" t="s">
        <v>31</v>
      </c>
      <c r="AE473" t="str">
        <f t="shared" si="49"/>
        <v>No</v>
      </c>
      <c r="AF473" t="str">
        <f t="shared" si="50"/>
        <v>Medium</v>
      </c>
      <c r="AG473" t="str">
        <f t="shared" si="51"/>
        <v>No</v>
      </c>
      <c r="AH473" t="str">
        <f t="shared" si="52"/>
        <v>Unknown</v>
      </c>
      <c r="AJ473" t="str">
        <f t="shared" si="53"/>
        <v>Moderate Trust</v>
      </c>
      <c r="AL473">
        <f t="shared" si="54"/>
        <v>70.7</v>
      </c>
      <c r="AM473" t="str">
        <f t="shared" si="55"/>
        <v>High School</v>
      </c>
    </row>
    <row r="474" spans="1:39" x14ac:dyDescent="0.25">
      <c r="A474" t="s">
        <v>56</v>
      </c>
      <c r="B474" t="s">
        <v>42</v>
      </c>
      <c r="C474">
        <v>73.709999999999994</v>
      </c>
      <c r="D474">
        <v>172</v>
      </c>
      <c r="E474" t="b">
        <v>0</v>
      </c>
      <c r="F474" t="b">
        <v>0</v>
      </c>
      <c r="G474" t="b">
        <v>0</v>
      </c>
      <c r="H474" t="s">
        <v>34</v>
      </c>
      <c r="I474" t="s">
        <v>63</v>
      </c>
      <c r="J474" t="s">
        <v>50</v>
      </c>
      <c r="K474" t="s">
        <v>28</v>
      </c>
      <c r="L474" t="s">
        <v>69</v>
      </c>
      <c r="M474" t="s">
        <v>47</v>
      </c>
      <c r="N474" t="s">
        <v>46</v>
      </c>
      <c r="P474" t="b">
        <v>1</v>
      </c>
      <c r="Q474">
        <v>8.3000000000000007</v>
      </c>
      <c r="R474" t="b">
        <v>1</v>
      </c>
      <c r="S474" t="s">
        <v>65</v>
      </c>
      <c r="T474">
        <v>13.9</v>
      </c>
      <c r="U474">
        <v>64.86</v>
      </c>
      <c r="V474" t="b">
        <v>1</v>
      </c>
      <c r="W474" t="s">
        <v>31</v>
      </c>
      <c r="AE474" t="str">
        <f t="shared" si="49"/>
        <v>No</v>
      </c>
      <c r="AF474" t="str">
        <f t="shared" si="50"/>
        <v>Medium</v>
      </c>
      <c r="AG474" t="str">
        <f t="shared" si="51"/>
        <v>No</v>
      </c>
      <c r="AH474" t="str">
        <f t="shared" si="52"/>
        <v>Cross-referenced Multiple AIs</v>
      </c>
      <c r="AJ474" t="str">
        <f t="shared" si="53"/>
        <v>High Trust</v>
      </c>
      <c r="AL474">
        <f t="shared" si="54"/>
        <v>64.900000000000006</v>
      </c>
      <c r="AM474" t="str">
        <f t="shared" si="55"/>
        <v>Professional</v>
      </c>
    </row>
    <row r="475" spans="1:39" x14ac:dyDescent="0.25">
      <c r="A475" t="s">
        <v>68</v>
      </c>
      <c r="B475" t="s">
        <v>73</v>
      </c>
      <c r="C475">
        <v>52.26</v>
      </c>
      <c r="D475">
        <v>107</v>
      </c>
      <c r="E475" t="b">
        <v>1</v>
      </c>
      <c r="F475" t="b">
        <v>1</v>
      </c>
      <c r="G475" t="b">
        <v>0</v>
      </c>
      <c r="H475" t="s">
        <v>25</v>
      </c>
      <c r="I475" t="s">
        <v>35</v>
      </c>
      <c r="J475" t="s">
        <v>45</v>
      </c>
      <c r="K475" t="s">
        <v>37</v>
      </c>
      <c r="L475" t="s">
        <v>38</v>
      </c>
      <c r="M475" t="s">
        <v>28</v>
      </c>
      <c r="N475" t="s">
        <v>46</v>
      </c>
      <c r="O475" t="b">
        <v>1</v>
      </c>
      <c r="P475" t="b">
        <v>1</v>
      </c>
      <c r="Q475">
        <v>8.3000000000000007</v>
      </c>
      <c r="R475" t="b">
        <v>0</v>
      </c>
      <c r="T475">
        <v>0</v>
      </c>
      <c r="U475">
        <v>41.46</v>
      </c>
      <c r="V475" t="b">
        <v>0</v>
      </c>
      <c r="W475" t="s">
        <v>58</v>
      </c>
      <c r="AE475" t="str">
        <f t="shared" si="49"/>
        <v>Yes</v>
      </c>
      <c r="AF475" t="str">
        <f t="shared" si="50"/>
        <v>Medium</v>
      </c>
      <c r="AG475" t="str">
        <f t="shared" si="51"/>
        <v>Yes</v>
      </c>
      <c r="AH475" t="str">
        <f t="shared" si="52"/>
        <v>Unknown</v>
      </c>
      <c r="AJ475" t="str">
        <f t="shared" si="53"/>
        <v>High Trust</v>
      </c>
      <c r="AL475">
        <f t="shared" si="54"/>
        <v>41.5</v>
      </c>
      <c r="AM475" t="str">
        <f t="shared" si="55"/>
        <v>High School</v>
      </c>
    </row>
    <row r="476" spans="1:39" x14ac:dyDescent="0.25">
      <c r="A476" t="s">
        <v>32</v>
      </c>
      <c r="B476" t="s">
        <v>70</v>
      </c>
      <c r="C476">
        <v>74</v>
      </c>
      <c r="D476">
        <v>425</v>
      </c>
      <c r="E476" t="b">
        <v>0</v>
      </c>
      <c r="F476" t="b">
        <v>0</v>
      </c>
      <c r="G476" t="b">
        <v>0</v>
      </c>
      <c r="H476" t="s">
        <v>25</v>
      </c>
      <c r="I476" t="s">
        <v>26</v>
      </c>
      <c r="J476" t="s">
        <v>27</v>
      </c>
      <c r="K476" t="s">
        <v>37</v>
      </c>
      <c r="L476" t="s">
        <v>51</v>
      </c>
      <c r="M476" t="s">
        <v>39</v>
      </c>
      <c r="N476" t="s">
        <v>39</v>
      </c>
      <c r="P476" t="b">
        <v>1</v>
      </c>
      <c r="Q476">
        <v>6.9</v>
      </c>
      <c r="R476" t="b">
        <v>0</v>
      </c>
      <c r="T476">
        <v>0</v>
      </c>
      <c r="U476">
        <v>66.709999999999994</v>
      </c>
      <c r="V476" t="b">
        <v>1</v>
      </c>
      <c r="W476" t="s">
        <v>31</v>
      </c>
      <c r="AE476" t="str">
        <f t="shared" si="49"/>
        <v>No</v>
      </c>
      <c r="AF476" t="str">
        <f t="shared" si="50"/>
        <v>High</v>
      </c>
      <c r="AG476" t="str">
        <f t="shared" si="51"/>
        <v>No</v>
      </c>
      <c r="AH476" t="str">
        <f t="shared" si="52"/>
        <v>Unknown</v>
      </c>
      <c r="AJ476" t="str">
        <f t="shared" si="53"/>
        <v>Moderate Trust</v>
      </c>
      <c r="AL476">
        <f t="shared" si="54"/>
        <v>66.7</v>
      </c>
      <c r="AM476" t="str">
        <f t="shared" si="55"/>
        <v>Bachelors</v>
      </c>
    </row>
    <row r="477" spans="1:39" x14ac:dyDescent="0.25">
      <c r="A477" t="s">
        <v>68</v>
      </c>
      <c r="B477" t="s">
        <v>33</v>
      </c>
      <c r="C477">
        <v>89.47</v>
      </c>
      <c r="D477">
        <v>102</v>
      </c>
      <c r="E477" t="b">
        <v>1</v>
      </c>
      <c r="F477" t="b">
        <v>0</v>
      </c>
      <c r="G477" t="b">
        <v>1</v>
      </c>
      <c r="H477" t="s">
        <v>25</v>
      </c>
      <c r="I477" t="s">
        <v>63</v>
      </c>
      <c r="J477" t="s">
        <v>54</v>
      </c>
      <c r="K477" t="s">
        <v>28</v>
      </c>
      <c r="L477" t="s">
        <v>29</v>
      </c>
      <c r="M477" t="s">
        <v>28</v>
      </c>
      <c r="N477" t="s">
        <v>39</v>
      </c>
      <c r="P477" t="b">
        <v>1</v>
      </c>
      <c r="Q477">
        <v>10</v>
      </c>
      <c r="R477" t="b">
        <v>0</v>
      </c>
      <c r="T477">
        <v>0</v>
      </c>
      <c r="U477">
        <v>74.94</v>
      </c>
      <c r="V477" t="b">
        <v>0</v>
      </c>
      <c r="W477" t="s">
        <v>58</v>
      </c>
      <c r="AE477" t="str">
        <f t="shared" si="49"/>
        <v>No</v>
      </c>
      <c r="AF477" t="str">
        <f t="shared" si="50"/>
        <v>High</v>
      </c>
      <c r="AG477" t="str">
        <f t="shared" si="51"/>
        <v>No</v>
      </c>
      <c r="AH477" t="str">
        <f t="shared" si="52"/>
        <v>Unknown</v>
      </c>
      <c r="AJ477" t="str">
        <f t="shared" si="53"/>
        <v>High Trust</v>
      </c>
      <c r="AL477">
        <f t="shared" si="54"/>
        <v>74.900000000000006</v>
      </c>
      <c r="AM477" t="str">
        <f t="shared" si="55"/>
        <v>Masters</v>
      </c>
    </row>
    <row r="478" spans="1:39" x14ac:dyDescent="0.25">
      <c r="A478" t="s">
        <v>32</v>
      </c>
      <c r="B478" t="s">
        <v>49</v>
      </c>
      <c r="C478">
        <v>66.53</v>
      </c>
      <c r="D478">
        <v>76</v>
      </c>
      <c r="E478" t="b">
        <v>0</v>
      </c>
      <c r="F478" t="b">
        <v>1</v>
      </c>
      <c r="G478" t="b">
        <v>0</v>
      </c>
      <c r="H478" t="s">
        <v>25</v>
      </c>
      <c r="I478" t="s">
        <v>67</v>
      </c>
      <c r="J478" t="s">
        <v>27</v>
      </c>
      <c r="K478" t="s">
        <v>39</v>
      </c>
      <c r="L478" t="s">
        <v>51</v>
      </c>
      <c r="M478" t="s">
        <v>39</v>
      </c>
      <c r="N478" t="s">
        <v>46</v>
      </c>
      <c r="P478" t="b">
        <v>1</v>
      </c>
      <c r="Q478">
        <v>5.9</v>
      </c>
      <c r="R478" t="b">
        <v>0</v>
      </c>
      <c r="T478">
        <v>0</v>
      </c>
      <c r="U478">
        <v>60.82</v>
      </c>
      <c r="V478" t="b">
        <v>1</v>
      </c>
      <c r="W478" t="s">
        <v>41</v>
      </c>
      <c r="AE478" t="str">
        <f t="shared" si="49"/>
        <v>Yes</v>
      </c>
      <c r="AF478" t="str">
        <f t="shared" si="50"/>
        <v>Medium</v>
      </c>
      <c r="AG478" t="str">
        <f t="shared" si="51"/>
        <v>No</v>
      </c>
      <c r="AH478" t="str">
        <f t="shared" si="52"/>
        <v>Unknown</v>
      </c>
      <c r="AJ478" t="str">
        <f t="shared" si="53"/>
        <v>Moderate Trust</v>
      </c>
      <c r="AL478">
        <f t="shared" si="54"/>
        <v>60.8</v>
      </c>
      <c r="AM478" t="str">
        <f t="shared" si="55"/>
        <v>Bachelors</v>
      </c>
    </row>
    <row r="479" spans="1:39" x14ac:dyDescent="0.25">
      <c r="A479" t="s">
        <v>68</v>
      </c>
      <c r="B479" t="s">
        <v>76</v>
      </c>
      <c r="C479">
        <v>80.72</v>
      </c>
      <c r="D479">
        <v>550</v>
      </c>
      <c r="E479" t="b">
        <v>1</v>
      </c>
      <c r="F479" t="b">
        <v>0</v>
      </c>
      <c r="G479" t="b">
        <v>0</v>
      </c>
      <c r="H479" t="s">
        <v>25</v>
      </c>
      <c r="I479" t="s">
        <v>57</v>
      </c>
      <c r="J479" t="s">
        <v>36</v>
      </c>
      <c r="K479" t="s">
        <v>28</v>
      </c>
      <c r="L479" t="s">
        <v>69</v>
      </c>
      <c r="M479" t="s">
        <v>46</v>
      </c>
      <c r="N479" t="s">
        <v>28</v>
      </c>
      <c r="O479" t="b">
        <v>1</v>
      </c>
      <c r="P479" t="b">
        <v>0</v>
      </c>
      <c r="Q479">
        <v>10</v>
      </c>
      <c r="R479" t="b">
        <v>1</v>
      </c>
      <c r="S479" t="s">
        <v>52</v>
      </c>
      <c r="T479">
        <v>20</v>
      </c>
      <c r="U479">
        <v>88.02</v>
      </c>
      <c r="V479" t="b">
        <v>1</v>
      </c>
      <c r="W479" t="s">
        <v>31</v>
      </c>
      <c r="AE479" t="str">
        <f t="shared" si="49"/>
        <v>No</v>
      </c>
      <c r="AF479" t="str">
        <f t="shared" si="50"/>
        <v>Low</v>
      </c>
      <c r="AG479" t="str">
        <f t="shared" si="51"/>
        <v>Yes</v>
      </c>
      <c r="AH479" t="str">
        <f t="shared" si="52"/>
        <v>Checked Official Source</v>
      </c>
      <c r="AJ479" t="str">
        <f t="shared" si="53"/>
        <v>High Trust</v>
      </c>
      <c r="AL479">
        <f t="shared" si="54"/>
        <v>88</v>
      </c>
      <c r="AM479" t="str">
        <f t="shared" si="55"/>
        <v>PhD</v>
      </c>
    </row>
    <row r="480" spans="1:39" x14ac:dyDescent="0.25">
      <c r="A480" t="s">
        <v>56</v>
      </c>
      <c r="B480" t="s">
        <v>33</v>
      </c>
      <c r="C480">
        <v>89.5</v>
      </c>
      <c r="D480">
        <v>100</v>
      </c>
      <c r="E480" t="b">
        <v>1</v>
      </c>
      <c r="F480" t="b">
        <v>0</v>
      </c>
      <c r="G480" t="b">
        <v>1</v>
      </c>
      <c r="H480" t="s">
        <v>53</v>
      </c>
      <c r="I480" t="s">
        <v>63</v>
      </c>
      <c r="J480" t="s">
        <v>27</v>
      </c>
      <c r="K480" t="s">
        <v>39</v>
      </c>
      <c r="L480" t="s">
        <v>37</v>
      </c>
      <c r="M480" t="s">
        <v>47</v>
      </c>
      <c r="P480" t="b">
        <v>1</v>
      </c>
      <c r="Q480">
        <v>8.9</v>
      </c>
      <c r="R480" t="b">
        <v>0</v>
      </c>
      <c r="T480">
        <v>0</v>
      </c>
      <c r="U480">
        <v>94.86</v>
      </c>
      <c r="V480" t="b">
        <v>1</v>
      </c>
      <c r="W480" t="s">
        <v>58</v>
      </c>
      <c r="AE480" t="str">
        <f t="shared" si="49"/>
        <v>No</v>
      </c>
      <c r="AF480" t="str">
        <f t="shared" si="50"/>
        <v>Unknown</v>
      </c>
      <c r="AG480" t="str">
        <f t="shared" si="51"/>
        <v>No</v>
      </c>
      <c r="AH480" t="str">
        <f t="shared" si="52"/>
        <v>Unknown</v>
      </c>
      <c r="AJ480" t="str">
        <f t="shared" si="53"/>
        <v>High Trust</v>
      </c>
      <c r="AL480">
        <f t="shared" si="54"/>
        <v>94.9</v>
      </c>
      <c r="AM480" t="str">
        <f t="shared" si="55"/>
        <v>Bachelors</v>
      </c>
    </row>
    <row r="481" spans="1:39" x14ac:dyDescent="0.25">
      <c r="A481" t="s">
        <v>56</v>
      </c>
      <c r="B481" t="s">
        <v>60</v>
      </c>
      <c r="C481">
        <v>41.35</v>
      </c>
      <c r="D481">
        <v>247</v>
      </c>
      <c r="E481" t="b">
        <v>0</v>
      </c>
      <c r="F481" t="b">
        <v>0</v>
      </c>
      <c r="G481" t="b">
        <v>1</v>
      </c>
      <c r="H481" t="s">
        <v>25</v>
      </c>
      <c r="I481" t="s">
        <v>57</v>
      </c>
      <c r="J481" t="s">
        <v>27</v>
      </c>
      <c r="K481" t="s">
        <v>39</v>
      </c>
      <c r="L481" t="s">
        <v>69</v>
      </c>
      <c r="M481" t="s">
        <v>47</v>
      </c>
      <c r="N481" t="s">
        <v>39</v>
      </c>
      <c r="O481" t="b">
        <v>0</v>
      </c>
      <c r="P481" t="b">
        <v>0</v>
      </c>
      <c r="Q481">
        <v>2.9</v>
      </c>
      <c r="R481" t="b">
        <v>1</v>
      </c>
      <c r="S481" t="s">
        <v>30</v>
      </c>
      <c r="T481">
        <v>39.5</v>
      </c>
      <c r="U481">
        <v>31.16</v>
      </c>
      <c r="V481" t="b">
        <v>1</v>
      </c>
      <c r="W481" t="s">
        <v>72</v>
      </c>
      <c r="AE481" t="str">
        <f t="shared" si="49"/>
        <v>No</v>
      </c>
      <c r="AF481" t="str">
        <f t="shared" si="50"/>
        <v>High</v>
      </c>
      <c r="AG481" t="str">
        <f t="shared" si="51"/>
        <v>No</v>
      </c>
      <c r="AH481" t="str">
        <f t="shared" si="52"/>
        <v>Google Search</v>
      </c>
      <c r="AJ481" t="str">
        <f t="shared" si="53"/>
        <v>Moderate Trust</v>
      </c>
      <c r="AL481">
        <f t="shared" si="54"/>
        <v>31.2</v>
      </c>
      <c r="AM481" t="str">
        <f t="shared" si="55"/>
        <v>Bachelors</v>
      </c>
    </row>
    <row r="482" spans="1:39" x14ac:dyDescent="0.25">
      <c r="A482" t="s">
        <v>23</v>
      </c>
      <c r="B482" t="s">
        <v>49</v>
      </c>
      <c r="C482">
        <v>71.599999999999994</v>
      </c>
      <c r="D482">
        <v>748</v>
      </c>
      <c r="E482" t="b">
        <v>0</v>
      </c>
      <c r="F482" t="b">
        <v>1</v>
      </c>
      <c r="G482" t="b">
        <v>0</v>
      </c>
      <c r="H482" t="s">
        <v>34</v>
      </c>
      <c r="I482" t="s">
        <v>35</v>
      </c>
      <c r="J482" t="s">
        <v>45</v>
      </c>
      <c r="K482" t="s">
        <v>37</v>
      </c>
      <c r="L482" t="s">
        <v>29</v>
      </c>
      <c r="M482" t="s">
        <v>39</v>
      </c>
      <c r="O482" t="b">
        <v>1</v>
      </c>
      <c r="P482" t="b">
        <v>0</v>
      </c>
      <c r="Q482">
        <v>7.6</v>
      </c>
      <c r="R482" t="b">
        <v>1</v>
      </c>
      <c r="S482" t="s">
        <v>64</v>
      </c>
      <c r="T482">
        <v>42.4</v>
      </c>
      <c r="U482">
        <v>77.819999999999993</v>
      </c>
      <c r="V482" t="b">
        <v>1</v>
      </c>
      <c r="W482" t="s">
        <v>41</v>
      </c>
      <c r="AE482" t="str">
        <f t="shared" si="49"/>
        <v>Yes</v>
      </c>
      <c r="AF482" t="str">
        <f t="shared" si="50"/>
        <v>Unknown</v>
      </c>
      <c r="AG482" t="str">
        <f t="shared" si="51"/>
        <v>Yes</v>
      </c>
      <c r="AH482" t="str">
        <f t="shared" si="52"/>
        <v>Personal Testing</v>
      </c>
      <c r="AJ482" t="str">
        <f t="shared" si="53"/>
        <v>Moderate Trust</v>
      </c>
      <c r="AL482">
        <f t="shared" si="54"/>
        <v>77.8</v>
      </c>
      <c r="AM482" t="str">
        <f t="shared" si="55"/>
        <v>High School</v>
      </c>
    </row>
    <row r="483" spans="1:39" x14ac:dyDescent="0.25">
      <c r="A483" t="s">
        <v>23</v>
      </c>
      <c r="B483" t="s">
        <v>24</v>
      </c>
      <c r="C483">
        <v>88.21</v>
      </c>
      <c r="D483">
        <v>661</v>
      </c>
      <c r="E483" t="b">
        <v>0</v>
      </c>
      <c r="F483" t="b">
        <v>1</v>
      </c>
      <c r="G483" t="b">
        <v>1</v>
      </c>
      <c r="H483" t="s">
        <v>53</v>
      </c>
      <c r="I483" t="s">
        <v>35</v>
      </c>
      <c r="J483" t="s">
        <v>36</v>
      </c>
      <c r="K483" t="s">
        <v>37</v>
      </c>
      <c r="L483" t="s">
        <v>51</v>
      </c>
      <c r="M483" t="s">
        <v>46</v>
      </c>
      <c r="N483" t="s">
        <v>28</v>
      </c>
      <c r="O483" t="b">
        <v>0</v>
      </c>
      <c r="P483" t="b">
        <v>1</v>
      </c>
      <c r="Q483">
        <v>7</v>
      </c>
      <c r="R483" t="b">
        <v>1</v>
      </c>
      <c r="S483" t="s">
        <v>64</v>
      </c>
      <c r="T483">
        <v>14.6</v>
      </c>
      <c r="U483">
        <v>76.31</v>
      </c>
      <c r="V483" t="b">
        <v>1</v>
      </c>
      <c r="W483" t="s">
        <v>41</v>
      </c>
      <c r="AE483" t="str">
        <f t="shared" si="49"/>
        <v>Yes</v>
      </c>
      <c r="AF483" t="str">
        <f t="shared" si="50"/>
        <v>Low</v>
      </c>
      <c r="AG483" t="str">
        <f t="shared" si="51"/>
        <v>No</v>
      </c>
      <c r="AH483" t="str">
        <f t="shared" si="52"/>
        <v>Personal Testing</v>
      </c>
      <c r="AJ483" t="str">
        <f t="shared" si="53"/>
        <v>Moderate Trust</v>
      </c>
      <c r="AL483">
        <f t="shared" si="54"/>
        <v>76.3</v>
      </c>
      <c r="AM483" t="str">
        <f t="shared" si="55"/>
        <v>PhD</v>
      </c>
    </row>
    <row r="484" spans="1:39" x14ac:dyDescent="0.25">
      <c r="A484" t="s">
        <v>61</v>
      </c>
      <c r="B484" t="s">
        <v>76</v>
      </c>
      <c r="C484">
        <v>72.09</v>
      </c>
      <c r="D484">
        <v>770</v>
      </c>
      <c r="E484" t="b">
        <v>1</v>
      </c>
      <c r="F484" t="b">
        <v>1</v>
      </c>
      <c r="G484" t="b">
        <v>1</v>
      </c>
      <c r="H484" t="s">
        <v>34</v>
      </c>
      <c r="I484" t="s">
        <v>57</v>
      </c>
      <c r="J484" t="s">
        <v>45</v>
      </c>
      <c r="K484" t="s">
        <v>28</v>
      </c>
      <c r="L484" t="s">
        <v>29</v>
      </c>
      <c r="M484" t="s">
        <v>28</v>
      </c>
      <c r="N484" t="s">
        <v>39</v>
      </c>
      <c r="O484" t="b">
        <v>1</v>
      </c>
      <c r="P484" t="b">
        <v>1</v>
      </c>
      <c r="Q484">
        <v>9.9</v>
      </c>
      <c r="R484" t="b">
        <v>0</v>
      </c>
      <c r="T484">
        <v>0</v>
      </c>
      <c r="U484">
        <v>70.5</v>
      </c>
      <c r="V484" t="b">
        <v>0</v>
      </c>
      <c r="W484" t="s">
        <v>58</v>
      </c>
      <c r="AE484" t="str">
        <f t="shared" si="49"/>
        <v>Yes</v>
      </c>
      <c r="AF484" t="str">
        <f t="shared" si="50"/>
        <v>High</v>
      </c>
      <c r="AG484" t="str">
        <f t="shared" si="51"/>
        <v>Yes</v>
      </c>
      <c r="AH484" t="str">
        <f t="shared" si="52"/>
        <v>Unknown</v>
      </c>
      <c r="AJ484" t="str">
        <f t="shared" si="53"/>
        <v>High Trust</v>
      </c>
      <c r="AL484">
        <f t="shared" si="54"/>
        <v>70.5</v>
      </c>
      <c r="AM484" t="str">
        <f t="shared" si="55"/>
        <v>High School</v>
      </c>
    </row>
    <row r="485" spans="1:39" x14ac:dyDescent="0.25">
      <c r="A485" t="s">
        <v>61</v>
      </c>
      <c r="B485" t="s">
        <v>71</v>
      </c>
      <c r="C485">
        <v>52.4</v>
      </c>
      <c r="D485">
        <v>437</v>
      </c>
      <c r="E485" t="b">
        <v>1</v>
      </c>
      <c r="F485" t="b">
        <v>0</v>
      </c>
      <c r="G485" t="b">
        <v>1</v>
      </c>
      <c r="H485" t="s">
        <v>43</v>
      </c>
      <c r="I485" t="s">
        <v>35</v>
      </c>
      <c r="J485" t="s">
        <v>50</v>
      </c>
      <c r="K485" t="s">
        <v>28</v>
      </c>
      <c r="L485" t="s">
        <v>38</v>
      </c>
      <c r="M485" t="s">
        <v>28</v>
      </c>
      <c r="N485" t="s">
        <v>39</v>
      </c>
      <c r="O485" t="b">
        <v>0</v>
      </c>
      <c r="P485" t="b">
        <v>1</v>
      </c>
      <c r="Q485">
        <v>7.4</v>
      </c>
      <c r="R485" t="b">
        <v>0</v>
      </c>
      <c r="T485">
        <v>0</v>
      </c>
      <c r="U485">
        <v>48.39</v>
      </c>
      <c r="V485" t="b">
        <v>0</v>
      </c>
      <c r="W485" t="s">
        <v>31</v>
      </c>
      <c r="AE485" t="str">
        <f t="shared" si="49"/>
        <v>No</v>
      </c>
      <c r="AF485" t="str">
        <f t="shared" si="50"/>
        <v>High</v>
      </c>
      <c r="AG485" t="str">
        <f t="shared" si="51"/>
        <v>No</v>
      </c>
      <c r="AH485" t="str">
        <f t="shared" si="52"/>
        <v>Unknown</v>
      </c>
      <c r="AJ485" t="str">
        <f t="shared" si="53"/>
        <v>Moderate Trust</v>
      </c>
      <c r="AL485">
        <f t="shared" si="54"/>
        <v>48.4</v>
      </c>
      <c r="AM485" t="str">
        <f t="shared" si="55"/>
        <v>Professional</v>
      </c>
    </row>
    <row r="486" spans="1:39" x14ac:dyDescent="0.25">
      <c r="A486" t="s">
        <v>23</v>
      </c>
      <c r="B486" t="s">
        <v>33</v>
      </c>
      <c r="C486">
        <v>84.1</v>
      </c>
      <c r="D486">
        <v>473</v>
      </c>
      <c r="E486" t="b">
        <v>1</v>
      </c>
      <c r="F486" t="b">
        <v>0</v>
      </c>
      <c r="G486" t="b">
        <v>1</v>
      </c>
      <c r="H486" t="s">
        <v>43</v>
      </c>
      <c r="I486" t="s">
        <v>44</v>
      </c>
      <c r="J486" t="s">
        <v>27</v>
      </c>
      <c r="K486" t="s">
        <v>46</v>
      </c>
      <c r="L486" t="s">
        <v>69</v>
      </c>
      <c r="M486" t="s">
        <v>47</v>
      </c>
      <c r="N486" t="s">
        <v>46</v>
      </c>
      <c r="O486" t="b">
        <v>0</v>
      </c>
      <c r="P486" t="b">
        <v>0</v>
      </c>
      <c r="Q486">
        <v>8.9</v>
      </c>
      <c r="R486" t="b">
        <v>1</v>
      </c>
      <c r="S486" t="s">
        <v>55</v>
      </c>
      <c r="T486">
        <v>37.700000000000003</v>
      </c>
      <c r="U486">
        <v>92.89</v>
      </c>
      <c r="V486" t="b">
        <v>1</v>
      </c>
      <c r="W486" t="s">
        <v>31</v>
      </c>
      <c r="AE486" t="str">
        <f t="shared" si="49"/>
        <v>No</v>
      </c>
      <c r="AF486" t="str">
        <f t="shared" si="50"/>
        <v>Medium</v>
      </c>
      <c r="AG486" t="str">
        <f t="shared" si="51"/>
        <v>No</v>
      </c>
      <c r="AH486" t="str">
        <f t="shared" si="52"/>
        <v>Academic Paper</v>
      </c>
      <c r="AJ486" t="str">
        <f t="shared" si="53"/>
        <v>High Trust</v>
      </c>
      <c r="AL486">
        <f t="shared" si="54"/>
        <v>92.9</v>
      </c>
      <c r="AM486" t="str">
        <f t="shared" si="55"/>
        <v>Bachelors</v>
      </c>
    </row>
    <row r="487" spans="1:39" x14ac:dyDescent="0.25">
      <c r="A487" t="s">
        <v>68</v>
      </c>
      <c r="B487" t="s">
        <v>70</v>
      </c>
      <c r="C487">
        <v>75.209999999999994</v>
      </c>
      <c r="D487">
        <v>180</v>
      </c>
      <c r="E487" t="b">
        <v>0</v>
      </c>
      <c r="F487" t="b">
        <v>1</v>
      </c>
      <c r="G487" t="b">
        <v>0</v>
      </c>
      <c r="H487" t="s">
        <v>34</v>
      </c>
      <c r="I487" t="s">
        <v>67</v>
      </c>
      <c r="J487" t="s">
        <v>50</v>
      </c>
      <c r="K487" t="s">
        <v>46</v>
      </c>
      <c r="L487" t="s">
        <v>37</v>
      </c>
      <c r="M487" t="s">
        <v>46</v>
      </c>
      <c r="N487" t="s">
        <v>46</v>
      </c>
      <c r="P487" t="b">
        <v>0</v>
      </c>
      <c r="Q487">
        <v>7.5</v>
      </c>
      <c r="R487" t="b">
        <v>1</v>
      </c>
      <c r="S487" t="s">
        <v>64</v>
      </c>
      <c r="T487">
        <v>22</v>
      </c>
      <c r="U487">
        <v>74.069999999999993</v>
      </c>
      <c r="V487" t="b">
        <v>1</v>
      </c>
      <c r="W487" t="s">
        <v>41</v>
      </c>
      <c r="AE487" t="str">
        <f t="shared" si="49"/>
        <v>Yes</v>
      </c>
      <c r="AF487" t="str">
        <f t="shared" si="50"/>
        <v>Medium</v>
      </c>
      <c r="AG487" t="str">
        <f t="shared" si="51"/>
        <v>No</v>
      </c>
      <c r="AH487" t="str">
        <f t="shared" si="52"/>
        <v>Personal Testing</v>
      </c>
      <c r="AJ487" t="str">
        <f t="shared" si="53"/>
        <v>Moderate Trust</v>
      </c>
      <c r="AL487">
        <f t="shared" si="54"/>
        <v>74.099999999999994</v>
      </c>
      <c r="AM487" t="str">
        <f t="shared" si="55"/>
        <v>Professional</v>
      </c>
    </row>
    <row r="488" spans="1:39" x14ac:dyDescent="0.25">
      <c r="A488" t="s">
        <v>74</v>
      </c>
      <c r="B488" t="s">
        <v>70</v>
      </c>
      <c r="C488">
        <v>88.69</v>
      </c>
      <c r="D488">
        <v>101</v>
      </c>
      <c r="E488" t="b">
        <v>1</v>
      </c>
      <c r="F488" t="b">
        <v>0</v>
      </c>
      <c r="G488" t="b">
        <v>1</v>
      </c>
      <c r="H488" t="s">
        <v>43</v>
      </c>
      <c r="I488" t="s">
        <v>44</v>
      </c>
      <c r="J488" t="s">
        <v>27</v>
      </c>
      <c r="K488" t="s">
        <v>28</v>
      </c>
      <c r="L488" t="s">
        <v>69</v>
      </c>
      <c r="M488" t="s">
        <v>46</v>
      </c>
      <c r="N488" t="s">
        <v>39</v>
      </c>
      <c r="O488" t="b">
        <v>0</v>
      </c>
      <c r="P488" t="b">
        <v>0</v>
      </c>
      <c r="Q488">
        <v>10</v>
      </c>
      <c r="R488" t="b">
        <v>0</v>
      </c>
      <c r="T488">
        <v>0</v>
      </c>
      <c r="U488">
        <v>88.9</v>
      </c>
      <c r="V488" t="b">
        <v>1</v>
      </c>
      <c r="W488" t="s">
        <v>58</v>
      </c>
      <c r="AE488" t="str">
        <f t="shared" si="49"/>
        <v>No</v>
      </c>
      <c r="AF488" t="str">
        <f t="shared" si="50"/>
        <v>High</v>
      </c>
      <c r="AG488" t="str">
        <f t="shared" si="51"/>
        <v>No</v>
      </c>
      <c r="AH488" t="str">
        <f t="shared" si="52"/>
        <v>Unknown</v>
      </c>
      <c r="AJ488" t="str">
        <f t="shared" si="53"/>
        <v>High Trust</v>
      </c>
      <c r="AL488">
        <f t="shared" si="54"/>
        <v>88.9</v>
      </c>
      <c r="AM488" t="str">
        <f t="shared" si="55"/>
        <v>Bachelors</v>
      </c>
    </row>
    <row r="489" spans="1:39" x14ac:dyDescent="0.25">
      <c r="A489" t="s">
        <v>68</v>
      </c>
      <c r="B489" t="s">
        <v>62</v>
      </c>
      <c r="C489">
        <v>72.12</v>
      </c>
      <c r="D489">
        <v>345</v>
      </c>
      <c r="E489" t="b">
        <v>1</v>
      </c>
      <c r="F489" t="b">
        <v>1</v>
      </c>
      <c r="G489" t="b">
        <v>1</v>
      </c>
      <c r="H489" t="s">
        <v>25</v>
      </c>
      <c r="I489" t="s">
        <v>67</v>
      </c>
      <c r="J489" t="s">
        <v>36</v>
      </c>
      <c r="K489" t="s">
        <v>39</v>
      </c>
      <c r="L489" t="s">
        <v>29</v>
      </c>
      <c r="M489" t="s">
        <v>47</v>
      </c>
      <c r="O489" t="b">
        <v>0</v>
      </c>
      <c r="P489" t="b">
        <v>1</v>
      </c>
      <c r="Q489">
        <v>6</v>
      </c>
      <c r="R489" t="b">
        <v>1</v>
      </c>
      <c r="S489" t="s">
        <v>30</v>
      </c>
      <c r="T489">
        <v>43.1</v>
      </c>
      <c r="U489">
        <v>77.569999999999993</v>
      </c>
      <c r="V489" t="b">
        <v>1</v>
      </c>
      <c r="W489" t="s">
        <v>41</v>
      </c>
      <c r="AE489" t="str">
        <f t="shared" si="49"/>
        <v>Yes</v>
      </c>
      <c r="AF489" t="str">
        <f t="shared" si="50"/>
        <v>Unknown</v>
      </c>
      <c r="AG489" t="str">
        <f t="shared" si="51"/>
        <v>No</v>
      </c>
      <c r="AH489" t="str">
        <f t="shared" si="52"/>
        <v>Google Search</v>
      </c>
      <c r="AJ489" t="str">
        <f t="shared" si="53"/>
        <v>Moderate Trust</v>
      </c>
      <c r="AL489">
        <f t="shared" si="54"/>
        <v>77.599999999999994</v>
      </c>
      <c r="AM489" t="str">
        <f t="shared" si="55"/>
        <v>PhD</v>
      </c>
    </row>
    <row r="490" spans="1:39" x14ac:dyDescent="0.25">
      <c r="A490" t="s">
        <v>68</v>
      </c>
      <c r="B490" t="s">
        <v>33</v>
      </c>
      <c r="C490">
        <v>85.75</v>
      </c>
      <c r="D490">
        <v>180</v>
      </c>
      <c r="E490" t="b">
        <v>1</v>
      </c>
      <c r="F490" t="b">
        <v>0</v>
      </c>
      <c r="G490" t="b">
        <v>0</v>
      </c>
      <c r="H490" t="s">
        <v>43</v>
      </c>
      <c r="I490" t="s">
        <v>57</v>
      </c>
      <c r="J490" t="s">
        <v>36</v>
      </c>
      <c r="K490" t="s">
        <v>39</v>
      </c>
      <c r="L490" t="s">
        <v>69</v>
      </c>
      <c r="M490" t="s">
        <v>39</v>
      </c>
      <c r="N490" t="s">
        <v>39</v>
      </c>
      <c r="P490" t="b">
        <v>1</v>
      </c>
      <c r="Q490">
        <v>10</v>
      </c>
      <c r="R490" t="b">
        <v>1</v>
      </c>
      <c r="S490" t="s">
        <v>75</v>
      </c>
      <c r="T490">
        <v>41.8</v>
      </c>
      <c r="U490">
        <v>94.56</v>
      </c>
      <c r="V490" t="b">
        <v>1</v>
      </c>
      <c r="W490" t="s">
        <v>31</v>
      </c>
      <c r="AE490" t="str">
        <f t="shared" si="49"/>
        <v>No</v>
      </c>
      <c r="AF490" t="str">
        <f t="shared" si="50"/>
        <v>High</v>
      </c>
      <c r="AG490" t="str">
        <f t="shared" si="51"/>
        <v>No</v>
      </c>
      <c r="AH490" t="str">
        <f t="shared" si="52"/>
        <v>Asked Colleague</v>
      </c>
      <c r="AJ490" t="str">
        <f t="shared" si="53"/>
        <v>High Trust</v>
      </c>
      <c r="AL490">
        <f t="shared" si="54"/>
        <v>94.6</v>
      </c>
      <c r="AM490" t="str">
        <f t="shared" si="55"/>
        <v>PhD</v>
      </c>
    </row>
    <row r="491" spans="1:39" x14ac:dyDescent="0.25">
      <c r="A491" t="s">
        <v>23</v>
      </c>
      <c r="B491" t="s">
        <v>73</v>
      </c>
      <c r="C491">
        <v>62.51</v>
      </c>
      <c r="D491">
        <v>377</v>
      </c>
      <c r="E491" t="b">
        <v>0</v>
      </c>
      <c r="F491" t="b">
        <v>1</v>
      </c>
      <c r="G491" t="b">
        <v>1</v>
      </c>
      <c r="H491" t="s">
        <v>34</v>
      </c>
      <c r="I491" t="s">
        <v>35</v>
      </c>
      <c r="J491" t="s">
        <v>36</v>
      </c>
      <c r="K491" t="s">
        <v>46</v>
      </c>
      <c r="L491" t="s">
        <v>38</v>
      </c>
      <c r="M491" t="s">
        <v>28</v>
      </c>
      <c r="N491" t="s">
        <v>28</v>
      </c>
      <c r="P491" t="b">
        <v>0</v>
      </c>
      <c r="Q491">
        <v>7.6</v>
      </c>
      <c r="R491" t="b">
        <v>1</v>
      </c>
      <c r="S491" t="s">
        <v>75</v>
      </c>
      <c r="T491">
        <v>15.6</v>
      </c>
      <c r="U491">
        <v>76.48</v>
      </c>
      <c r="V491" t="b">
        <v>1</v>
      </c>
      <c r="W491" t="s">
        <v>41</v>
      </c>
      <c r="AE491" t="str">
        <f t="shared" si="49"/>
        <v>Yes</v>
      </c>
      <c r="AF491" t="str">
        <f t="shared" si="50"/>
        <v>Low</v>
      </c>
      <c r="AG491" t="str">
        <f t="shared" si="51"/>
        <v>No</v>
      </c>
      <c r="AH491" t="str">
        <f t="shared" si="52"/>
        <v>Asked Colleague</v>
      </c>
      <c r="AJ491" t="str">
        <f t="shared" si="53"/>
        <v>Moderate Trust</v>
      </c>
      <c r="AL491">
        <f t="shared" si="54"/>
        <v>76.5</v>
      </c>
      <c r="AM491" t="str">
        <f t="shared" si="55"/>
        <v>PhD</v>
      </c>
    </row>
    <row r="492" spans="1:39" x14ac:dyDescent="0.25">
      <c r="A492" t="s">
        <v>74</v>
      </c>
      <c r="B492" t="s">
        <v>49</v>
      </c>
      <c r="C492">
        <v>67.11</v>
      </c>
      <c r="D492">
        <v>653</v>
      </c>
      <c r="E492" t="b">
        <v>1</v>
      </c>
      <c r="F492" t="b">
        <v>1</v>
      </c>
      <c r="G492" t="b">
        <v>0</v>
      </c>
      <c r="H492" t="s">
        <v>25</v>
      </c>
      <c r="I492" t="s">
        <v>44</v>
      </c>
      <c r="J492" t="s">
        <v>45</v>
      </c>
      <c r="K492" t="s">
        <v>28</v>
      </c>
      <c r="L492" t="s">
        <v>29</v>
      </c>
      <c r="M492" t="s">
        <v>39</v>
      </c>
      <c r="N492" t="s">
        <v>28</v>
      </c>
      <c r="O492" t="b">
        <v>1</v>
      </c>
      <c r="P492" t="b">
        <v>0</v>
      </c>
      <c r="Q492">
        <v>8.4</v>
      </c>
      <c r="R492" t="b">
        <v>0</v>
      </c>
      <c r="T492">
        <v>0</v>
      </c>
      <c r="U492">
        <v>82.11</v>
      </c>
      <c r="V492" t="b">
        <v>1</v>
      </c>
      <c r="W492" t="s">
        <v>58</v>
      </c>
      <c r="AE492" t="str">
        <f t="shared" si="49"/>
        <v>Yes</v>
      </c>
      <c r="AF492" t="str">
        <f t="shared" si="50"/>
        <v>Low</v>
      </c>
      <c r="AG492" t="str">
        <f t="shared" si="51"/>
        <v>Yes</v>
      </c>
      <c r="AH492" t="str">
        <f t="shared" si="52"/>
        <v>Unknown</v>
      </c>
      <c r="AJ492" t="str">
        <f t="shared" si="53"/>
        <v>High Trust</v>
      </c>
      <c r="AL492">
        <f t="shared" si="54"/>
        <v>82.1</v>
      </c>
      <c r="AM492" t="str">
        <f t="shared" si="55"/>
        <v>High School</v>
      </c>
    </row>
    <row r="493" spans="1:39" x14ac:dyDescent="0.25">
      <c r="A493" t="s">
        <v>32</v>
      </c>
      <c r="B493" t="s">
        <v>24</v>
      </c>
      <c r="C493">
        <v>94.14</v>
      </c>
      <c r="D493">
        <v>767</v>
      </c>
      <c r="E493" t="b">
        <v>1</v>
      </c>
      <c r="F493" t="b">
        <v>1</v>
      </c>
      <c r="G493" t="b">
        <v>1</v>
      </c>
      <c r="H493" t="s">
        <v>34</v>
      </c>
      <c r="I493" t="s">
        <v>57</v>
      </c>
      <c r="J493" t="s">
        <v>36</v>
      </c>
      <c r="K493" t="s">
        <v>39</v>
      </c>
      <c r="L493" t="s">
        <v>69</v>
      </c>
      <c r="M493" t="s">
        <v>28</v>
      </c>
      <c r="O493" t="b">
        <v>1</v>
      </c>
      <c r="P493" t="b">
        <v>0</v>
      </c>
      <c r="Q493">
        <v>10</v>
      </c>
      <c r="R493" t="b">
        <v>1</v>
      </c>
      <c r="S493" t="s">
        <v>55</v>
      </c>
      <c r="T493">
        <v>38.6</v>
      </c>
      <c r="U493">
        <v>80.930000000000007</v>
      </c>
      <c r="V493" t="b">
        <v>1</v>
      </c>
      <c r="W493" t="s">
        <v>31</v>
      </c>
      <c r="AE493" t="str">
        <f t="shared" si="49"/>
        <v>Yes</v>
      </c>
      <c r="AF493" t="str">
        <f t="shared" si="50"/>
        <v>Unknown</v>
      </c>
      <c r="AG493" t="str">
        <f t="shared" si="51"/>
        <v>Yes</v>
      </c>
      <c r="AH493" t="str">
        <f t="shared" si="52"/>
        <v>Academic Paper</v>
      </c>
      <c r="AJ493" t="str">
        <f t="shared" si="53"/>
        <v>High Trust</v>
      </c>
      <c r="AL493">
        <f t="shared" si="54"/>
        <v>80.900000000000006</v>
      </c>
      <c r="AM493" t="str">
        <f t="shared" si="55"/>
        <v>PhD</v>
      </c>
    </row>
    <row r="494" spans="1:39" x14ac:dyDescent="0.25">
      <c r="A494" t="s">
        <v>74</v>
      </c>
      <c r="B494" t="s">
        <v>66</v>
      </c>
      <c r="C494">
        <v>74.849999999999994</v>
      </c>
      <c r="D494">
        <v>664</v>
      </c>
      <c r="E494" t="b">
        <v>0</v>
      </c>
      <c r="F494" t="b">
        <v>1</v>
      </c>
      <c r="G494" t="b">
        <v>1</v>
      </c>
      <c r="H494" t="s">
        <v>25</v>
      </c>
      <c r="I494" t="s">
        <v>35</v>
      </c>
      <c r="J494" t="s">
        <v>45</v>
      </c>
      <c r="K494" t="s">
        <v>28</v>
      </c>
      <c r="L494" t="s">
        <v>51</v>
      </c>
      <c r="M494" t="s">
        <v>46</v>
      </c>
      <c r="N494" t="s">
        <v>46</v>
      </c>
      <c r="O494" t="b">
        <v>1</v>
      </c>
      <c r="P494" t="b">
        <v>0</v>
      </c>
      <c r="Q494">
        <v>9.1</v>
      </c>
      <c r="R494" t="b">
        <v>0</v>
      </c>
      <c r="T494">
        <v>0</v>
      </c>
      <c r="U494">
        <v>55.61</v>
      </c>
      <c r="V494" t="b">
        <v>0</v>
      </c>
      <c r="W494" t="s">
        <v>58</v>
      </c>
      <c r="AE494" t="str">
        <f t="shared" si="49"/>
        <v>Yes</v>
      </c>
      <c r="AF494" t="str">
        <f t="shared" si="50"/>
        <v>Medium</v>
      </c>
      <c r="AG494" t="str">
        <f t="shared" si="51"/>
        <v>Yes</v>
      </c>
      <c r="AH494" t="str">
        <f t="shared" si="52"/>
        <v>Unknown</v>
      </c>
      <c r="AJ494" t="str">
        <f t="shared" si="53"/>
        <v>High Trust</v>
      </c>
      <c r="AL494">
        <f t="shared" si="54"/>
        <v>55.6</v>
      </c>
      <c r="AM494" t="str">
        <f t="shared" si="55"/>
        <v>High School</v>
      </c>
    </row>
    <row r="495" spans="1:39" x14ac:dyDescent="0.25">
      <c r="A495" t="s">
        <v>61</v>
      </c>
      <c r="B495" t="s">
        <v>42</v>
      </c>
      <c r="C495">
        <v>70.92</v>
      </c>
      <c r="D495">
        <v>532</v>
      </c>
      <c r="E495" t="b">
        <v>1</v>
      </c>
      <c r="F495" t="b">
        <v>0</v>
      </c>
      <c r="G495" t="b">
        <v>0</v>
      </c>
      <c r="H495" t="s">
        <v>53</v>
      </c>
      <c r="I495" t="s">
        <v>44</v>
      </c>
      <c r="J495" t="s">
        <v>45</v>
      </c>
      <c r="K495" t="s">
        <v>37</v>
      </c>
      <c r="L495" t="s">
        <v>38</v>
      </c>
      <c r="M495" t="s">
        <v>39</v>
      </c>
      <c r="O495" t="b">
        <v>1</v>
      </c>
      <c r="P495" t="b">
        <v>1</v>
      </c>
      <c r="Q495">
        <v>9.3000000000000007</v>
      </c>
      <c r="R495" t="b">
        <v>0</v>
      </c>
      <c r="T495">
        <v>0</v>
      </c>
      <c r="U495">
        <v>84.48</v>
      </c>
      <c r="V495" t="b">
        <v>1</v>
      </c>
      <c r="W495" t="s">
        <v>58</v>
      </c>
      <c r="AE495" t="str">
        <f t="shared" si="49"/>
        <v>No</v>
      </c>
      <c r="AF495" t="str">
        <f t="shared" si="50"/>
        <v>Unknown</v>
      </c>
      <c r="AG495" t="str">
        <f t="shared" si="51"/>
        <v>Yes</v>
      </c>
      <c r="AH495" t="str">
        <f t="shared" si="52"/>
        <v>Unknown</v>
      </c>
      <c r="AJ495" t="str">
        <f t="shared" si="53"/>
        <v>High Trust</v>
      </c>
      <c r="AL495">
        <f t="shared" si="54"/>
        <v>84.5</v>
      </c>
      <c r="AM495" t="str">
        <f t="shared" si="55"/>
        <v>High School</v>
      </c>
    </row>
    <row r="496" spans="1:39" x14ac:dyDescent="0.25">
      <c r="A496" t="s">
        <v>74</v>
      </c>
      <c r="B496" t="s">
        <v>24</v>
      </c>
      <c r="C496">
        <v>95.07</v>
      </c>
      <c r="D496">
        <v>540</v>
      </c>
      <c r="E496" t="b">
        <v>1</v>
      </c>
      <c r="F496" t="b">
        <v>0</v>
      </c>
      <c r="G496" t="b">
        <v>1</v>
      </c>
      <c r="H496" t="s">
        <v>34</v>
      </c>
      <c r="I496" t="s">
        <v>63</v>
      </c>
      <c r="J496" t="s">
        <v>27</v>
      </c>
      <c r="K496" t="s">
        <v>28</v>
      </c>
      <c r="L496" t="s">
        <v>38</v>
      </c>
      <c r="M496" t="s">
        <v>28</v>
      </c>
      <c r="N496" t="s">
        <v>28</v>
      </c>
      <c r="O496" t="b">
        <v>1</v>
      </c>
      <c r="P496" t="b">
        <v>0</v>
      </c>
      <c r="Q496">
        <v>10</v>
      </c>
      <c r="R496" t="b">
        <v>0</v>
      </c>
      <c r="T496">
        <v>0</v>
      </c>
      <c r="U496">
        <v>94.86</v>
      </c>
      <c r="V496" t="b">
        <v>1</v>
      </c>
      <c r="W496" t="s">
        <v>58</v>
      </c>
      <c r="AE496" t="str">
        <f t="shared" si="49"/>
        <v>No</v>
      </c>
      <c r="AF496" t="str">
        <f t="shared" si="50"/>
        <v>Low</v>
      </c>
      <c r="AG496" t="str">
        <f t="shared" si="51"/>
        <v>Yes</v>
      </c>
      <c r="AH496" t="str">
        <f t="shared" si="52"/>
        <v>Unknown</v>
      </c>
      <c r="AJ496" t="str">
        <f t="shared" si="53"/>
        <v>High Trust</v>
      </c>
      <c r="AL496">
        <f t="shared" si="54"/>
        <v>94.9</v>
      </c>
      <c r="AM496" t="str">
        <f t="shared" si="55"/>
        <v>Bachelors</v>
      </c>
    </row>
    <row r="497" spans="1:39" x14ac:dyDescent="0.25">
      <c r="A497" t="s">
        <v>68</v>
      </c>
      <c r="B497" t="s">
        <v>59</v>
      </c>
      <c r="C497">
        <v>87.83</v>
      </c>
      <c r="D497">
        <v>532</v>
      </c>
      <c r="E497" t="b">
        <v>0</v>
      </c>
      <c r="F497" t="b">
        <v>1</v>
      </c>
      <c r="G497" t="b">
        <v>1</v>
      </c>
      <c r="H497" t="s">
        <v>34</v>
      </c>
      <c r="I497" t="s">
        <v>57</v>
      </c>
      <c r="J497" t="s">
        <v>36</v>
      </c>
      <c r="K497" t="s">
        <v>39</v>
      </c>
      <c r="L497" t="s">
        <v>29</v>
      </c>
      <c r="M497" t="s">
        <v>39</v>
      </c>
      <c r="N497" t="s">
        <v>28</v>
      </c>
      <c r="O497" t="b">
        <v>1</v>
      </c>
      <c r="P497" t="b">
        <v>0</v>
      </c>
      <c r="Q497">
        <v>9.1999999999999993</v>
      </c>
      <c r="R497" t="b">
        <v>1</v>
      </c>
      <c r="S497" t="s">
        <v>75</v>
      </c>
      <c r="T497">
        <v>33.9</v>
      </c>
      <c r="U497">
        <v>98.06</v>
      </c>
      <c r="V497" t="b">
        <v>1</v>
      </c>
      <c r="W497" t="s">
        <v>31</v>
      </c>
      <c r="AE497" t="str">
        <f t="shared" si="49"/>
        <v>Yes</v>
      </c>
      <c r="AF497" t="str">
        <f t="shared" si="50"/>
        <v>Low</v>
      </c>
      <c r="AG497" t="str">
        <f t="shared" si="51"/>
        <v>Yes</v>
      </c>
      <c r="AH497" t="str">
        <f t="shared" si="52"/>
        <v>Asked Colleague</v>
      </c>
      <c r="AJ497" t="str">
        <f t="shared" si="53"/>
        <v>High Trust</v>
      </c>
      <c r="AL497">
        <f t="shared" si="54"/>
        <v>98.1</v>
      </c>
      <c r="AM497" t="str">
        <f t="shared" si="55"/>
        <v>PhD</v>
      </c>
    </row>
    <row r="498" spans="1:39" x14ac:dyDescent="0.25">
      <c r="A498" t="s">
        <v>61</v>
      </c>
      <c r="B498" t="s">
        <v>60</v>
      </c>
      <c r="C498">
        <v>40.96</v>
      </c>
      <c r="D498">
        <v>56</v>
      </c>
      <c r="E498" t="b">
        <v>1</v>
      </c>
      <c r="F498" t="b">
        <v>0</v>
      </c>
      <c r="G498" t="b">
        <v>1</v>
      </c>
      <c r="H498" t="s">
        <v>53</v>
      </c>
      <c r="I498" t="s">
        <v>57</v>
      </c>
      <c r="J498" t="s">
        <v>36</v>
      </c>
      <c r="K498" t="s">
        <v>39</v>
      </c>
      <c r="L498" t="s">
        <v>51</v>
      </c>
      <c r="M498" t="s">
        <v>39</v>
      </c>
      <c r="N498" t="s">
        <v>46</v>
      </c>
      <c r="O498" t="b">
        <v>1</v>
      </c>
      <c r="P498" t="b">
        <v>1</v>
      </c>
      <c r="Q498">
        <v>5.4</v>
      </c>
      <c r="R498" t="b">
        <v>1</v>
      </c>
      <c r="S498" t="s">
        <v>55</v>
      </c>
      <c r="T498">
        <v>30.7</v>
      </c>
      <c r="U498">
        <v>27.51</v>
      </c>
      <c r="V498" t="b">
        <v>0</v>
      </c>
      <c r="W498" t="s">
        <v>41</v>
      </c>
      <c r="AE498" t="str">
        <f t="shared" si="49"/>
        <v>No</v>
      </c>
      <c r="AF498" t="str">
        <f t="shared" si="50"/>
        <v>Medium</v>
      </c>
      <c r="AG498" t="str">
        <f t="shared" si="51"/>
        <v>Yes</v>
      </c>
      <c r="AH498" t="str">
        <f t="shared" si="52"/>
        <v>Academic Paper</v>
      </c>
      <c r="AJ498" t="str">
        <f t="shared" si="53"/>
        <v>Moderate Trust</v>
      </c>
      <c r="AL498">
        <f t="shared" si="54"/>
        <v>27.5</v>
      </c>
      <c r="AM498" t="str">
        <f t="shared" si="55"/>
        <v>PhD</v>
      </c>
    </row>
    <row r="499" spans="1:39" x14ac:dyDescent="0.25">
      <c r="A499" t="s">
        <v>74</v>
      </c>
      <c r="B499" t="s">
        <v>66</v>
      </c>
      <c r="C499">
        <v>78.08</v>
      </c>
      <c r="D499">
        <v>530</v>
      </c>
      <c r="E499" t="b">
        <v>0</v>
      </c>
      <c r="F499" t="b">
        <v>0</v>
      </c>
      <c r="G499" t="b">
        <v>0</v>
      </c>
      <c r="H499" t="s">
        <v>53</v>
      </c>
      <c r="I499" t="s">
        <v>26</v>
      </c>
      <c r="J499" t="s">
        <v>27</v>
      </c>
      <c r="K499" t="s">
        <v>39</v>
      </c>
      <c r="L499" t="s">
        <v>37</v>
      </c>
      <c r="M499" t="s">
        <v>39</v>
      </c>
      <c r="N499" t="s">
        <v>46</v>
      </c>
      <c r="O499" t="b">
        <v>1</v>
      </c>
      <c r="P499" t="b">
        <v>0</v>
      </c>
      <c r="Q499">
        <v>9.1</v>
      </c>
      <c r="R499" t="b">
        <v>1</v>
      </c>
      <c r="S499" t="s">
        <v>55</v>
      </c>
      <c r="T499">
        <v>21.8</v>
      </c>
      <c r="U499">
        <v>77.349999999999994</v>
      </c>
      <c r="V499" t="b">
        <v>1</v>
      </c>
      <c r="W499" t="s">
        <v>31</v>
      </c>
      <c r="AE499" t="str">
        <f t="shared" si="49"/>
        <v>No</v>
      </c>
      <c r="AF499" t="str">
        <f t="shared" si="50"/>
        <v>Medium</v>
      </c>
      <c r="AG499" t="str">
        <f t="shared" si="51"/>
        <v>Yes</v>
      </c>
      <c r="AH499" t="str">
        <f t="shared" si="52"/>
        <v>Academic Paper</v>
      </c>
      <c r="AJ499" t="str">
        <f t="shared" si="53"/>
        <v>High Trust</v>
      </c>
      <c r="AL499">
        <f t="shared" si="54"/>
        <v>77.400000000000006</v>
      </c>
      <c r="AM499" t="str">
        <f t="shared" si="55"/>
        <v>Bachelors</v>
      </c>
    </row>
    <row r="500" spans="1:39" x14ac:dyDescent="0.25">
      <c r="A500" t="s">
        <v>61</v>
      </c>
      <c r="B500" t="s">
        <v>71</v>
      </c>
      <c r="C500">
        <v>43.74</v>
      </c>
      <c r="D500">
        <v>581</v>
      </c>
      <c r="E500" t="b">
        <v>1</v>
      </c>
      <c r="F500" t="b">
        <v>1</v>
      </c>
      <c r="G500" t="b">
        <v>1</v>
      </c>
      <c r="H500" t="s">
        <v>34</v>
      </c>
      <c r="I500" t="s">
        <v>44</v>
      </c>
      <c r="J500" t="s">
        <v>45</v>
      </c>
      <c r="K500" t="s">
        <v>28</v>
      </c>
      <c r="L500" t="s">
        <v>37</v>
      </c>
      <c r="M500" t="s">
        <v>28</v>
      </c>
      <c r="P500" t="b">
        <v>0</v>
      </c>
      <c r="Q500">
        <v>5.7</v>
      </c>
      <c r="R500" t="b">
        <v>1</v>
      </c>
      <c r="S500" t="s">
        <v>64</v>
      </c>
      <c r="T500">
        <v>20.5</v>
      </c>
      <c r="U500">
        <v>39.21</v>
      </c>
      <c r="V500" t="b">
        <v>1</v>
      </c>
      <c r="W500" t="s">
        <v>41</v>
      </c>
      <c r="AE500" t="str">
        <f t="shared" si="49"/>
        <v>Yes</v>
      </c>
      <c r="AF500" t="str">
        <f t="shared" si="50"/>
        <v>Unknown</v>
      </c>
      <c r="AG500" t="str">
        <f t="shared" si="51"/>
        <v>No</v>
      </c>
      <c r="AH500" t="str">
        <f t="shared" si="52"/>
        <v>Personal Testing</v>
      </c>
      <c r="AJ500" t="str">
        <f t="shared" si="53"/>
        <v>Moderate Trust</v>
      </c>
      <c r="AL500">
        <f t="shared" si="54"/>
        <v>39.200000000000003</v>
      </c>
      <c r="AM500" t="str">
        <f t="shared" si="55"/>
        <v>High School</v>
      </c>
    </row>
    <row r="501" spans="1:39" x14ac:dyDescent="0.25">
      <c r="A501" t="s">
        <v>56</v>
      </c>
      <c r="B501" t="s">
        <v>76</v>
      </c>
      <c r="C501">
        <v>70.739999999999995</v>
      </c>
      <c r="D501">
        <v>363</v>
      </c>
      <c r="E501" t="b">
        <v>0</v>
      </c>
      <c r="F501" t="b">
        <v>0</v>
      </c>
      <c r="G501" t="b">
        <v>1</v>
      </c>
      <c r="H501" t="s">
        <v>34</v>
      </c>
      <c r="I501" t="s">
        <v>35</v>
      </c>
      <c r="J501" t="s">
        <v>50</v>
      </c>
      <c r="K501" t="s">
        <v>37</v>
      </c>
      <c r="L501" t="s">
        <v>51</v>
      </c>
      <c r="M501" t="s">
        <v>47</v>
      </c>
      <c r="N501" t="s">
        <v>46</v>
      </c>
      <c r="P501" t="b">
        <v>1</v>
      </c>
      <c r="Q501">
        <v>6.1</v>
      </c>
      <c r="R501" t="b">
        <v>1</v>
      </c>
      <c r="S501" t="s">
        <v>40</v>
      </c>
      <c r="T501">
        <v>43.9</v>
      </c>
      <c r="U501">
        <v>62.62</v>
      </c>
      <c r="V501" t="b">
        <v>1</v>
      </c>
      <c r="W501" t="s">
        <v>41</v>
      </c>
      <c r="AE501" t="str">
        <f t="shared" si="49"/>
        <v>No</v>
      </c>
      <c r="AF501" t="str">
        <f t="shared" si="50"/>
        <v>Medium</v>
      </c>
      <c r="AG501" t="str">
        <f t="shared" si="51"/>
        <v>No</v>
      </c>
      <c r="AH501" t="str">
        <f t="shared" si="52"/>
        <v>Asked Expert</v>
      </c>
      <c r="AJ501" t="str">
        <f t="shared" si="53"/>
        <v>Moderate Trust</v>
      </c>
      <c r="AL501">
        <f t="shared" si="54"/>
        <v>62.6</v>
      </c>
      <c r="AM501" t="str">
        <f t="shared" si="55"/>
        <v>Professional</v>
      </c>
    </row>
    <row r="502" spans="1:39" x14ac:dyDescent="0.25">
      <c r="A502" t="s">
        <v>61</v>
      </c>
      <c r="B502" t="s">
        <v>62</v>
      </c>
      <c r="C502">
        <v>62.68</v>
      </c>
      <c r="D502">
        <v>407</v>
      </c>
      <c r="E502" t="b">
        <v>0</v>
      </c>
      <c r="F502" t="b">
        <v>0</v>
      </c>
      <c r="G502" t="b">
        <v>0</v>
      </c>
      <c r="H502" t="s">
        <v>53</v>
      </c>
      <c r="I502" t="s">
        <v>44</v>
      </c>
      <c r="J502" t="s">
        <v>36</v>
      </c>
      <c r="K502" t="s">
        <v>37</v>
      </c>
      <c r="L502" t="s">
        <v>37</v>
      </c>
      <c r="M502" t="s">
        <v>47</v>
      </c>
      <c r="N502" t="s">
        <v>39</v>
      </c>
      <c r="O502" t="b">
        <v>1</v>
      </c>
      <c r="P502" t="b">
        <v>1</v>
      </c>
      <c r="Q502">
        <v>6.9</v>
      </c>
      <c r="R502" t="b">
        <v>1</v>
      </c>
      <c r="S502" t="s">
        <v>75</v>
      </c>
      <c r="T502">
        <v>21.8</v>
      </c>
      <c r="U502">
        <v>59.41</v>
      </c>
      <c r="V502" t="b">
        <v>1</v>
      </c>
      <c r="W502" t="s">
        <v>41</v>
      </c>
      <c r="AE502" t="str">
        <f t="shared" si="49"/>
        <v>No</v>
      </c>
      <c r="AF502" t="str">
        <f t="shared" si="50"/>
        <v>High</v>
      </c>
      <c r="AG502" t="str">
        <f t="shared" si="51"/>
        <v>Yes</v>
      </c>
      <c r="AH502" t="str">
        <f t="shared" si="52"/>
        <v>Asked Colleague</v>
      </c>
      <c r="AJ502" t="str">
        <f t="shared" si="53"/>
        <v>Moderate Trust</v>
      </c>
      <c r="AL502">
        <f t="shared" si="54"/>
        <v>59.4</v>
      </c>
      <c r="AM502" t="str">
        <f t="shared" si="55"/>
        <v>PhD</v>
      </c>
    </row>
    <row r="503" spans="1:39" x14ac:dyDescent="0.25">
      <c r="A503" t="s">
        <v>74</v>
      </c>
      <c r="B503" t="s">
        <v>76</v>
      </c>
      <c r="C503">
        <v>89.61</v>
      </c>
      <c r="D503">
        <v>780</v>
      </c>
      <c r="E503" t="b">
        <v>1</v>
      </c>
      <c r="F503" t="b">
        <v>0</v>
      </c>
      <c r="G503" t="b">
        <v>0</v>
      </c>
      <c r="H503" t="s">
        <v>25</v>
      </c>
      <c r="I503" t="s">
        <v>35</v>
      </c>
      <c r="J503" t="s">
        <v>36</v>
      </c>
      <c r="K503" t="s">
        <v>28</v>
      </c>
      <c r="L503" t="s">
        <v>37</v>
      </c>
      <c r="M503" t="s">
        <v>46</v>
      </c>
      <c r="N503" t="s">
        <v>28</v>
      </c>
      <c r="O503" t="b">
        <v>0</v>
      </c>
      <c r="P503" t="b">
        <v>1</v>
      </c>
      <c r="Q503">
        <v>9.5</v>
      </c>
      <c r="R503" t="b">
        <v>1</v>
      </c>
      <c r="S503" t="s">
        <v>75</v>
      </c>
      <c r="T503">
        <v>29.5</v>
      </c>
      <c r="U503">
        <v>80.5</v>
      </c>
      <c r="V503" t="b">
        <v>1</v>
      </c>
      <c r="W503" t="s">
        <v>31</v>
      </c>
      <c r="AE503" t="str">
        <f t="shared" si="49"/>
        <v>No</v>
      </c>
      <c r="AF503" t="str">
        <f t="shared" si="50"/>
        <v>Low</v>
      </c>
      <c r="AG503" t="str">
        <f t="shared" si="51"/>
        <v>No</v>
      </c>
      <c r="AH503" t="str">
        <f t="shared" si="52"/>
        <v>Asked Colleague</v>
      </c>
      <c r="AJ503" t="str">
        <f t="shared" si="53"/>
        <v>High Trust</v>
      </c>
      <c r="AL503">
        <f t="shared" si="54"/>
        <v>80.5</v>
      </c>
      <c r="AM503" t="str">
        <f t="shared" si="55"/>
        <v>PhD</v>
      </c>
    </row>
    <row r="504" spans="1:39" x14ac:dyDescent="0.25">
      <c r="A504" t="s">
        <v>56</v>
      </c>
      <c r="B504" t="s">
        <v>76</v>
      </c>
      <c r="C504">
        <v>78.69</v>
      </c>
      <c r="D504">
        <v>211</v>
      </c>
      <c r="E504" t="b">
        <v>1</v>
      </c>
      <c r="F504" t="b">
        <v>0</v>
      </c>
      <c r="G504" t="b">
        <v>1</v>
      </c>
      <c r="H504" t="s">
        <v>53</v>
      </c>
      <c r="I504" t="s">
        <v>44</v>
      </c>
      <c r="J504" t="s">
        <v>45</v>
      </c>
      <c r="K504" t="s">
        <v>46</v>
      </c>
      <c r="L504" t="s">
        <v>29</v>
      </c>
      <c r="M504" t="s">
        <v>46</v>
      </c>
      <c r="N504" t="s">
        <v>39</v>
      </c>
      <c r="O504" t="b">
        <v>1</v>
      </c>
      <c r="P504" t="b">
        <v>1</v>
      </c>
      <c r="Q504">
        <v>10</v>
      </c>
      <c r="R504" t="b">
        <v>0</v>
      </c>
      <c r="T504">
        <v>0</v>
      </c>
      <c r="U504">
        <v>91.86</v>
      </c>
      <c r="V504" t="b">
        <v>1</v>
      </c>
      <c r="W504" t="s">
        <v>58</v>
      </c>
      <c r="AE504" t="str">
        <f t="shared" si="49"/>
        <v>No</v>
      </c>
      <c r="AF504" t="str">
        <f t="shared" si="50"/>
        <v>High</v>
      </c>
      <c r="AG504" t="str">
        <f t="shared" si="51"/>
        <v>Yes</v>
      </c>
      <c r="AH504" t="str">
        <f t="shared" si="52"/>
        <v>Unknown</v>
      </c>
      <c r="AJ504" t="str">
        <f t="shared" si="53"/>
        <v>High Trust</v>
      </c>
      <c r="AL504">
        <f t="shared" si="54"/>
        <v>91.9</v>
      </c>
      <c r="AM504" t="str">
        <f t="shared" si="55"/>
        <v>High School</v>
      </c>
    </row>
    <row r="505" spans="1:39" x14ac:dyDescent="0.25">
      <c r="A505" t="s">
        <v>68</v>
      </c>
      <c r="B505" t="s">
        <v>73</v>
      </c>
      <c r="C505">
        <v>55.46</v>
      </c>
      <c r="D505">
        <v>249</v>
      </c>
      <c r="E505" t="b">
        <v>0</v>
      </c>
      <c r="F505" t="b">
        <v>0</v>
      </c>
      <c r="G505" t="b">
        <v>1</v>
      </c>
      <c r="H505" t="s">
        <v>53</v>
      </c>
      <c r="I505" t="s">
        <v>26</v>
      </c>
      <c r="J505" t="s">
        <v>50</v>
      </c>
      <c r="K505" t="s">
        <v>39</v>
      </c>
      <c r="L505" t="s">
        <v>38</v>
      </c>
      <c r="M505" t="s">
        <v>39</v>
      </c>
      <c r="N505" t="s">
        <v>39</v>
      </c>
      <c r="O505" t="b">
        <v>1</v>
      </c>
      <c r="P505" t="b">
        <v>0</v>
      </c>
      <c r="Q505">
        <v>7.4</v>
      </c>
      <c r="R505" t="b">
        <v>1</v>
      </c>
      <c r="S505" t="s">
        <v>52</v>
      </c>
      <c r="T505">
        <v>30.3</v>
      </c>
      <c r="U505">
        <v>56.58</v>
      </c>
      <c r="V505" t="b">
        <v>1</v>
      </c>
      <c r="W505" t="s">
        <v>41</v>
      </c>
      <c r="AE505" t="str">
        <f t="shared" si="49"/>
        <v>No</v>
      </c>
      <c r="AF505" t="str">
        <f t="shared" si="50"/>
        <v>High</v>
      </c>
      <c r="AG505" t="str">
        <f t="shared" si="51"/>
        <v>Yes</v>
      </c>
      <c r="AH505" t="str">
        <f t="shared" si="52"/>
        <v>Checked Official Source</v>
      </c>
      <c r="AJ505" t="str">
        <f t="shared" si="53"/>
        <v>Moderate Trust</v>
      </c>
      <c r="AL505">
        <f t="shared" si="54"/>
        <v>56.6</v>
      </c>
      <c r="AM505" t="str">
        <f t="shared" si="55"/>
        <v>Professional</v>
      </c>
    </row>
    <row r="506" spans="1:39" x14ac:dyDescent="0.25">
      <c r="A506" t="s">
        <v>56</v>
      </c>
      <c r="B506" t="s">
        <v>24</v>
      </c>
      <c r="C506">
        <v>87.84</v>
      </c>
      <c r="D506">
        <v>753</v>
      </c>
      <c r="E506" t="b">
        <v>1</v>
      </c>
      <c r="F506" t="b">
        <v>1</v>
      </c>
      <c r="G506" t="b">
        <v>1</v>
      </c>
      <c r="H506" t="s">
        <v>34</v>
      </c>
      <c r="I506" t="s">
        <v>57</v>
      </c>
      <c r="J506" t="s">
        <v>36</v>
      </c>
      <c r="K506" t="s">
        <v>46</v>
      </c>
      <c r="L506" t="s">
        <v>29</v>
      </c>
      <c r="M506" t="s">
        <v>28</v>
      </c>
      <c r="N506" t="s">
        <v>46</v>
      </c>
      <c r="O506" t="b">
        <v>1</v>
      </c>
      <c r="P506" t="b">
        <v>0</v>
      </c>
      <c r="Q506">
        <v>10</v>
      </c>
      <c r="R506" t="b">
        <v>0</v>
      </c>
      <c r="T506">
        <v>0</v>
      </c>
      <c r="U506">
        <v>73.02</v>
      </c>
      <c r="V506" t="b">
        <v>0</v>
      </c>
      <c r="W506" t="s">
        <v>58</v>
      </c>
      <c r="AE506" t="str">
        <f t="shared" si="49"/>
        <v>Yes</v>
      </c>
      <c r="AF506" t="str">
        <f t="shared" si="50"/>
        <v>Medium</v>
      </c>
      <c r="AG506" t="str">
        <f t="shared" si="51"/>
        <v>Yes</v>
      </c>
      <c r="AH506" t="str">
        <f t="shared" si="52"/>
        <v>Unknown</v>
      </c>
      <c r="AJ506" t="str">
        <f t="shared" si="53"/>
        <v>High Trust</v>
      </c>
      <c r="AL506">
        <f t="shared" si="54"/>
        <v>73</v>
      </c>
      <c r="AM506" t="str">
        <f t="shared" si="55"/>
        <v>PhD</v>
      </c>
    </row>
    <row r="507" spans="1:39" x14ac:dyDescent="0.25">
      <c r="A507" t="s">
        <v>23</v>
      </c>
      <c r="B507" t="s">
        <v>62</v>
      </c>
      <c r="C507">
        <v>71.73</v>
      </c>
      <c r="D507">
        <v>750</v>
      </c>
      <c r="E507" t="b">
        <v>1</v>
      </c>
      <c r="F507" t="b">
        <v>1</v>
      </c>
      <c r="G507" t="b">
        <v>1</v>
      </c>
      <c r="H507" t="s">
        <v>25</v>
      </c>
      <c r="I507" t="s">
        <v>63</v>
      </c>
      <c r="J507" t="s">
        <v>50</v>
      </c>
      <c r="K507" t="s">
        <v>46</v>
      </c>
      <c r="L507" t="s">
        <v>69</v>
      </c>
      <c r="M507" t="s">
        <v>47</v>
      </c>
      <c r="N507" t="s">
        <v>28</v>
      </c>
      <c r="O507" t="b">
        <v>1</v>
      </c>
      <c r="P507" t="b">
        <v>1</v>
      </c>
      <c r="Q507">
        <v>9.8000000000000007</v>
      </c>
      <c r="R507" t="b">
        <v>1</v>
      </c>
      <c r="S507" t="s">
        <v>30</v>
      </c>
      <c r="T507">
        <v>28.8</v>
      </c>
      <c r="U507">
        <v>59.76</v>
      </c>
      <c r="V507" t="b">
        <v>0</v>
      </c>
      <c r="W507" t="s">
        <v>31</v>
      </c>
      <c r="AE507" t="str">
        <f t="shared" si="49"/>
        <v>Yes</v>
      </c>
      <c r="AF507" t="str">
        <f t="shared" si="50"/>
        <v>Low</v>
      </c>
      <c r="AG507" t="str">
        <f t="shared" si="51"/>
        <v>Yes</v>
      </c>
      <c r="AH507" t="str">
        <f t="shared" si="52"/>
        <v>Google Search</v>
      </c>
      <c r="AJ507" t="str">
        <f t="shared" si="53"/>
        <v>High Trust</v>
      </c>
      <c r="AL507">
        <f t="shared" si="54"/>
        <v>59.8</v>
      </c>
      <c r="AM507" t="str">
        <f t="shared" si="55"/>
        <v>Professional</v>
      </c>
    </row>
    <row r="508" spans="1:39" x14ac:dyDescent="0.25">
      <c r="A508" t="s">
        <v>32</v>
      </c>
      <c r="B508" t="s">
        <v>71</v>
      </c>
      <c r="C508">
        <v>49.26</v>
      </c>
      <c r="D508">
        <v>510</v>
      </c>
      <c r="E508" t="b">
        <v>1</v>
      </c>
      <c r="F508" t="b">
        <v>0</v>
      </c>
      <c r="G508" t="b">
        <v>0</v>
      </c>
      <c r="H508" t="s">
        <v>25</v>
      </c>
      <c r="I508" t="s">
        <v>44</v>
      </c>
      <c r="J508" t="s">
        <v>54</v>
      </c>
      <c r="K508" t="s">
        <v>37</v>
      </c>
      <c r="L508" t="s">
        <v>38</v>
      </c>
      <c r="M508" t="s">
        <v>47</v>
      </c>
      <c r="N508" t="s">
        <v>46</v>
      </c>
      <c r="O508" t="b">
        <v>1</v>
      </c>
      <c r="P508" t="b">
        <v>0</v>
      </c>
      <c r="Q508">
        <v>7.7</v>
      </c>
      <c r="R508" t="b">
        <v>1</v>
      </c>
      <c r="S508" t="s">
        <v>55</v>
      </c>
      <c r="T508">
        <v>18.399999999999999</v>
      </c>
      <c r="U508">
        <v>25.18</v>
      </c>
      <c r="V508" t="b">
        <v>0</v>
      </c>
      <c r="W508" t="s">
        <v>41</v>
      </c>
      <c r="AE508" t="str">
        <f t="shared" si="49"/>
        <v>No</v>
      </c>
      <c r="AF508" t="str">
        <f t="shared" si="50"/>
        <v>Medium</v>
      </c>
      <c r="AG508" t="str">
        <f t="shared" si="51"/>
        <v>Yes</v>
      </c>
      <c r="AH508" t="str">
        <f t="shared" si="52"/>
        <v>Academic Paper</v>
      </c>
      <c r="AJ508" t="str">
        <f t="shared" si="53"/>
        <v>Low Trust</v>
      </c>
      <c r="AL508">
        <f t="shared" si="54"/>
        <v>25.2</v>
      </c>
      <c r="AM508" t="str">
        <f t="shared" si="55"/>
        <v>Masters</v>
      </c>
    </row>
    <row r="509" spans="1:39" x14ac:dyDescent="0.25">
      <c r="A509" t="s">
        <v>74</v>
      </c>
      <c r="B509" t="s">
        <v>71</v>
      </c>
      <c r="C509">
        <v>40.659999999999997</v>
      </c>
      <c r="D509">
        <v>797</v>
      </c>
      <c r="E509" t="b">
        <v>0</v>
      </c>
      <c r="F509" t="b">
        <v>1</v>
      </c>
      <c r="G509" t="b">
        <v>1</v>
      </c>
      <c r="H509" t="s">
        <v>53</v>
      </c>
      <c r="I509" t="s">
        <v>67</v>
      </c>
      <c r="J509" t="s">
        <v>54</v>
      </c>
      <c r="K509" t="s">
        <v>28</v>
      </c>
      <c r="L509" t="s">
        <v>37</v>
      </c>
      <c r="M509" t="s">
        <v>39</v>
      </c>
      <c r="N509" t="s">
        <v>28</v>
      </c>
      <c r="O509" t="b">
        <v>0</v>
      </c>
      <c r="P509" t="b">
        <v>1</v>
      </c>
      <c r="Q509">
        <v>2.7</v>
      </c>
      <c r="R509" t="b">
        <v>1</v>
      </c>
      <c r="S509" t="s">
        <v>64</v>
      </c>
      <c r="T509">
        <v>36.700000000000003</v>
      </c>
      <c r="U509">
        <v>21.7</v>
      </c>
      <c r="V509" t="b">
        <v>1</v>
      </c>
      <c r="W509" t="s">
        <v>72</v>
      </c>
      <c r="AE509" t="str">
        <f t="shared" si="49"/>
        <v>Yes</v>
      </c>
      <c r="AF509" t="str">
        <f t="shared" si="50"/>
        <v>Low</v>
      </c>
      <c r="AG509" t="str">
        <f t="shared" si="51"/>
        <v>No</v>
      </c>
      <c r="AH509" t="str">
        <f t="shared" si="52"/>
        <v>Personal Testing</v>
      </c>
      <c r="AJ509" t="str">
        <f t="shared" si="53"/>
        <v>Moderate Trust</v>
      </c>
      <c r="AL509">
        <f t="shared" si="54"/>
        <v>21.7</v>
      </c>
      <c r="AM509" t="str">
        <f t="shared" si="55"/>
        <v>Masters</v>
      </c>
    </row>
    <row r="510" spans="1:39" x14ac:dyDescent="0.25">
      <c r="A510" t="s">
        <v>23</v>
      </c>
      <c r="B510" t="s">
        <v>24</v>
      </c>
      <c r="C510">
        <v>93.72</v>
      </c>
      <c r="D510">
        <v>498</v>
      </c>
      <c r="E510" t="b">
        <v>1</v>
      </c>
      <c r="F510" t="b">
        <v>0</v>
      </c>
      <c r="G510" t="b">
        <v>1</v>
      </c>
      <c r="H510" t="s">
        <v>53</v>
      </c>
      <c r="I510" t="s">
        <v>35</v>
      </c>
      <c r="J510" t="s">
        <v>27</v>
      </c>
      <c r="K510" t="s">
        <v>46</v>
      </c>
      <c r="L510" t="s">
        <v>51</v>
      </c>
      <c r="M510" t="s">
        <v>28</v>
      </c>
      <c r="N510" t="s">
        <v>46</v>
      </c>
      <c r="O510" t="b">
        <v>0</v>
      </c>
      <c r="P510" t="b">
        <v>1</v>
      </c>
      <c r="Q510">
        <v>10</v>
      </c>
      <c r="R510" t="b">
        <v>1</v>
      </c>
      <c r="S510" t="s">
        <v>52</v>
      </c>
      <c r="T510">
        <v>14.5</v>
      </c>
      <c r="U510">
        <v>84.93</v>
      </c>
      <c r="V510" t="b">
        <v>1</v>
      </c>
      <c r="W510" t="s">
        <v>31</v>
      </c>
      <c r="AE510" t="str">
        <f t="shared" si="49"/>
        <v>No</v>
      </c>
      <c r="AF510" t="str">
        <f t="shared" si="50"/>
        <v>Medium</v>
      </c>
      <c r="AG510" t="str">
        <f t="shared" si="51"/>
        <v>No</v>
      </c>
      <c r="AH510" t="str">
        <f t="shared" si="52"/>
        <v>Checked Official Source</v>
      </c>
      <c r="AJ510" t="str">
        <f t="shared" si="53"/>
        <v>High Trust</v>
      </c>
      <c r="AL510">
        <f t="shared" si="54"/>
        <v>84.9</v>
      </c>
      <c r="AM510" t="str">
        <f t="shared" si="55"/>
        <v>Bachelors</v>
      </c>
    </row>
    <row r="511" spans="1:39" x14ac:dyDescent="0.25">
      <c r="A511" t="s">
        <v>68</v>
      </c>
      <c r="B511" t="s">
        <v>66</v>
      </c>
      <c r="C511">
        <v>60.62</v>
      </c>
      <c r="D511">
        <v>122</v>
      </c>
      <c r="E511" t="b">
        <v>1</v>
      </c>
      <c r="F511" t="b">
        <v>0</v>
      </c>
      <c r="G511" t="b">
        <v>1</v>
      </c>
      <c r="H511" t="s">
        <v>53</v>
      </c>
      <c r="I511" t="s">
        <v>35</v>
      </c>
      <c r="J511" t="s">
        <v>27</v>
      </c>
      <c r="K511" t="s">
        <v>39</v>
      </c>
      <c r="L511" t="s">
        <v>38</v>
      </c>
      <c r="M511" t="s">
        <v>39</v>
      </c>
      <c r="N511" t="s">
        <v>28</v>
      </c>
      <c r="P511" t="b">
        <v>1</v>
      </c>
      <c r="Q511">
        <v>7.4</v>
      </c>
      <c r="R511" t="b">
        <v>0</v>
      </c>
      <c r="T511">
        <v>0</v>
      </c>
      <c r="U511">
        <v>41.7</v>
      </c>
      <c r="V511" t="b">
        <v>0</v>
      </c>
      <c r="W511" t="s">
        <v>31</v>
      </c>
      <c r="AE511" t="str">
        <f t="shared" si="49"/>
        <v>No</v>
      </c>
      <c r="AF511" t="str">
        <f t="shared" si="50"/>
        <v>Low</v>
      </c>
      <c r="AG511" t="str">
        <f t="shared" si="51"/>
        <v>No</v>
      </c>
      <c r="AH511" t="str">
        <f t="shared" si="52"/>
        <v>Unknown</v>
      </c>
      <c r="AJ511" t="str">
        <f t="shared" si="53"/>
        <v>Moderate Trust</v>
      </c>
      <c r="AL511">
        <f t="shared" si="54"/>
        <v>41.7</v>
      </c>
      <c r="AM511" t="str">
        <f t="shared" si="55"/>
        <v>Bachelors</v>
      </c>
    </row>
    <row r="512" spans="1:39" x14ac:dyDescent="0.25">
      <c r="A512" t="s">
        <v>56</v>
      </c>
      <c r="B512" t="s">
        <v>66</v>
      </c>
      <c r="C512">
        <v>60.03</v>
      </c>
      <c r="D512">
        <v>773</v>
      </c>
      <c r="E512" t="b">
        <v>0</v>
      </c>
      <c r="F512" t="b">
        <v>1</v>
      </c>
      <c r="G512" t="b">
        <v>0</v>
      </c>
      <c r="H512" t="s">
        <v>43</v>
      </c>
      <c r="I512" t="s">
        <v>57</v>
      </c>
      <c r="J512" t="s">
        <v>36</v>
      </c>
      <c r="K512" t="s">
        <v>39</v>
      </c>
      <c r="L512" t="s">
        <v>29</v>
      </c>
      <c r="M512" t="s">
        <v>46</v>
      </c>
      <c r="N512" t="s">
        <v>39</v>
      </c>
      <c r="P512" t="b">
        <v>1</v>
      </c>
      <c r="Q512">
        <v>5.8</v>
      </c>
      <c r="R512" t="b">
        <v>0</v>
      </c>
      <c r="T512">
        <v>0</v>
      </c>
      <c r="U512">
        <v>53.96</v>
      </c>
      <c r="V512" t="b">
        <v>1</v>
      </c>
      <c r="W512" t="s">
        <v>41</v>
      </c>
      <c r="AE512" t="str">
        <f t="shared" si="49"/>
        <v>Yes</v>
      </c>
      <c r="AF512" t="str">
        <f t="shared" si="50"/>
        <v>High</v>
      </c>
      <c r="AG512" t="str">
        <f t="shared" si="51"/>
        <v>No</v>
      </c>
      <c r="AH512" t="str">
        <f t="shared" si="52"/>
        <v>Unknown</v>
      </c>
      <c r="AJ512" t="str">
        <f t="shared" si="53"/>
        <v>Moderate Trust</v>
      </c>
      <c r="AL512">
        <f t="shared" si="54"/>
        <v>54</v>
      </c>
      <c r="AM512" t="str">
        <f t="shared" si="55"/>
        <v>PhD</v>
      </c>
    </row>
    <row r="513" spans="1:39" x14ac:dyDescent="0.25">
      <c r="A513" t="s">
        <v>32</v>
      </c>
      <c r="B513" t="s">
        <v>33</v>
      </c>
      <c r="C513">
        <v>88.13</v>
      </c>
      <c r="D513">
        <v>371</v>
      </c>
      <c r="E513" t="b">
        <v>1</v>
      </c>
      <c r="F513" t="b">
        <v>1</v>
      </c>
      <c r="G513" t="b">
        <v>1</v>
      </c>
      <c r="H513" t="s">
        <v>34</v>
      </c>
      <c r="I513" t="s">
        <v>63</v>
      </c>
      <c r="J513" t="s">
        <v>45</v>
      </c>
      <c r="K513" t="s">
        <v>28</v>
      </c>
      <c r="L513" t="s">
        <v>38</v>
      </c>
      <c r="M513" t="s">
        <v>28</v>
      </c>
      <c r="N513" t="s">
        <v>28</v>
      </c>
      <c r="O513" t="b">
        <v>1</v>
      </c>
      <c r="P513" t="b">
        <v>1</v>
      </c>
      <c r="Q513">
        <v>10</v>
      </c>
      <c r="R513" t="b">
        <v>0</v>
      </c>
      <c r="T513">
        <v>0</v>
      </c>
      <c r="U513">
        <v>81.650000000000006</v>
      </c>
      <c r="V513" t="b">
        <v>1</v>
      </c>
      <c r="W513" t="s">
        <v>58</v>
      </c>
      <c r="AE513" t="str">
        <f t="shared" si="49"/>
        <v>Yes</v>
      </c>
      <c r="AF513" t="str">
        <f t="shared" si="50"/>
        <v>Low</v>
      </c>
      <c r="AG513" t="str">
        <f t="shared" si="51"/>
        <v>Yes</v>
      </c>
      <c r="AH513" t="str">
        <f t="shared" si="52"/>
        <v>Unknown</v>
      </c>
      <c r="AJ513" t="str">
        <f t="shared" si="53"/>
        <v>High Trust</v>
      </c>
      <c r="AL513">
        <f t="shared" si="54"/>
        <v>81.7</v>
      </c>
      <c r="AM513" t="str">
        <f t="shared" si="55"/>
        <v>High School</v>
      </c>
    </row>
    <row r="514" spans="1:39" x14ac:dyDescent="0.25">
      <c r="A514" t="s">
        <v>61</v>
      </c>
      <c r="B514" t="s">
        <v>42</v>
      </c>
      <c r="C514">
        <v>79.459999999999994</v>
      </c>
      <c r="D514">
        <v>749</v>
      </c>
      <c r="E514" t="b">
        <v>0</v>
      </c>
      <c r="F514" t="b">
        <v>0</v>
      </c>
      <c r="G514" t="b">
        <v>0</v>
      </c>
      <c r="H514" t="s">
        <v>43</v>
      </c>
      <c r="I514" t="s">
        <v>57</v>
      </c>
      <c r="J514" t="s">
        <v>27</v>
      </c>
      <c r="K514" t="s">
        <v>39</v>
      </c>
      <c r="L514" t="s">
        <v>38</v>
      </c>
      <c r="M514" t="s">
        <v>39</v>
      </c>
      <c r="O514" t="b">
        <v>0</v>
      </c>
      <c r="P514" t="b">
        <v>1</v>
      </c>
      <c r="Q514">
        <v>7.2</v>
      </c>
      <c r="R514" t="b">
        <v>1</v>
      </c>
      <c r="S514" t="s">
        <v>52</v>
      </c>
      <c r="T514">
        <v>13.5</v>
      </c>
      <c r="U514">
        <v>85.81</v>
      </c>
      <c r="V514" t="b">
        <v>1</v>
      </c>
      <c r="W514" t="s">
        <v>41</v>
      </c>
      <c r="AE514" t="str">
        <f t="shared" si="49"/>
        <v>No</v>
      </c>
      <c r="AF514" t="str">
        <f t="shared" si="50"/>
        <v>Unknown</v>
      </c>
      <c r="AG514" t="str">
        <f t="shared" si="51"/>
        <v>No</v>
      </c>
      <c r="AH514" t="str">
        <f t="shared" si="52"/>
        <v>Checked Official Source</v>
      </c>
      <c r="AJ514" t="str">
        <f t="shared" si="53"/>
        <v>Moderate Trust</v>
      </c>
      <c r="AL514">
        <f t="shared" si="54"/>
        <v>85.8</v>
      </c>
      <c r="AM514" t="str">
        <f t="shared" si="55"/>
        <v>Bachelors</v>
      </c>
    </row>
    <row r="515" spans="1:39" x14ac:dyDescent="0.25">
      <c r="A515" t="s">
        <v>32</v>
      </c>
      <c r="B515" t="s">
        <v>66</v>
      </c>
      <c r="C515">
        <v>73.11</v>
      </c>
      <c r="D515">
        <v>261</v>
      </c>
      <c r="E515" t="b">
        <v>1</v>
      </c>
      <c r="F515" t="b">
        <v>1</v>
      </c>
      <c r="G515" t="b">
        <v>0</v>
      </c>
      <c r="H515" t="s">
        <v>53</v>
      </c>
      <c r="I515" t="s">
        <v>63</v>
      </c>
      <c r="J515" t="s">
        <v>27</v>
      </c>
      <c r="K515" t="s">
        <v>46</v>
      </c>
      <c r="L515" t="s">
        <v>69</v>
      </c>
      <c r="M515" t="s">
        <v>28</v>
      </c>
      <c r="O515" t="b">
        <v>1</v>
      </c>
      <c r="P515" t="b">
        <v>1</v>
      </c>
      <c r="Q515">
        <v>10</v>
      </c>
      <c r="R515" t="b">
        <v>0</v>
      </c>
      <c r="T515">
        <v>0</v>
      </c>
      <c r="U515">
        <v>57.98</v>
      </c>
      <c r="V515" t="b">
        <v>0</v>
      </c>
      <c r="W515" t="s">
        <v>58</v>
      </c>
      <c r="AE515" t="str">
        <f t="shared" ref="AE515:AE578" si="56">IF(F515=TRUE,"Yes","No")</f>
        <v>Yes</v>
      </c>
      <c r="AF515" t="str">
        <f t="shared" ref="AF515:AF578" si="57">IF(ISBLANK(N515),"Unknown",N515)</f>
        <v>Unknown</v>
      </c>
      <c r="AG515" t="str">
        <f t="shared" ref="AG515:AG578" si="58">IF(O515=TRUE,"Yes","No")</f>
        <v>Yes</v>
      </c>
      <c r="AH515" t="str">
        <f t="shared" ref="AH515:AH578" si="59">IF(ISBLANK(S515),"Unknown",S515)</f>
        <v>Unknown</v>
      </c>
      <c r="AJ515" t="str">
        <f t="shared" ref="AJ515:AJ578" si="60">IF(Q515&gt;=8,"High Trust",
IF(Q516&gt;=5,"Moderate Trust","Low Trust"))</f>
        <v>High Trust</v>
      </c>
      <c r="AL515">
        <f t="shared" ref="AL515:AL578" si="61">ROUND(U515,1)</f>
        <v>58</v>
      </c>
      <c r="AM515" t="str">
        <f t="shared" ref="AM515:AM578" si="62">TRIM(J515)</f>
        <v>Bachelors</v>
      </c>
    </row>
    <row r="516" spans="1:39" x14ac:dyDescent="0.25">
      <c r="A516" t="s">
        <v>74</v>
      </c>
      <c r="B516" t="s">
        <v>59</v>
      </c>
      <c r="C516">
        <v>90.86</v>
      </c>
      <c r="D516">
        <v>708</v>
      </c>
      <c r="E516" t="b">
        <v>0</v>
      </c>
      <c r="F516" t="b">
        <v>1</v>
      </c>
      <c r="G516" t="b">
        <v>0</v>
      </c>
      <c r="H516" t="s">
        <v>25</v>
      </c>
      <c r="I516" t="s">
        <v>44</v>
      </c>
      <c r="J516" t="s">
        <v>50</v>
      </c>
      <c r="K516" t="s">
        <v>39</v>
      </c>
      <c r="L516" t="s">
        <v>69</v>
      </c>
      <c r="M516" t="s">
        <v>28</v>
      </c>
      <c r="N516" t="s">
        <v>28</v>
      </c>
      <c r="O516" t="b">
        <v>0</v>
      </c>
      <c r="P516" t="b">
        <v>0</v>
      </c>
      <c r="Q516">
        <v>8.8000000000000007</v>
      </c>
      <c r="R516" t="b">
        <v>1</v>
      </c>
      <c r="S516" t="s">
        <v>64</v>
      </c>
      <c r="T516">
        <v>29.8</v>
      </c>
      <c r="U516">
        <v>90.28</v>
      </c>
      <c r="V516" t="b">
        <v>1</v>
      </c>
      <c r="W516" t="s">
        <v>31</v>
      </c>
      <c r="AE516" t="str">
        <f t="shared" si="56"/>
        <v>Yes</v>
      </c>
      <c r="AF516" t="str">
        <f t="shared" si="57"/>
        <v>Low</v>
      </c>
      <c r="AG516" t="str">
        <f t="shared" si="58"/>
        <v>No</v>
      </c>
      <c r="AH516" t="str">
        <f t="shared" si="59"/>
        <v>Personal Testing</v>
      </c>
      <c r="AJ516" t="str">
        <f t="shared" si="60"/>
        <v>High Trust</v>
      </c>
      <c r="AL516">
        <f t="shared" si="61"/>
        <v>90.3</v>
      </c>
      <c r="AM516" t="str">
        <f t="shared" si="62"/>
        <v>Professional</v>
      </c>
    </row>
    <row r="517" spans="1:39" x14ac:dyDescent="0.25">
      <c r="A517" t="s">
        <v>68</v>
      </c>
      <c r="B517" t="s">
        <v>49</v>
      </c>
      <c r="C517">
        <v>72.59</v>
      </c>
      <c r="D517">
        <v>551</v>
      </c>
      <c r="E517" t="b">
        <v>1</v>
      </c>
      <c r="F517" t="b">
        <v>0</v>
      </c>
      <c r="G517" t="b">
        <v>0</v>
      </c>
      <c r="H517" t="s">
        <v>43</v>
      </c>
      <c r="I517" t="s">
        <v>67</v>
      </c>
      <c r="J517" t="s">
        <v>45</v>
      </c>
      <c r="K517" t="s">
        <v>46</v>
      </c>
      <c r="L517" t="s">
        <v>29</v>
      </c>
      <c r="M517" t="s">
        <v>46</v>
      </c>
      <c r="N517" t="s">
        <v>28</v>
      </c>
      <c r="O517" t="b">
        <v>1</v>
      </c>
      <c r="P517" t="b">
        <v>0</v>
      </c>
      <c r="Q517">
        <v>10</v>
      </c>
      <c r="R517" t="b">
        <v>0</v>
      </c>
      <c r="T517">
        <v>0</v>
      </c>
      <c r="U517">
        <v>64.400000000000006</v>
      </c>
      <c r="V517" t="b">
        <v>0</v>
      </c>
      <c r="W517" t="s">
        <v>58</v>
      </c>
      <c r="AE517" t="str">
        <f t="shared" si="56"/>
        <v>No</v>
      </c>
      <c r="AF517" t="str">
        <f t="shared" si="57"/>
        <v>Low</v>
      </c>
      <c r="AG517" t="str">
        <f t="shared" si="58"/>
        <v>Yes</v>
      </c>
      <c r="AH517" t="str">
        <f t="shared" si="59"/>
        <v>Unknown</v>
      </c>
      <c r="AJ517" t="str">
        <f t="shared" si="60"/>
        <v>High Trust</v>
      </c>
      <c r="AL517">
        <f t="shared" si="61"/>
        <v>64.400000000000006</v>
      </c>
      <c r="AM517" t="str">
        <f t="shared" si="62"/>
        <v>High School</v>
      </c>
    </row>
    <row r="518" spans="1:39" x14ac:dyDescent="0.25">
      <c r="A518" t="s">
        <v>23</v>
      </c>
      <c r="B518" t="s">
        <v>49</v>
      </c>
      <c r="C518">
        <v>78.98</v>
      </c>
      <c r="D518">
        <v>769</v>
      </c>
      <c r="E518" t="b">
        <v>1</v>
      </c>
      <c r="F518" t="b">
        <v>1</v>
      </c>
      <c r="G518" t="b">
        <v>1</v>
      </c>
      <c r="H518" t="s">
        <v>53</v>
      </c>
      <c r="I518" t="s">
        <v>67</v>
      </c>
      <c r="J518" t="s">
        <v>45</v>
      </c>
      <c r="K518" t="s">
        <v>46</v>
      </c>
      <c r="L518" t="s">
        <v>29</v>
      </c>
      <c r="M518" t="s">
        <v>39</v>
      </c>
      <c r="N518" t="s">
        <v>28</v>
      </c>
      <c r="O518" t="b">
        <v>0</v>
      </c>
      <c r="P518" t="b">
        <v>0</v>
      </c>
      <c r="Q518">
        <v>7.9</v>
      </c>
      <c r="R518" t="b">
        <v>1</v>
      </c>
      <c r="S518" t="s">
        <v>52</v>
      </c>
      <c r="T518">
        <v>20.100000000000001</v>
      </c>
      <c r="U518">
        <v>76.12</v>
      </c>
      <c r="V518" t="b">
        <v>1</v>
      </c>
      <c r="W518" t="s">
        <v>41</v>
      </c>
      <c r="AE518" t="str">
        <f t="shared" si="56"/>
        <v>Yes</v>
      </c>
      <c r="AF518" t="str">
        <f t="shared" si="57"/>
        <v>Low</v>
      </c>
      <c r="AG518" t="str">
        <f t="shared" si="58"/>
        <v>No</v>
      </c>
      <c r="AH518" t="str">
        <f t="shared" si="59"/>
        <v>Checked Official Source</v>
      </c>
      <c r="AJ518" t="str">
        <f t="shared" si="60"/>
        <v>Moderate Trust</v>
      </c>
      <c r="AL518">
        <f t="shared" si="61"/>
        <v>76.099999999999994</v>
      </c>
      <c r="AM518" t="str">
        <f t="shared" si="62"/>
        <v>High School</v>
      </c>
    </row>
    <row r="519" spans="1:39" x14ac:dyDescent="0.25">
      <c r="A519" t="s">
        <v>56</v>
      </c>
      <c r="B519" t="s">
        <v>59</v>
      </c>
      <c r="C519">
        <v>91.2</v>
      </c>
      <c r="D519">
        <v>209</v>
      </c>
      <c r="E519" t="b">
        <v>0</v>
      </c>
      <c r="F519" t="b">
        <v>1</v>
      </c>
      <c r="G519" t="b">
        <v>1</v>
      </c>
      <c r="H519" t="s">
        <v>43</v>
      </c>
      <c r="I519" t="s">
        <v>57</v>
      </c>
      <c r="J519" t="s">
        <v>45</v>
      </c>
      <c r="K519" t="s">
        <v>46</v>
      </c>
      <c r="L519" t="s">
        <v>29</v>
      </c>
      <c r="M519" t="s">
        <v>39</v>
      </c>
      <c r="N519" t="s">
        <v>28</v>
      </c>
      <c r="O519" t="b">
        <v>0</v>
      </c>
      <c r="P519" t="b">
        <v>0</v>
      </c>
      <c r="Q519">
        <v>8.4</v>
      </c>
      <c r="R519" t="b">
        <v>0</v>
      </c>
      <c r="T519">
        <v>0</v>
      </c>
      <c r="U519">
        <v>94.93</v>
      </c>
      <c r="V519" t="b">
        <v>1</v>
      </c>
      <c r="W519" t="s">
        <v>58</v>
      </c>
      <c r="AE519" t="str">
        <f t="shared" si="56"/>
        <v>Yes</v>
      </c>
      <c r="AF519" t="str">
        <f t="shared" si="57"/>
        <v>Low</v>
      </c>
      <c r="AG519" t="str">
        <f t="shared" si="58"/>
        <v>No</v>
      </c>
      <c r="AH519" t="str">
        <f t="shared" si="59"/>
        <v>Unknown</v>
      </c>
      <c r="AJ519" t="str">
        <f t="shared" si="60"/>
        <v>High Trust</v>
      </c>
      <c r="AL519">
        <f t="shared" si="61"/>
        <v>94.9</v>
      </c>
      <c r="AM519" t="str">
        <f t="shared" si="62"/>
        <v>High School</v>
      </c>
    </row>
    <row r="520" spans="1:39" x14ac:dyDescent="0.25">
      <c r="A520" t="s">
        <v>61</v>
      </c>
      <c r="B520" t="s">
        <v>24</v>
      </c>
      <c r="C520">
        <v>88.33</v>
      </c>
      <c r="D520">
        <v>66</v>
      </c>
      <c r="E520" t="b">
        <v>0</v>
      </c>
      <c r="F520" t="b">
        <v>1</v>
      </c>
      <c r="G520" t="b">
        <v>1</v>
      </c>
      <c r="H520" t="s">
        <v>25</v>
      </c>
      <c r="I520" t="s">
        <v>67</v>
      </c>
      <c r="J520" t="s">
        <v>45</v>
      </c>
      <c r="K520" t="s">
        <v>46</v>
      </c>
      <c r="L520" t="s">
        <v>51</v>
      </c>
      <c r="M520" t="s">
        <v>39</v>
      </c>
      <c r="N520" t="s">
        <v>28</v>
      </c>
      <c r="O520" t="b">
        <v>0</v>
      </c>
      <c r="P520" t="b">
        <v>1</v>
      </c>
      <c r="Q520">
        <v>7.6</v>
      </c>
      <c r="R520" t="b">
        <v>0</v>
      </c>
      <c r="T520">
        <v>0</v>
      </c>
      <c r="U520">
        <v>96.34</v>
      </c>
      <c r="V520" t="b">
        <v>0</v>
      </c>
      <c r="W520" t="s">
        <v>31</v>
      </c>
      <c r="AE520" t="str">
        <f t="shared" si="56"/>
        <v>Yes</v>
      </c>
      <c r="AF520" t="str">
        <f t="shared" si="57"/>
        <v>Low</v>
      </c>
      <c r="AG520" t="str">
        <f t="shared" si="58"/>
        <v>No</v>
      </c>
      <c r="AH520" t="str">
        <f t="shared" si="59"/>
        <v>Unknown</v>
      </c>
      <c r="AJ520" t="str">
        <f t="shared" si="60"/>
        <v>Moderate Trust</v>
      </c>
      <c r="AL520">
        <f t="shared" si="61"/>
        <v>96.3</v>
      </c>
      <c r="AM520" t="str">
        <f t="shared" si="62"/>
        <v>High School</v>
      </c>
    </row>
    <row r="521" spans="1:39" x14ac:dyDescent="0.25">
      <c r="A521" t="s">
        <v>23</v>
      </c>
      <c r="B521" t="s">
        <v>49</v>
      </c>
      <c r="C521">
        <v>65.739999999999995</v>
      </c>
      <c r="D521">
        <v>84</v>
      </c>
      <c r="E521" t="b">
        <v>0</v>
      </c>
      <c r="F521" t="b">
        <v>1</v>
      </c>
      <c r="G521" t="b">
        <v>1</v>
      </c>
      <c r="H521" t="s">
        <v>43</v>
      </c>
      <c r="I521" t="s">
        <v>67</v>
      </c>
      <c r="J521" t="s">
        <v>45</v>
      </c>
      <c r="K521" t="s">
        <v>46</v>
      </c>
      <c r="L521" t="s">
        <v>37</v>
      </c>
      <c r="M521" t="s">
        <v>28</v>
      </c>
      <c r="N521" t="s">
        <v>46</v>
      </c>
      <c r="O521" t="b">
        <v>0</v>
      </c>
      <c r="P521" t="b">
        <v>0</v>
      </c>
      <c r="Q521">
        <v>5.7</v>
      </c>
      <c r="R521" t="b">
        <v>1</v>
      </c>
      <c r="S521" t="s">
        <v>55</v>
      </c>
      <c r="T521">
        <v>44.5</v>
      </c>
      <c r="U521">
        <v>73.33</v>
      </c>
      <c r="V521" t="b">
        <v>1</v>
      </c>
      <c r="W521" t="s">
        <v>41</v>
      </c>
      <c r="AE521" t="str">
        <f t="shared" si="56"/>
        <v>Yes</v>
      </c>
      <c r="AF521" t="str">
        <f t="shared" si="57"/>
        <v>Medium</v>
      </c>
      <c r="AG521" t="str">
        <f t="shared" si="58"/>
        <v>No</v>
      </c>
      <c r="AH521" t="str">
        <f t="shared" si="59"/>
        <v>Academic Paper</v>
      </c>
      <c r="AJ521" t="str">
        <f t="shared" si="60"/>
        <v>Moderate Trust</v>
      </c>
      <c r="AL521">
        <f t="shared" si="61"/>
        <v>73.3</v>
      </c>
      <c r="AM521" t="str">
        <f t="shared" si="62"/>
        <v>High School</v>
      </c>
    </row>
    <row r="522" spans="1:39" x14ac:dyDescent="0.25">
      <c r="A522" t="s">
        <v>23</v>
      </c>
      <c r="B522" t="s">
        <v>33</v>
      </c>
      <c r="C522">
        <v>77.58</v>
      </c>
      <c r="D522">
        <v>108</v>
      </c>
      <c r="E522" t="b">
        <v>1</v>
      </c>
      <c r="F522" t="b">
        <v>0</v>
      </c>
      <c r="G522" t="b">
        <v>0</v>
      </c>
      <c r="H522" t="s">
        <v>34</v>
      </c>
      <c r="I522" t="s">
        <v>44</v>
      </c>
      <c r="J522" t="s">
        <v>27</v>
      </c>
      <c r="K522" t="s">
        <v>39</v>
      </c>
      <c r="L522" t="s">
        <v>29</v>
      </c>
      <c r="M522" t="s">
        <v>39</v>
      </c>
      <c r="N522" t="s">
        <v>39</v>
      </c>
      <c r="P522" t="b">
        <v>0</v>
      </c>
      <c r="Q522">
        <v>8.1999999999999993</v>
      </c>
      <c r="R522" t="b">
        <v>1</v>
      </c>
      <c r="S522" t="s">
        <v>30</v>
      </c>
      <c r="T522">
        <v>13.1</v>
      </c>
      <c r="U522">
        <v>62.7</v>
      </c>
      <c r="V522" t="b">
        <v>1</v>
      </c>
      <c r="W522" t="s">
        <v>31</v>
      </c>
      <c r="AE522" t="str">
        <f t="shared" si="56"/>
        <v>No</v>
      </c>
      <c r="AF522" t="str">
        <f t="shared" si="57"/>
        <v>High</v>
      </c>
      <c r="AG522" t="str">
        <f t="shared" si="58"/>
        <v>No</v>
      </c>
      <c r="AH522" t="str">
        <f t="shared" si="59"/>
        <v>Google Search</v>
      </c>
      <c r="AJ522" t="str">
        <f t="shared" si="60"/>
        <v>High Trust</v>
      </c>
      <c r="AL522">
        <f t="shared" si="61"/>
        <v>62.7</v>
      </c>
      <c r="AM522" t="str">
        <f t="shared" si="62"/>
        <v>Bachelors</v>
      </c>
    </row>
    <row r="523" spans="1:39" x14ac:dyDescent="0.25">
      <c r="A523" t="s">
        <v>23</v>
      </c>
      <c r="B523" t="s">
        <v>70</v>
      </c>
      <c r="C523">
        <v>94.5</v>
      </c>
      <c r="D523">
        <v>549</v>
      </c>
      <c r="E523" t="b">
        <v>0</v>
      </c>
      <c r="F523" t="b">
        <v>1</v>
      </c>
      <c r="G523" t="b">
        <v>0</v>
      </c>
      <c r="H523" t="s">
        <v>34</v>
      </c>
      <c r="I523" t="s">
        <v>44</v>
      </c>
      <c r="J523" t="s">
        <v>27</v>
      </c>
      <c r="K523" t="s">
        <v>37</v>
      </c>
      <c r="L523" t="s">
        <v>69</v>
      </c>
      <c r="M523" t="s">
        <v>39</v>
      </c>
      <c r="N523" t="s">
        <v>39</v>
      </c>
      <c r="O523" t="b">
        <v>1</v>
      </c>
      <c r="P523" t="b">
        <v>1</v>
      </c>
      <c r="Q523">
        <v>10</v>
      </c>
      <c r="R523" t="b">
        <v>0</v>
      </c>
      <c r="T523">
        <v>0</v>
      </c>
      <c r="U523">
        <v>100</v>
      </c>
      <c r="V523" t="b">
        <v>1</v>
      </c>
      <c r="W523" t="s">
        <v>58</v>
      </c>
      <c r="AE523" t="str">
        <f t="shared" si="56"/>
        <v>Yes</v>
      </c>
      <c r="AF523" t="str">
        <f t="shared" si="57"/>
        <v>High</v>
      </c>
      <c r="AG523" t="str">
        <f t="shared" si="58"/>
        <v>Yes</v>
      </c>
      <c r="AH523" t="str">
        <f t="shared" si="59"/>
        <v>Unknown</v>
      </c>
      <c r="AJ523" t="str">
        <f t="shared" si="60"/>
        <v>High Trust</v>
      </c>
      <c r="AL523">
        <f t="shared" si="61"/>
        <v>100</v>
      </c>
      <c r="AM523" t="str">
        <f t="shared" si="62"/>
        <v>Bachelors</v>
      </c>
    </row>
    <row r="524" spans="1:39" x14ac:dyDescent="0.25">
      <c r="A524" t="s">
        <v>56</v>
      </c>
      <c r="B524" t="s">
        <v>60</v>
      </c>
      <c r="C524">
        <v>40.85</v>
      </c>
      <c r="D524">
        <v>735</v>
      </c>
      <c r="E524" t="b">
        <v>1</v>
      </c>
      <c r="F524" t="b">
        <v>0</v>
      </c>
      <c r="G524" t="b">
        <v>0</v>
      </c>
      <c r="H524" t="s">
        <v>25</v>
      </c>
      <c r="I524" t="s">
        <v>44</v>
      </c>
      <c r="J524" t="s">
        <v>50</v>
      </c>
      <c r="K524" t="s">
        <v>37</v>
      </c>
      <c r="L524" t="s">
        <v>38</v>
      </c>
      <c r="M524" t="s">
        <v>46</v>
      </c>
      <c r="N524" t="s">
        <v>46</v>
      </c>
      <c r="O524" t="b">
        <v>1</v>
      </c>
      <c r="P524" t="b">
        <v>0</v>
      </c>
      <c r="Q524">
        <v>8</v>
      </c>
      <c r="R524" t="b">
        <v>0</v>
      </c>
      <c r="T524">
        <v>0</v>
      </c>
      <c r="U524">
        <v>42.37</v>
      </c>
      <c r="V524" t="b">
        <v>0</v>
      </c>
      <c r="W524" t="s">
        <v>58</v>
      </c>
      <c r="AE524" t="str">
        <f t="shared" si="56"/>
        <v>No</v>
      </c>
      <c r="AF524" t="str">
        <f t="shared" si="57"/>
        <v>Medium</v>
      </c>
      <c r="AG524" t="str">
        <f t="shared" si="58"/>
        <v>Yes</v>
      </c>
      <c r="AH524" t="str">
        <f t="shared" si="59"/>
        <v>Unknown</v>
      </c>
      <c r="AJ524" t="str">
        <f t="shared" si="60"/>
        <v>High Trust</v>
      </c>
      <c r="AL524">
        <f t="shared" si="61"/>
        <v>42.4</v>
      </c>
      <c r="AM524" t="str">
        <f t="shared" si="62"/>
        <v>Professional</v>
      </c>
    </row>
    <row r="525" spans="1:39" x14ac:dyDescent="0.25">
      <c r="A525" t="s">
        <v>74</v>
      </c>
      <c r="B525" t="s">
        <v>62</v>
      </c>
      <c r="C525">
        <v>74.77</v>
      </c>
      <c r="D525">
        <v>472</v>
      </c>
      <c r="E525" t="b">
        <v>1</v>
      </c>
      <c r="F525" t="b">
        <v>1</v>
      </c>
      <c r="G525" t="b">
        <v>1</v>
      </c>
      <c r="H525" t="s">
        <v>34</v>
      </c>
      <c r="I525" t="s">
        <v>26</v>
      </c>
      <c r="J525" t="s">
        <v>54</v>
      </c>
      <c r="K525" t="s">
        <v>37</v>
      </c>
      <c r="L525" t="s">
        <v>38</v>
      </c>
      <c r="M525" t="s">
        <v>47</v>
      </c>
      <c r="N525" t="s">
        <v>39</v>
      </c>
      <c r="O525" t="b">
        <v>0</v>
      </c>
      <c r="P525" t="b">
        <v>1</v>
      </c>
      <c r="Q525">
        <v>6.3</v>
      </c>
      <c r="R525" t="b">
        <v>0</v>
      </c>
      <c r="T525">
        <v>0</v>
      </c>
      <c r="U525">
        <v>76.680000000000007</v>
      </c>
      <c r="V525" t="b">
        <v>1</v>
      </c>
      <c r="W525" t="s">
        <v>31</v>
      </c>
      <c r="AE525" t="str">
        <f t="shared" si="56"/>
        <v>Yes</v>
      </c>
      <c r="AF525" t="str">
        <f t="shared" si="57"/>
        <v>High</v>
      </c>
      <c r="AG525" t="str">
        <f t="shared" si="58"/>
        <v>No</v>
      </c>
      <c r="AH525" t="str">
        <f t="shared" si="59"/>
        <v>Unknown</v>
      </c>
      <c r="AJ525" t="str">
        <f t="shared" si="60"/>
        <v>Low Trust</v>
      </c>
      <c r="AL525">
        <f t="shared" si="61"/>
        <v>76.7</v>
      </c>
      <c r="AM525" t="str">
        <f t="shared" si="62"/>
        <v>Masters</v>
      </c>
    </row>
    <row r="526" spans="1:39" x14ac:dyDescent="0.25">
      <c r="A526" t="s">
        <v>23</v>
      </c>
      <c r="B526" t="s">
        <v>66</v>
      </c>
      <c r="C526">
        <v>58.96</v>
      </c>
      <c r="D526">
        <v>366</v>
      </c>
      <c r="E526" t="b">
        <v>0</v>
      </c>
      <c r="F526" t="b">
        <v>1</v>
      </c>
      <c r="G526" t="b">
        <v>1</v>
      </c>
      <c r="H526" t="s">
        <v>53</v>
      </c>
      <c r="I526" t="s">
        <v>35</v>
      </c>
      <c r="J526" t="s">
        <v>36</v>
      </c>
      <c r="K526" t="s">
        <v>37</v>
      </c>
      <c r="L526" t="s">
        <v>37</v>
      </c>
      <c r="M526" t="s">
        <v>47</v>
      </c>
      <c r="N526" t="s">
        <v>28</v>
      </c>
      <c r="O526" t="b">
        <v>0</v>
      </c>
      <c r="P526" t="b">
        <v>1</v>
      </c>
      <c r="Q526">
        <v>3.4</v>
      </c>
      <c r="R526" t="b">
        <v>1</v>
      </c>
      <c r="S526" t="s">
        <v>30</v>
      </c>
      <c r="T526">
        <v>28.6</v>
      </c>
      <c r="U526">
        <v>34.86</v>
      </c>
      <c r="V526" t="b">
        <v>1</v>
      </c>
      <c r="W526" t="s">
        <v>72</v>
      </c>
      <c r="AE526" t="str">
        <f t="shared" si="56"/>
        <v>Yes</v>
      </c>
      <c r="AF526" t="str">
        <f t="shared" si="57"/>
        <v>Low</v>
      </c>
      <c r="AG526" t="str">
        <f t="shared" si="58"/>
        <v>No</v>
      </c>
      <c r="AH526" t="str">
        <f t="shared" si="59"/>
        <v>Google Search</v>
      </c>
      <c r="AJ526" t="str">
        <f t="shared" si="60"/>
        <v>Moderate Trust</v>
      </c>
      <c r="AL526">
        <f t="shared" si="61"/>
        <v>34.9</v>
      </c>
      <c r="AM526" t="str">
        <f t="shared" si="62"/>
        <v>PhD</v>
      </c>
    </row>
    <row r="527" spans="1:39" x14ac:dyDescent="0.25">
      <c r="A527" t="s">
        <v>68</v>
      </c>
      <c r="B527" t="s">
        <v>70</v>
      </c>
      <c r="C527">
        <v>92</v>
      </c>
      <c r="D527">
        <v>286</v>
      </c>
      <c r="E527" t="b">
        <v>0</v>
      </c>
      <c r="F527" t="b">
        <v>0</v>
      </c>
      <c r="G527" t="b">
        <v>1</v>
      </c>
      <c r="H527" t="s">
        <v>25</v>
      </c>
      <c r="I527" t="s">
        <v>67</v>
      </c>
      <c r="J527" t="s">
        <v>36</v>
      </c>
      <c r="K527" t="s">
        <v>28</v>
      </c>
      <c r="L527" t="s">
        <v>51</v>
      </c>
      <c r="M527" t="s">
        <v>46</v>
      </c>
      <c r="P527" t="b">
        <v>0</v>
      </c>
      <c r="Q527">
        <v>9.6</v>
      </c>
      <c r="R527" t="b">
        <v>1</v>
      </c>
      <c r="S527" t="s">
        <v>40</v>
      </c>
      <c r="T527">
        <v>2.1</v>
      </c>
      <c r="U527">
        <v>86.29</v>
      </c>
      <c r="V527" t="b">
        <v>1</v>
      </c>
      <c r="W527" t="s">
        <v>31</v>
      </c>
      <c r="AE527" t="str">
        <f t="shared" si="56"/>
        <v>No</v>
      </c>
      <c r="AF527" t="str">
        <f t="shared" si="57"/>
        <v>Unknown</v>
      </c>
      <c r="AG527" t="str">
        <f t="shared" si="58"/>
        <v>No</v>
      </c>
      <c r="AH527" t="str">
        <f t="shared" si="59"/>
        <v>Asked Expert</v>
      </c>
      <c r="AJ527" t="str">
        <f t="shared" si="60"/>
        <v>High Trust</v>
      </c>
      <c r="AL527">
        <f t="shared" si="61"/>
        <v>86.3</v>
      </c>
      <c r="AM527" t="str">
        <f t="shared" si="62"/>
        <v>PhD</v>
      </c>
    </row>
    <row r="528" spans="1:39" x14ac:dyDescent="0.25">
      <c r="A528" t="s">
        <v>61</v>
      </c>
      <c r="B528" t="s">
        <v>49</v>
      </c>
      <c r="C528">
        <v>79.12</v>
      </c>
      <c r="D528">
        <v>306</v>
      </c>
      <c r="E528" t="b">
        <v>0</v>
      </c>
      <c r="F528" t="b">
        <v>1</v>
      </c>
      <c r="G528" t="b">
        <v>1</v>
      </c>
      <c r="H528" t="s">
        <v>43</v>
      </c>
      <c r="I528" t="s">
        <v>63</v>
      </c>
      <c r="J528" t="s">
        <v>54</v>
      </c>
      <c r="K528" t="s">
        <v>28</v>
      </c>
      <c r="L528" t="s">
        <v>37</v>
      </c>
      <c r="M528" t="s">
        <v>47</v>
      </c>
      <c r="N528" t="s">
        <v>46</v>
      </c>
      <c r="P528" t="b">
        <v>0</v>
      </c>
      <c r="Q528">
        <v>6.8</v>
      </c>
      <c r="R528" t="b">
        <v>1</v>
      </c>
      <c r="S528" t="s">
        <v>48</v>
      </c>
      <c r="T528">
        <v>32.1</v>
      </c>
      <c r="U528">
        <v>71.989999999999995</v>
      </c>
      <c r="V528" t="b">
        <v>1</v>
      </c>
      <c r="W528" t="s">
        <v>41</v>
      </c>
      <c r="AE528" t="str">
        <f t="shared" si="56"/>
        <v>Yes</v>
      </c>
      <c r="AF528" t="str">
        <f t="shared" si="57"/>
        <v>Medium</v>
      </c>
      <c r="AG528" t="str">
        <f t="shared" si="58"/>
        <v>No</v>
      </c>
      <c r="AH528" t="str">
        <f t="shared" si="59"/>
        <v>Consulted Documentation</v>
      </c>
      <c r="AJ528" t="str">
        <f t="shared" si="60"/>
        <v>Moderate Trust</v>
      </c>
      <c r="AL528">
        <f t="shared" si="61"/>
        <v>72</v>
      </c>
      <c r="AM528" t="str">
        <f t="shared" si="62"/>
        <v>Masters</v>
      </c>
    </row>
    <row r="529" spans="1:39" x14ac:dyDescent="0.25">
      <c r="A529" t="s">
        <v>61</v>
      </c>
      <c r="B529" t="s">
        <v>24</v>
      </c>
      <c r="C529">
        <v>87.83</v>
      </c>
      <c r="D529">
        <v>601</v>
      </c>
      <c r="E529" t="b">
        <v>1</v>
      </c>
      <c r="F529" t="b">
        <v>1</v>
      </c>
      <c r="G529" t="b">
        <v>0</v>
      </c>
      <c r="H529" t="s">
        <v>25</v>
      </c>
      <c r="I529" t="s">
        <v>44</v>
      </c>
      <c r="J529" t="s">
        <v>45</v>
      </c>
      <c r="K529" t="s">
        <v>46</v>
      </c>
      <c r="L529" t="s">
        <v>29</v>
      </c>
      <c r="M529" t="s">
        <v>39</v>
      </c>
      <c r="N529" t="s">
        <v>39</v>
      </c>
      <c r="O529" t="b">
        <v>0</v>
      </c>
      <c r="P529" t="b">
        <v>1</v>
      </c>
      <c r="Q529">
        <v>7.3</v>
      </c>
      <c r="R529" t="b">
        <v>0</v>
      </c>
      <c r="T529">
        <v>0</v>
      </c>
      <c r="U529">
        <v>89.17</v>
      </c>
      <c r="V529" t="b">
        <v>1</v>
      </c>
      <c r="W529" t="s">
        <v>31</v>
      </c>
      <c r="AE529" t="str">
        <f t="shared" si="56"/>
        <v>Yes</v>
      </c>
      <c r="AF529" t="str">
        <f t="shared" si="57"/>
        <v>High</v>
      </c>
      <c r="AG529" t="str">
        <f t="shared" si="58"/>
        <v>No</v>
      </c>
      <c r="AH529" t="str">
        <f t="shared" si="59"/>
        <v>Unknown</v>
      </c>
      <c r="AJ529" t="str">
        <f t="shared" si="60"/>
        <v>Moderate Trust</v>
      </c>
      <c r="AL529">
        <f t="shared" si="61"/>
        <v>89.2</v>
      </c>
      <c r="AM529" t="str">
        <f t="shared" si="62"/>
        <v>High School</v>
      </c>
    </row>
    <row r="530" spans="1:39" x14ac:dyDescent="0.25">
      <c r="A530" t="s">
        <v>32</v>
      </c>
      <c r="B530" t="s">
        <v>33</v>
      </c>
      <c r="C530">
        <v>76.97</v>
      </c>
      <c r="D530">
        <v>479</v>
      </c>
      <c r="E530" t="b">
        <v>1</v>
      </c>
      <c r="F530" t="b">
        <v>1</v>
      </c>
      <c r="G530" t="b">
        <v>0</v>
      </c>
      <c r="H530" t="s">
        <v>53</v>
      </c>
      <c r="I530" t="s">
        <v>35</v>
      </c>
      <c r="J530" t="s">
        <v>27</v>
      </c>
      <c r="K530" t="s">
        <v>37</v>
      </c>
      <c r="L530" t="s">
        <v>38</v>
      </c>
      <c r="M530" t="s">
        <v>46</v>
      </c>
      <c r="N530" t="s">
        <v>46</v>
      </c>
      <c r="P530" t="b">
        <v>0</v>
      </c>
      <c r="Q530">
        <v>8.6</v>
      </c>
      <c r="R530" t="b">
        <v>0</v>
      </c>
      <c r="T530">
        <v>0</v>
      </c>
      <c r="U530">
        <v>81.5</v>
      </c>
      <c r="V530" t="b">
        <v>1</v>
      </c>
      <c r="W530" t="s">
        <v>58</v>
      </c>
      <c r="AE530" t="str">
        <f t="shared" si="56"/>
        <v>Yes</v>
      </c>
      <c r="AF530" t="str">
        <f t="shared" si="57"/>
        <v>Medium</v>
      </c>
      <c r="AG530" t="str">
        <f t="shared" si="58"/>
        <v>No</v>
      </c>
      <c r="AH530" t="str">
        <f t="shared" si="59"/>
        <v>Unknown</v>
      </c>
      <c r="AJ530" t="str">
        <f t="shared" si="60"/>
        <v>High Trust</v>
      </c>
      <c r="AL530">
        <f t="shared" si="61"/>
        <v>81.5</v>
      </c>
      <c r="AM530" t="str">
        <f t="shared" si="62"/>
        <v>Bachelors</v>
      </c>
    </row>
    <row r="531" spans="1:39" x14ac:dyDescent="0.25">
      <c r="A531" t="s">
        <v>61</v>
      </c>
      <c r="B531" t="s">
        <v>76</v>
      </c>
      <c r="C531">
        <v>89.02</v>
      </c>
      <c r="D531">
        <v>70</v>
      </c>
      <c r="E531" t="b">
        <v>1</v>
      </c>
      <c r="F531" t="b">
        <v>1</v>
      </c>
      <c r="G531" t="b">
        <v>1</v>
      </c>
      <c r="H531" t="s">
        <v>34</v>
      </c>
      <c r="I531" t="s">
        <v>35</v>
      </c>
      <c r="J531" t="s">
        <v>54</v>
      </c>
      <c r="K531" t="s">
        <v>39</v>
      </c>
      <c r="L531" t="s">
        <v>29</v>
      </c>
      <c r="M531" t="s">
        <v>39</v>
      </c>
      <c r="N531" t="s">
        <v>46</v>
      </c>
      <c r="O531" t="b">
        <v>1</v>
      </c>
      <c r="P531" t="b">
        <v>0</v>
      </c>
      <c r="Q531">
        <v>10</v>
      </c>
      <c r="R531" t="b">
        <v>1</v>
      </c>
      <c r="S531" t="s">
        <v>64</v>
      </c>
      <c r="T531">
        <v>14.1</v>
      </c>
      <c r="U531">
        <v>80.099999999999994</v>
      </c>
      <c r="V531" t="b">
        <v>1</v>
      </c>
      <c r="W531" t="s">
        <v>31</v>
      </c>
      <c r="AE531" t="str">
        <f t="shared" si="56"/>
        <v>Yes</v>
      </c>
      <c r="AF531" t="str">
        <f t="shared" si="57"/>
        <v>Medium</v>
      </c>
      <c r="AG531" t="str">
        <f t="shared" si="58"/>
        <v>Yes</v>
      </c>
      <c r="AH531" t="str">
        <f t="shared" si="59"/>
        <v>Personal Testing</v>
      </c>
      <c r="AJ531" t="str">
        <f t="shared" si="60"/>
        <v>High Trust</v>
      </c>
      <c r="AL531">
        <f t="shared" si="61"/>
        <v>80.099999999999994</v>
      </c>
      <c r="AM531" t="str">
        <f t="shared" si="62"/>
        <v>Masters</v>
      </c>
    </row>
    <row r="532" spans="1:39" x14ac:dyDescent="0.25">
      <c r="A532" t="s">
        <v>56</v>
      </c>
      <c r="B532" t="s">
        <v>66</v>
      </c>
      <c r="C532">
        <v>62.35</v>
      </c>
      <c r="D532">
        <v>568</v>
      </c>
      <c r="E532" t="b">
        <v>1</v>
      </c>
      <c r="F532" t="b">
        <v>1</v>
      </c>
      <c r="G532" t="b">
        <v>1</v>
      </c>
      <c r="H532" t="s">
        <v>34</v>
      </c>
      <c r="I532" t="s">
        <v>67</v>
      </c>
      <c r="J532" t="s">
        <v>36</v>
      </c>
      <c r="K532" t="s">
        <v>28</v>
      </c>
      <c r="L532" t="s">
        <v>38</v>
      </c>
      <c r="M532" t="s">
        <v>46</v>
      </c>
      <c r="O532" t="b">
        <v>1</v>
      </c>
      <c r="P532" t="b">
        <v>1</v>
      </c>
      <c r="Q532">
        <v>10</v>
      </c>
      <c r="R532" t="b">
        <v>1</v>
      </c>
      <c r="S532" t="s">
        <v>64</v>
      </c>
      <c r="T532">
        <v>44.6</v>
      </c>
      <c r="U532">
        <v>62.61</v>
      </c>
      <c r="V532" t="b">
        <v>0</v>
      </c>
      <c r="W532" t="s">
        <v>31</v>
      </c>
      <c r="AE532" t="str">
        <f t="shared" si="56"/>
        <v>Yes</v>
      </c>
      <c r="AF532" t="str">
        <f t="shared" si="57"/>
        <v>Unknown</v>
      </c>
      <c r="AG532" t="str">
        <f t="shared" si="58"/>
        <v>Yes</v>
      </c>
      <c r="AH532" t="str">
        <f t="shared" si="59"/>
        <v>Personal Testing</v>
      </c>
      <c r="AJ532" t="str">
        <f t="shared" si="60"/>
        <v>High Trust</v>
      </c>
      <c r="AL532">
        <f t="shared" si="61"/>
        <v>62.6</v>
      </c>
      <c r="AM532" t="str">
        <f t="shared" si="62"/>
        <v>PhD</v>
      </c>
    </row>
    <row r="533" spans="1:39" x14ac:dyDescent="0.25">
      <c r="A533" t="s">
        <v>61</v>
      </c>
      <c r="B533" t="s">
        <v>73</v>
      </c>
      <c r="C533">
        <v>45.88</v>
      </c>
      <c r="D533">
        <v>389</v>
      </c>
      <c r="E533" t="b">
        <v>0</v>
      </c>
      <c r="F533" t="b">
        <v>0</v>
      </c>
      <c r="G533" t="b">
        <v>1</v>
      </c>
      <c r="H533" t="s">
        <v>34</v>
      </c>
      <c r="I533" t="s">
        <v>35</v>
      </c>
      <c r="J533" t="s">
        <v>45</v>
      </c>
      <c r="K533" t="s">
        <v>39</v>
      </c>
      <c r="L533" t="s">
        <v>37</v>
      </c>
      <c r="M533" t="s">
        <v>47</v>
      </c>
      <c r="N533" t="s">
        <v>28</v>
      </c>
      <c r="O533" t="b">
        <v>0</v>
      </c>
      <c r="P533" t="b">
        <v>1</v>
      </c>
      <c r="Q533">
        <v>2.7</v>
      </c>
      <c r="R533" t="b">
        <v>1</v>
      </c>
      <c r="S533" t="s">
        <v>64</v>
      </c>
      <c r="T533">
        <v>7.8</v>
      </c>
      <c r="U533">
        <v>48.15</v>
      </c>
      <c r="V533" t="b">
        <v>0</v>
      </c>
      <c r="W533" t="s">
        <v>72</v>
      </c>
      <c r="AE533" t="str">
        <f t="shared" si="56"/>
        <v>No</v>
      </c>
      <c r="AF533" t="str">
        <f t="shared" si="57"/>
        <v>Low</v>
      </c>
      <c r="AG533" t="str">
        <f t="shared" si="58"/>
        <v>No</v>
      </c>
      <c r="AH533" t="str">
        <f t="shared" si="59"/>
        <v>Personal Testing</v>
      </c>
      <c r="AJ533" t="str">
        <f t="shared" si="60"/>
        <v>Moderate Trust</v>
      </c>
      <c r="AL533">
        <f t="shared" si="61"/>
        <v>48.2</v>
      </c>
      <c r="AM533" t="str">
        <f t="shared" si="62"/>
        <v>High School</v>
      </c>
    </row>
    <row r="534" spans="1:39" x14ac:dyDescent="0.25">
      <c r="A534" t="s">
        <v>56</v>
      </c>
      <c r="B534" t="s">
        <v>59</v>
      </c>
      <c r="C534">
        <v>93.94</v>
      </c>
      <c r="D534">
        <v>162</v>
      </c>
      <c r="E534" t="b">
        <v>1</v>
      </c>
      <c r="F534" t="b">
        <v>1</v>
      </c>
      <c r="G534" t="b">
        <v>1</v>
      </c>
      <c r="H534" t="s">
        <v>34</v>
      </c>
      <c r="I534" t="s">
        <v>44</v>
      </c>
      <c r="J534" t="s">
        <v>54</v>
      </c>
      <c r="K534" t="s">
        <v>39</v>
      </c>
      <c r="L534" t="s">
        <v>37</v>
      </c>
      <c r="M534" t="s">
        <v>47</v>
      </c>
      <c r="N534" t="s">
        <v>46</v>
      </c>
      <c r="P534" t="b">
        <v>0</v>
      </c>
      <c r="Q534">
        <v>9.5</v>
      </c>
      <c r="R534" t="b">
        <v>1</v>
      </c>
      <c r="S534" t="s">
        <v>75</v>
      </c>
      <c r="T534">
        <v>14.6</v>
      </c>
      <c r="U534">
        <v>100</v>
      </c>
      <c r="V534" t="b">
        <v>1</v>
      </c>
      <c r="W534" t="s">
        <v>31</v>
      </c>
      <c r="AE534" t="str">
        <f t="shared" si="56"/>
        <v>Yes</v>
      </c>
      <c r="AF534" t="str">
        <f t="shared" si="57"/>
        <v>Medium</v>
      </c>
      <c r="AG534" t="str">
        <f t="shared" si="58"/>
        <v>No</v>
      </c>
      <c r="AH534" t="str">
        <f t="shared" si="59"/>
        <v>Asked Colleague</v>
      </c>
      <c r="AJ534" t="str">
        <f t="shared" si="60"/>
        <v>High Trust</v>
      </c>
      <c r="AL534">
        <f t="shared" si="61"/>
        <v>100</v>
      </c>
      <c r="AM534" t="str">
        <f t="shared" si="62"/>
        <v>Masters</v>
      </c>
    </row>
    <row r="535" spans="1:39" x14ac:dyDescent="0.25">
      <c r="A535" t="s">
        <v>32</v>
      </c>
      <c r="B535" t="s">
        <v>71</v>
      </c>
      <c r="C535">
        <v>42.39</v>
      </c>
      <c r="D535">
        <v>365</v>
      </c>
      <c r="E535" t="b">
        <v>1</v>
      </c>
      <c r="F535" t="b">
        <v>0</v>
      </c>
      <c r="G535" t="b">
        <v>1</v>
      </c>
      <c r="H535" t="s">
        <v>43</v>
      </c>
      <c r="I535" t="s">
        <v>44</v>
      </c>
      <c r="J535" t="s">
        <v>27</v>
      </c>
      <c r="K535" t="s">
        <v>46</v>
      </c>
      <c r="L535" t="s">
        <v>51</v>
      </c>
      <c r="M535" t="s">
        <v>47</v>
      </c>
      <c r="N535" t="s">
        <v>28</v>
      </c>
      <c r="P535" t="b">
        <v>1</v>
      </c>
      <c r="Q535">
        <v>5</v>
      </c>
      <c r="R535" t="b">
        <v>1</v>
      </c>
      <c r="S535" t="s">
        <v>52</v>
      </c>
      <c r="T535">
        <v>11.3</v>
      </c>
      <c r="U535">
        <v>32.159999999999997</v>
      </c>
      <c r="V535" t="b">
        <v>1</v>
      </c>
      <c r="W535" t="s">
        <v>41</v>
      </c>
      <c r="AE535" t="str">
        <f t="shared" si="56"/>
        <v>No</v>
      </c>
      <c r="AF535" t="str">
        <f t="shared" si="57"/>
        <v>Low</v>
      </c>
      <c r="AG535" t="str">
        <f t="shared" si="58"/>
        <v>No</v>
      </c>
      <c r="AH535" t="str">
        <f t="shared" si="59"/>
        <v>Checked Official Source</v>
      </c>
      <c r="AJ535" t="str">
        <f t="shared" si="60"/>
        <v>Moderate Trust</v>
      </c>
      <c r="AL535">
        <f t="shared" si="61"/>
        <v>32.200000000000003</v>
      </c>
      <c r="AM535" t="str">
        <f t="shared" si="62"/>
        <v>Bachelors</v>
      </c>
    </row>
    <row r="536" spans="1:39" x14ac:dyDescent="0.25">
      <c r="A536" t="s">
        <v>74</v>
      </c>
      <c r="B536" t="s">
        <v>60</v>
      </c>
      <c r="C536">
        <v>48.21</v>
      </c>
      <c r="D536">
        <v>215</v>
      </c>
      <c r="E536" t="b">
        <v>1</v>
      </c>
      <c r="F536" t="b">
        <v>1</v>
      </c>
      <c r="G536" t="b">
        <v>0</v>
      </c>
      <c r="H536" t="s">
        <v>43</v>
      </c>
      <c r="I536" t="s">
        <v>44</v>
      </c>
      <c r="J536" t="s">
        <v>50</v>
      </c>
      <c r="K536" t="s">
        <v>37</v>
      </c>
      <c r="L536" t="s">
        <v>69</v>
      </c>
      <c r="M536" t="s">
        <v>46</v>
      </c>
      <c r="N536" t="s">
        <v>39</v>
      </c>
      <c r="O536" t="b">
        <v>1</v>
      </c>
      <c r="P536" t="b">
        <v>0</v>
      </c>
      <c r="Q536">
        <v>7.3</v>
      </c>
      <c r="R536" t="b">
        <v>0</v>
      </c>
      <c r="T536">
        <v>0</v>
      </c>
      <c r="U536">
        <v>57.08</v>
      </c>
      <c r="V536" t="b">
        <v>1</v>
      </c>
      <c r="W536" t="s">
        <v>31</v>
      </c>
      <c r="AE536" t="str">
        <f t="shared" si="56"/>
        <v>Yes</v>
      </c>
      <c r="AF536" t="str">
        <f t="shared" si="57"/>
        <v>High</v>
      </c>
      <c r="AG536" t="str">
        <f t="shared" si="58"/>
        <v>Yes</v>
      </c>
      <c r="AH536" t="str">
        <f t="shared" si="59"/>
        <v>Unknown</v>
      </c>
      <c r="AJ536" t="str">
        <f t="shared" si="60"/>
        <v>Moderate Trust</v>
      </c>
      <c r="AL536">
        <f t="shared" si="61"/>
        <v>57.1</v>
      </c>
      <c r="AM536" t="str">
        <f t="shared" si="62"/>
        <v>Professional</v>
      </c>
    </row>
    <row r="537" spans="1:39" x14ac:dyDescent="0.25">
      <c r="A537" t="s">
        <v>32</v>
      </c>
      <c r="B537" t="s">
        <v>71</v>
      </c>
      <c r="C537">
        <v>53.59</v>
      </c>
      <c r="D537">
        <v>322</v>
      </c>
      <c r="E537" t="b">
        <v>1</v>
      </c>
      <c r="F537" t="b">
        <v>0</v>
      </c>
      <c r="G537" t="b">
        <v>1</v>
      </c>
      <c r="H537" t="s">
        <v>53</v>
      </c>
      <c r="I537" t="s">
        <v>26</v>
      </c>
      <c r="J537" t="s">
        <v>54</v>
      </c>
      <c r="K537" t="s">
        <v>28</v>
      </c>
      <c r="L537" t="s">
        <v>69</v>
      </c>
      <c r="M537" t="s">
        <v>39</v>
      </c>
      <c r="N537" t="s">
        <v>39</v>
      </c>
      <c r="O537" t="b">
        <v>0</v>
      </c>
      <c r="P537" t="b">
        <v>1</v>
      </c>
      <c r="Q537">
        <v>6.6</v>
      </c>
      <c r="R537" t="b">
        <v>0</v>
      </c>
      <c r="T537">
        <v>0</v>
      </c>
      <c r="U537">
        <v>36.29</v>
      </c>
      <c r="V537" t="b">
        <v>0</v>
      </c>
      <c r="W537" t="s">
        <v>31</v>
      </c>
      <c r="AE537" t="str">
        <f t="shared" si="56"/>
        <v>No</v>
      </c>
      <c r="AF537" t="str">
        <f t="shared" si="57"/>
        <v>High</v>
      </c>
      <c r="AG537" t="str">
        <f t="shared" si="58"/>
        <v>No</v>
      </c>
      <c r="AH537" t="str">
        <f t="shared" si="59"/>
        <v>Unknown</v>
      </c>
      <c r="AJ537" t="str">
        <f t="shared" si="60"/>
        <v>Moderate Trust</v>
      </c>
      <c r="AL537">
        <f t="shared" si="61"/>
        <v>36.299999999999997</v>
      </c>
      <c r="AM537" t="str">
        <f t="shared" si="62"/>
        <v>Masters</v>
      </c>
    </row>
    <row r="538" spans="1:39" x14ac:dyDescent="0.25">
      <c r="A538" t="s">
        <v>68</v>
      </c>
      <c r="B538" t="s">
        <v>59</v>
      </c>
      <c r="C538">
        <v>77.34</v>
      </c>
      <c r="D538">
        <v>688</v>
      </c>
      <c r="E538" t="b">
        <v>0</v>
      </c>
      <c r="F538" t="b">
        <v>1</v>
      </c>
      <c r="G538" t="b">
        <v>1</v>
      </c>
      <c r="H538" t="s">
        <v>53</v>
      </c>
      <c r="I538" t="s">
        <v>26</v>
      </c>
      <c r="J538" t="s">
        <v>50</v>
      </c>
      <c r="K538" t="s">
        <v>46</v>
      </c>
      <c r="L538" t="s">
        <v>37</v>
      </c>
      <c r="M538" t="s">
        <v>39</v>
      </c>
      <c r="N538" t="s">
        <v>28</v>
      </c>
      <c r="O538" t="b">
        <v>1</v>
      </c>
      <c r="P538" t="b">
        <v>0</v>
      </c>
      <c r="Q538">
        <v>8.3000000000000007</v>
      </c>
      <c r="R538" t="b">
        <v>1</v>
      </c>
      <c r="S538" t="s">
        <v>75</v>
      </c>
      <c r="T538">
        <v>14</v>
      </c>
      <c r="U538">
        <v>85.9</v>
      </c>
      <c r="V538" t="b">
        <v>1</v>
      </c>
      <c r="W538" t="s">
        <v>31</v>
      </c>
      <c r="AE538" t="str">
        <f t="shared" si="56"/>
        <v>Yes</v>
      </c>
      <c r="AF538" t="str">
        <f t="shared" si="57"/>
        <v>Low</v>
      </c>
      <c r="AG538" t="str">
        <f t="shared" si="58"/>
        <v>Yes</v>
      </c>
      <c r="AH538" t="str">
        <f t="shared" si="59"/>
        <v>Asked Colleague</v>
      </c>
      <c r="AJ538" t="str">
        <f t="shared" si="60"/>
        <v>High Trust</v>
      </c>
      <c r="AL538">
        <f t="shared" si="61"/>
        <v>85.9</v>
      </c>
      <c r="AM538" t="str">
        <f t="shared" si="62"/>
        <v>Professional</v>
      </c>
    </row>
    <row r="539" spans="1:39" x14ac:dyDescent="0.25">
      <c r="A539" t="s">
        <v>61</v>
      </c>
      <c r="B539" t="s">
        <v>49</v>
      </c>
      <c r="C539">
        <v>64.7</v>
      </c>
      <c r="D539">
        <v>638</v>
      </c>
      <c r="E539" t="b">
        <v>1</v>
      </c>
      <c r="F539" t="b">
        <v>0</v>
      </c>
      <c r="G539" t="b">
        <v>1</v>
      </c>
      <c r="H539" t="s">
        <v>34</v>
      </c>
      <c r="I539" t="s">
        <v>35</v>
      </c>
      <c r="J539" t="s">
        <v>54</v>
      </c>
      <c r="K539" t="s">
        <v>37</v>
      </c>
      <c r="L539" t="s">
        <v>37</v>
      </c>
      <c r="M539" t="s">
        <v>28</v>
      </c>
      <c r="N539" t="s">
        <v>28</v>
      </c>
      <c r="O539" t="b">
        <v>1</v>
      </c>
      <c r="P539" t="b">
        <v>1</v>
      </c>
      <c r="Q539">
        <v>8.6</v>
      </c>
      <c r="R539" t="b">
        <v>1</v>
      </c>
      <c r="S539" t="s">
        <v>40</v>
      </c>
      <c r="T539">
        <v>2.5</v>
      </c>
      <c r="U539">
        <v>77.89</v>
      </c>
      <c r="V539" t="b">
        <v>1</v>
      </c>
      <c r="W539" t="s">
        <v>31</v>
      </c>
      <c r="AE539" t="str">
        <f t="shared" si="56"/>
        <v>No</v>
      </c>
      <c r="AF539" t="str">
        <f t="shared" si="57"/>
        <v>Low</v>
      </c>
      <c r="AG539" t="str">
        <f t="shared" si="58"/>
        <v>Yes</v>
      </c>
      <c r="AH539" t="str">
        <f t="shared" si="59"/>
        <v>Asked Expert</v>
      </c>
      <c r="AJ539" t="str">
        <f t="shared" si="60"/>
        <v>High Trust</v>
      </c>
      <c r="AL539">
        <f t="shared" si="61"/>
        <v>77.900000000000006</v>
      </c>
      <c r="AM539" t="str">
        <f t="shared" si="62"/>
        <v>Masters</v>
      </c>
    </row>
    <row r="540" spans="1:39" x14ac:dyDescent="0.25">
      <c r="A540" t="s">
        <v>32</v>
      </c>
      <c r="B540" t="s">
        <v>59</v>
      </c>
      <c r="C540">
        <v>89.59</v>
      </c>
      <c r="D540">
        <v>427</v>
      </c>
      <c r="E540" t="b">
        <v>1</v>
      </c>
      <c r="F540" t="b">
        <v>1</v>
      </c>
      <c r="G540" t="b">
        <v>0</v>
      </c>
      <c r="H540" t="s">
        <v>53</v>
      </c>
      <c r="I540" t="s">
        <v>35</v>
      </c>
      <c r="J540" t="s">
        <v>50</v>
      </c>
      <c r="K540" t="s">
        <v>46</v>
      </c>
      <c r="L540" t="s">
        <v>51</v>
      </c>
      <c r="M540" t="s">
        <v>28</v>
      </c>
      <c r="P540" t="b">
        <v>1</v>
      </c>
      <c r="Q540">
        <v>10</v>
      </c>
      <c r="R540" t="b">
        <v>0</v>
      </c>
      <c r="T540">
        <v>0</v>
      </c>
      <c r="U540">
        <v>89.37</v>
      </c>
      <c r="V540" t="b">
        <v>1</v>
      </c>
      <c r="W540" t="s">
        <v>58</v>
      </c>
      <c r="AE540" t="str">
        <f t="shared" si="56"/>
        <v>Yes</v>
      </c>
      <c r="AF540" t="str">
        <f t="shared" si="57"/>
        <v>Unknown</v>
      </c>
      <c r="AG540" t="str">
        <f t="shared" si="58"/>
        <v>No</v>
      </c>
      <c r="AH540" t="str">
        <f t="shared" si="59"/>
        <v>Unknown</v>
      </c>
      <c r="AJ540" t="str">
        <f t="shared" si="60"/>
        <v>High Trust</v>
      </c>
      <c r="AL540">
        <f t="shared" si="61"/>
        <v>89.4</v>
      </c>
      <c r="AM540" t="str">
        <f t="shared" si="62"/>
        <v>Professional</v>
      </c>
    </row>
    <row r="541" spans="1:39" x14ac:dyDescent="0.25">
      <c r="A541" t="s">
        <v>32</v>
      </c>
      <c r="B541" t="s">
        <v>33</v>
      </c>
      <c r="C541">
        <v>88.7</v>
      </c>
      <c r="D541">
        <v>797</v>
      </c>
      <c r="E541" t="b">
        <v>1</v>
      </c>
      <c r="F541" t="b">
        <v>1</v>
      </c>
      <c r="G541" t="b">
        <v>1</v>
      </c>
      <c r="H541" t="s">
        <v>43</v>
      </c>
      <c r="I541" t="s">
        <v>63</v>
      </c>
      <c r="J541" t="s">
        <v>54</v>
      </c>
      <c r="K541" t="s">
        <v>46</v>
      </c>
      <c r="L541" t="s">
        <v>51</v>
      </c>
      <c r="M541" t="s">
        <v>28</v>
      </c>
      <c r="P541" t="b">
        <v>1</v>
      </c>
      <c r="Q541">
        <v>10</v>
      </c>
      <c r="R541" t="b">
        <v>1</v>
      </c>
      <c r="S541" t="s">
        <v>40</v>
      </c>
      <c r="T541">
        <v>38.799999999999997</v>
      </c>
      <c r="U541">
        <v>89.05</v>
      </c>
      <c r="V541" t="b">
        <v>1</v>
      </c>
      <c r="W541" t="s">
        <v>31</v>
      </c>
      <c r="AE541" t="str">
        <f t="shared" si="56"/>
        <v>Yes</v>
      </c>
      <c r="AF541" t="str">
        <f t="shared" si="57"/>
        <v>Unknown</v>
      </c>
      <c r="AG541" t="str">
        <f t="shared" si="58"/>
        <v>No</v>
      </c>
      <c r="AH541" t="str">
        <f t="shared" si="59"/>
        <v>Asked Expert</v>
      </c>
      <c r="AJ541" t="str">
        <f t="shared" si="60"/>
        <v>High Trust</v>
      </c>
      <c r="AL541">
        <f t="shared" si="61"/>
        <v>89.1</v>
      </c>
      <c r="AM541" t="str">
        <f t="shared" si="62"/>
        <v>Masters</v>
      </c>
    </row>
    <row r="542" spans="1:39" x14ac:dyDescent="0.25">
      <c r="A542" t="s">
        <v>23</v>
      </c>
      <c r="B542" t="s">
        <v>33</v>
      </c>
      <c r="C542">
        <v>87.01</v>
      </c>
      <c r="D542">
        <v>307</v>
      </c>
      <c r="E542" t="b">
        <v>0</v>
      </c>
      <c r="F542" t="b">
        <v>1</v>
      </c>
      <c r="G542" t="b">
        <v>0</v>
      </c>
      <c r="H542" t="s">
        <v>43</v>
      </c>
      <c r="I542" t="s">
        <v>26</v>
      </c>
      <c r="J542" t="s">
        <v>45</v>
      </c>
      <c r="K542" t="s">
        <v>28</v>
      </c>
      <c r="L542" t="s">
        <v>51</v>
      </c>
      <c r="M542" t="s">
        <v>47</v>
      </c>
      <c r="O542" t="b">
        <v>0</v>
      </c>
      <c r="P542" t="b">
        <v>1</v>
      </c>
      <c r="Q542">
        <v>6.4</v>
      </c>
      <c r="R542" t="b">
        <v>1</v>
      </c>
      <c r="S542" t="s">
        <v>55</v>
      </c>
      <c r="T542">
        <v>30.3</v>
      </c>
      <c r="U542">
        <v>72.08</v>
      </c>
      <c r="V542" t="b">
        <v>1</v>
      </c>
      <c r="W542" t="s">
        <v>41</v>
      </c>
      <c r="AE542" t="str">
        <f t="shared" si="56"/>
        <v>Yes</v>
      </c>
      <c r="AF542" t="str">
        <f t="shared" si="57"/>
        <v>Unknown</v>
      </c>
      <c r="AG542" t="str">
        <f t="shared" si="58"/>
        <v>No</v>
      </c>
      <c r="AH542" t="str">
        <f t="shared" si="59"/>
        <v>Academic Paper</v>
      </c>
      <c r="AJ542" t="str">
        <f t="shared" si="60"/>
        <v>Moderate Trust</v>
      </c>
      <c r="AL542">
        <f t="shared" si="61"/>
        <v>72.099999999999994</v>
      </c>
      <c r="AM542" t="str">
        <f t="shared" si="62"/>
        <v>High School</v>
      </c>
    </row>
    <row r="543" spans="1:39" x14ac:dyDescent="0.25">
      <c r="A543" t="s">
        <v>56</v>
      </c>
      <c r="B543" t="s">
        <v>49</v>
      </c>
      <c r="C543">
        <v>66.349999999999994</v>
      </c>
      <c r="D543">
        <v>322</v>
      </c>
      <c r="E543" t="b">
        <v>1</v>
      </c>
      <c r="F543" t="b">
        <v>1</v>
      </c>
      <c r="G543" t="b">
        <v>1</v>
      </c>
      <c r="H543" t="s">
        <v>43</v>
      </c>
      <c r="I543" t="s">
        <v>67</v>
      </c>
      <c r="J543" t="s">
        <v>50</v>
      </c>
      <c r="K543" t="s">
        <v>46</v>
      </c>
      <c r="L543" t="s">
        <v>37</v>
      </c>
      <c r="M543" t="s">
        <v>28</v>
      </c>
      <c r="N543" t="s">
        <v>39</v>
      </c>
      <c r="P543" t="b">
        <v>1</v>
      </c>
      <c r="Q543">
        <v>8.1999999999999993</v>
      </c>
      <c r="R543" t="b">
        <v>0</v>
      </c>
      <c r="T543">
        <v>0</v>
      </c>
      <c r="U543">
        <v>60.35</v>
      </c>
      <c r="V543" t="b">
        <v>0</v>
      </c>
      <c r="W543" t="s">
        <v>58</v>
      </c>
      <c r="AE543" t="str">
        <f t="shared" si="56"/>
        <v>Yes</v>
      </c>
      <c r="AF543" t="str">
        <f t="shared" si="57"/>
        <v>High</v>
      </c>
      <c r="AG543" t="str">
        <f t="shared" si="58"/>
        <v>No</v>
      </c>
      <c r="AH543" t="str">
        <f t="shared" si="59"/>
        <v>Unknown</v>
      </c>
      <c r="AJ543" t="str">
        <f t="shared" si="60"/>
        <v>High Trust</v>
      </c>
      <c r="AL543">
        <f t="shared" si="61"/>
        <v>60.4</v>
      </c>
      <c r="AM543" t="str">
        <f t="shared" si="62"/>
        <v>Professional</v>
      </c>
    </row>
    <row r="544" spans="1:39" x14ac:dyDescent="0.25">
      <c r="A544" t="s">
        <v>68</v>
      </c>
      <c r="B544" t="s">
        <v>42</v>
      </c>
      <c r="C544">
        <v>77.52</v>
      </c>
      <c r="D544">
        <v>357</v>
      </c>
      <c r="E544" t="b">
        <v>0</v>
      </c>
      <c r="F544" t="b">
        <v>0</v>
      </c>
      <c r="G544" t="b">
        <v>1</v>
      </c>
      <c r="H544" t="s">
        <v>53</v>
      </c>
      <c r="I544" t="s">
        <v>63</v>
      </c>
      <c r="J544" t="s">
        <v>36</v>
      </c>
      <c r="K544" t="s">
        <v>39</v>
      </c>
      <c r="L544" t="s">
        <v>38</v>
      </c>
      <c r="M544" t="s">
        <v>28</v>
      </c>
      <c r="N544" t="s">
        <v>28</v>
      </c>
      <c r="O544" t="b">
        <v>0</v>
      </c>
      <c r="P544" t="b">
        <v>1</v>
      </c>
      <c r="Q544">
        <v>8</v>
      </c>
      <c r="R544" t="b">
        <v>0</v>
      </c>
      <c r="T544">
        <v>0</v>
      </c>
      <c r="U544">
        <v>79.260000000000005</v>
      </c>
      <c r="V544" t="b">
        <v>1</v>
      </c>
      <c r="W544" t="s">
        <v>58</v>
      </c>
      <c r="AE544" t="str">
        <f t="shared" si="56"/>
        <v>No</v>
      </c>
      <c r="AF544" t="str">
        <f t="shared" si="57"/>
        <v>Low</v>
      </c>
      <c r="AG544" t="str">
        <f t="shared" si="58"/>
        <v>No</v>
      </c>
      <c r="AH544" t="str">
        <f t="shared" si="59"/>
        <v>Unknown</v>
      </c>
      <c r="AJ544" t="str">
        <f t="shared" si="60"/>
        <v>High Trust</v>
      </c>
      <c r="AL544">
        <f t="shared" si="61"/>
        <v>79.3</v>
      </c>
      <c r="AM544" t="str">
        <f t="shared" si="62"/>
        <v>PhD</v>
      </c>
    </row>
    <row r="545" spans="1:39" x14ac:dyDescent="0.25">
      <c r="A545" t="s">
        <v>23</v>
      </c>
      <c r="B545" t="s">
        <v>59</v>
      </c>
      <c r="C545">
        <v>94.76</v>
      </c>
      <c r="D545">
        <v>595</v>
      </c>
      <c r="E545" t="b">
        <v>0</v>
      </c>
      <c r="F545" t="b">
        <v>0</v>
      </c>
      <c r="G545" t="b">
        <v>1</v>
      </c>
      <c r="H545" t="s">
        <v>43</v>
      </c>
      <c r="I545" t="s">
        <v>67</v>
      </c>
      <c r="J545" t="s">
        <v>54</v>
      </c>
      <c r="K545" t="s">
        <v>28</v>
      </c>
      <c r="L545" t="s">
        <v>37</v>
      </c>
      <c r="M545" t="s">
        <v>28</v>
      </c>
      <c r="N545" t="s">
        <v>46</v>
      </c>
      <c r="O545" t="b">
        <v>1</v>
      </c>
      <c r="P545" t="b">
        <v>0</v>
      </c>
      <c r="Q545">
        <v>10</v>
      </c>
      <c r="R545" t="b">
        <v>0</v>
      </c>
      <c r="T545">
        <v>0</v>
      </c>
      <c r="U545">
        <v>93.69</v>
      </c>
      <c r="V545" t="b">
        <v>1</v>
      </c>
      <c r="W545" t="s">
        <v>58</v>
      </c>
      <c r="AE545" t="str">
        <f t="shared" si="56"/>
        <v>No</v>
      </c>
      <c r="AF545" t="str">
        <f t="shared" si="57"/>
        <v>Medium</v>
      </c>
      <c r="AG545" t="str">
        <f t="shared" si="58"/>
        <v>Yes</v>
      </c>
      <c r="AH545" t="str">
        <f t="shared" si="59"/>
        <v>Unknown</v>
      </c>
      <c r="AJ545" t="str">
        <f t="shared" si="60"/>
        <v>High Trust</v>
      </c>
      <c r="AL545">
        <f t="shared" si="61"/>
        <v>93.7</v>
      </c>
      <c r="AM545" t="str">
        <f t="shared" si="62"/>
        <v>Masters</v>
      </c>
    </row>
    <row r="546" spans="1:39" x14ac:dyDescent="0.25">
      <c r="A546" t="s">
        <v>61</v>
      </c>
      <c r="B546" t="s">
        <v>70</v>
      </c>
      <c r="C546">
        <v>80.42</v>
      </c>
      <c r="D546">
        <v>422</v>
      </c>
      <c r="E546" t="b">
        <v>1</v>
      </c>
      <c r="F546" t="b">
        <v>0</v>
      </c>
      <c r="G546" t="b">
        <v>0</v>
      </c>
      <c r="H546" t="s">
        <v>43</v>
      </c>
      <c r="I546" t="s">
        <v>67</v>
      </c>
      <c r="J546" t="s">
        <v>50</v>
      </c>
      <c r="K546" t="s">
        <v>37</v>
      </c>
      <c r="L546" t="s">
        <v>29</v>
      </c>
      <c r="M546" t="s">
        <v>39</v>
      </c>
      <c r="N546" t="s">
        <v>39</v>
      </c>
      <c r="O546" t="b">
        <v>0</v>
      </c>
      <c r="P546" t="b">
        <v>1</v>
      </c>
      <c r="Q546">
        <v>7.1</v>
      </c>
      <c r="R546" t="b">
        <v>1</v>
      </c>
      <c r="S546" t="s">
        <v>75</v>
      </c>
      <c r="T546">
        <v>43.5</v>
      </c>
      <c r="U546">
        <v>73.44</v>
      </c>
      <c r="V546" t="b">
        <v>1</v>
      </c>
      <c r="W546" t="s">
        <v>41</v>
      </c>
      <c r="AE546" t="str">
        <f t="shared" si="56"/>
        <v>No</v>
      </c>
      <c r="AF546" t="str">
        <f t="shared" si="57"/>
        <v>High</v>
      </c>
      <c r="AG546" t="str">
        <f t="shared" si="58"/>
        <v>No</v>
      </c>
      <c r="AH546" t="str">
        <f t="shared" si="59"/>
        <v>Asked Colleague</v>
      </c>
      <c r="AJ546" t="str">
        <f t="shared" si="60"/>
        <v>Moderate Trust</v>
      </c>
      <c r="AL546">
        <f t="shared" si="61"/>
        <v>73.400000000000006</v>
      </c>
      <c r="AM546" t="str">
        <f t="shared" si="62"/>
        <v>Professional</v>
      </c>
    </row>
    <row r="547" spans="1:39" x14ac:dyDescent="0.25">
      <c r="A547" t="s">
        <v>23</v>
      </c>
      <c r="B547" t="s">
        <v>73</v>
      </c>
      <c r="C547">
        <v>69.66</v>
      </c>
      <c r="D547">
        <v>233</v>
      </c>
      <c r="E547" t="b">
        <v>1</v>
      </c>
      <c r="F547" t="b">
        <v>0</v>
      </c>
      <c r="G547" t="b">
        <v>1</v>
      </c>
      <c r="H547" t="s">
        <v>25</v>
      </c>
      <c r="I547" t="s">
        <v>67</v>
      </c>
      <c r="J547" t="s">
        <v>45</v>
      </c>
      <c r="K547" t="s">
        <v>28</v>
      </c>
      <c r="L547" t="s">
        <v>29</v>
      </c>
      <c r="M547" t="s">
        <v>47</v>
      </c>
      <c r="N547" t="s">
        <v>39</v>
      </c>
      <c r="P547" t="b">
        <v>0</v>
      </c>
      <c r="Q547">
        <v>7.6</v>
      </c>
      <c r="R547" t="b">
        <v>1</v>
      </c>
      <c r="S547" t="s">
        <v>64</v>
      </c>
      <c r="T547">
        <v>32.799999999999997</v>
      </c>
      <c r="U547">
        <v>83.54</v>
      </c>
      <c r="V547" t="b">
        <v>1</v>
      </c>
      <c r="W547" t="s">
        <v>41</v>
      </c>
      <c r="AE547" t="str">
        <f t="shared" si="56"/>
        <v>No</v>
      </c>
      <c r="AF547" t="str">
        <f t="shared" si="57"/>
        <v>High</v>
      </c>
      <c r="AG547" t="str">
        <f t="shared" si="58"/>
        <v>No</v>
      </c>
      <c r="AH547" t="str">
        <f t="shared" si="59"/>
        <v>Personal Testing</v>
      </c>
      <c r="AJ547" t="str">
        <f t="shared" si="60"/>
        <v>Moderate Trust</v>
      </c>
      <c r="AL547">
        <f t="shared" si="61"/>
        <v>83.5</v>
      </c>
      <c r="AM547" t="str">
        <f t="shared" si="62"/>
        <v>High School</v>
      </c>
    </row>
    <row r="548" spans="1:39" x14ac:dyDescent="0.25">
      <c r="A548" t="s">
        <v>32</v>
      </c>
      <c r="B548" t="s">
        <v>71</v>
      </c>
      <c r="C548">
        <v>49.78</v>
      </c>
      <c r="D548">
        <v>453</v>
      </c>
      <c r="E548" t="b">
        <v>0</v>
      </c>
      <c r="F548" t="b">
        <v>0</v>
      </c>
      <c r="G548" t="b">
        <v>0</v>
      </c>
      <c r="H548" t="s">
        <v>34</v>
      </c>
      <c r="I548" t="s">
        <v>57</v>
      </c>
      <c r="J548" t="s">
        <v>50</v>
      </c>
      <c r="K548" t="s">
        <v>28</v>
      </c>
      <c r="L548" t="s">
        <v>69</v>
      </c>
      <c r="M548" t="s">
        <v>28</v>
      </c>
      <c r="N548" t="s">
        <v>28</v>
      </c>
      <c r="O548" t="b">
        <v>1</v>
      </c>
      <c r="P548" t="b">
        <v>1</v>
      </c>
      <c r="Q548">
        <v>8.8000000000000007</v>
      </c>
      <c r="R548" t="b">
        <v>1</v>
      </c>
      <c r="S548" t="s">
        <v>75</v>
      </c>
      <c r="T548">
        <v>21.6</v>
      </c>
      <c r="U548">
        <v>29.97</v>
      </c>
      <c r="V548" t="b">
        <v>0</v>
      </c>
      <c r="W548" t="s">
        <v>31</v>
      </c>
      <c r="AE548" t="str">
        <f t="shared" si="56"/>
        <v>No</v>
      </c>
      <c r="AF548" t="str">
        <f t="shared" si="57"/>
        <v>Low</v>
      </c>
      <c r="AG548" t="str">
        <f t="shared" si="58"/>
        <v>Yes</v>
      </c>
      <c r="AH548" t="str">
        <f t="shared" si="59"/>
        <v>Asked Colleague</v>
      </c>
      <c r="AJ548" t="str">
        <f t="shared" si="60"/>
        <v>High Trust</v>
      </c>
      <c r="AL548">
        <f t="shared" si="61"/>
        <v>30</v>
      </c>
      <c r="AM548" t="str">
        <f t="shared" si="62"/>
        <v>Professional</v>
      </c>
    </row>
    <row r="549" spans="1:39" x14ac:dyDescent="0.25">
      <c r="A549" t="s">
        <v>68</v>
      </c>
      <c r="B549" t="s">
        <v>42</v>
      </c>
      <c r="C549">
        <v>83.74</v>
      </c>
      <c r="D549">
        <v>186</v>
      </c>
      <c r="E549" t="b">
        <v>1</v>
      </c>
      <c r="F549" t="b">
        <v>1</v>
      </c>
      <c r="G549" t="b">
        <v>1</v>
      </c>
      <c r="H549" t="s">
        <v>43</v>
      </c>
      <c r="I549" t="s">
        <v>63</v>
      </c>
      <c r="J549" t="s">
        <v>54</v>
      </c>
      <c r="K549" t="s">
        <v>37</v>
      </c>
      <c r="L549" t="s">
        <v>51</v>
      </c>
      <c r="M549" t="s">
        <v>28</v>
      </c>
      <c r="N549" t="s">
        <v>28</v>
      </c>
      <c r="O549" t="b">
        <v>1</v>
      </c>
      <c r="P549" t="b">
        <v>0</v>
      </c>
      <c r="Q549">
        <v>10</v>
      </c>
      <c r="R549" t="b">
        <v>0</v>
      </c>
      <c r="T549">
        <v>0</v>
      </c>
      <c r="U549">
        <v>82.74</v>
      </c>
      <c r="V549" t="b">
        <v>1</v>
      </c>
      <c r="W549" t="s">
        <v>58</v>
      </c>
      <c r="AE549" t="str">
        <f t="shared" si="56"/>
        <v>Yes</v>
      </c>
      <c r="AF549" t="str">
        <f t="shared" si="57"/>
        <v>Low</v>
      </c>
      <c r="AG549" t="str">
        <f t="shared" si="58"/>
        <v>Yes</v>
      </c>
      <c r="AH549" t="str">
        <f t="shared" si="59"/>
        <v>Unknown</v>
      </c>
      <c r="AJ549" t="str">
        <f t="shared" si="60"/>
        <v>High Trust</v>
      </c>
      <c r="AL549">
        <f t="shared" si="61"/>
        <v>82.7</v>
      </c>
      <c r="AM549" t="str">
        <f t="shared" si="62"/>
        <v>Masters</v>
      </c>
    </row>
    <row r="550" spans="1:39" x14ac:dyDescent="0.25">
      <c r="A550" t="s">
        <v>56</v>
      </c>
      <c r="B550" t="s">
        <v>76</v>
      </c>
      <c r="C550">
        <v>87.25</v>
      </c>
      <c r="D550">
        <v>441</v>
      </c>
      <c r="E550" t="b">
        <v>1</v>
      </c>
      <c r="F550" t="b">
        <v>1</v>
      </c>
      <c r="G550" t="b">
        <v>0</v>
      </c>
      <c r="H550" t="s">
        <v>43</v>
      </c>
      <c r="I550" t="s">
        <v>26</v>
      </c>
      <c r="J550" t="s">
        <v>50</v>
      </c>
      <c r="K550" t="s">
        <v>37</v>
      </c>
      <c r="L550" t="s">
        <v>37</v>
      </c>
      <c r="M550" t="s">
        <v>28</v>
      </c>
      <c r="N550" t="s">
        <v>28</v>
      </c>
      <c r="O550" t="b">
        <v>0</v>
      </c>
      <c r="P550" t="b">
        <v>1</v>
      </c>
      <c r="Q550">
        <v>8.5</v>
      </c>
      <c r="R550" t="b">
        <v>1</v>
      </c>
      <c r="S550" t="s">
        <v>75</v>
      </c>
      <c r="T550">
        <v>3.3</v>
      </c>
      <c r="U550">
        <v>80.27</v>
      </c>
      <c r="V550" t="b">
        <v>1</v>
      </c>
      <c r="W550" t="s">
        <v>31</v>
      </c>
      <c r="AE550" t="str">
        <f t="shared" si="56"/>
        <v>Yes</v>
      </c>
      <c r="AF550" t="str">
        <f t="shared" si="57"/>
        <v>Low</v>
      </c>
      <c r="AG550" t="str">
        <f t="shared" si="58"/>
        <v>No</v>
      </c>
      <c r="AH550" t="str">
        <f t="shared" si="59"/>
        <v>Asked Colleague</v>
      </c>
      <c r="AJ550" t="str">
        <f t="shared" si="60"/>
        <v>High Trust</v>
      </c>
      <c r="AL550">
        <f t="shared" si="61"/>
        <v>80.3</v>
      </c>
      <c r="AM550" t="str">
        <f t="shared" si="62"/>
        <v>Professional</v>
      </c>
    </row>
    <row r="551" spans="1:39" x14ac:dyDescent="0.25">
      <c r="A551" t="s">
        <v>68</v>
      </c>
      <c r="B551" t="s">
        <v>42</v>
      </c>
      <c r="C551">
        <v>83.45</v>
      </c>
      <c r="D551">
        <v>124</v>
      </c>
      <c r="E551" t="b">
        <v>0</v>
      </c>
      <c r="F551" t="b">
        <v>1</v>
      </c>
      <c r="G551" t="b">
        <v>0</v>
      </c>
      <c r="H551" t="s">
        <v>25</v>
      </c>
      <c r="I551" t="s">
        <v>35</v>
      </c>
      <c r="J551" t="s">
        <v>36</v>
      </c>
      <c r="K551" t="s">
        <v>39</v>
      </c>
      <c r="L551" t="s">
        <v>38</v>
      </c>
      <c r="M551" t="s">
        <v>46</v>
      </c>
      <c r="N551" t="s">
        <v>39</v>
      </c>
      <c r="P551" t="b">
        <v>1</v>
      </c>
      <c r="Q551">
        <v>8.8000000000000007</v>
      </c>
      <c r="R551" t="b">
        <v>0</v>
      </c>
      <c r="T551">
        <v>0</v>
      </c>
      <c r="U551">
        <v>96.22</v>
      </c>
      <c r="V551" t="b">
        <v>1</v>
      </c>
      <c r="W551" t="s">
        <v>58</v>
      </c>
      <c r="AE551" t="str">
        <f t="shared" si="56"/>
        <v>Yes</v>
      </c>
      <c r="AF551" t="str">
        <f t="shared" si="57"/>
        <v>High</v>
      </c>
      <c r="AG551" t="str">
        <f t="shared" si="58"/>
        <v>No</v>
      </c>
      <c r="AH551" t="str">
        <f t="shared" si="59"/>
        <v>Unknown</v>
      </c>
      <c r="AJ551" t="str">
        <f t="shared" si="60"/>
        <v>High Trust</v>
      </c>
      <c r="AL551">
        <f t="shared" si="61"/>
        <v>96.2</v>
      </c>
      <c r="AM551" t="str">
        <f t="shared" si="62"/>
        <v>PhD</v>
      </c>
    </row>
    <row r="552" spans="1:39" x14ac:dyDescent="0.25">
      <c r="A552" t="s">
        <v>74</v>
      </c>
      <c r="B552" t="s">
        <v>33</v>
      </c>
      <c r="C552">
        <v>75.459999999999994</v>
      </c>
      <c r="D552">
        <v>740</v>
      </c>
      <c r="E552" t="b">
        <v>0</v>
      </c>
      <c r="F552" t="b">
        <v>0</v>
      </c>
      <c r="G552" t="b">
        <v>1</v>
      </c>
      <c r="H552" t="s">
        <v>43</v>
      </c>
      <c r="I552" t="s">
        <v>57</v>
      </c>
      <c r="J552" t="s">
        <v>54</v>
      </c>
      <c r="K552" t="s">
        <v>37</v>
      </c>
      <c r="L552" t="s">
        <v>51</v>
      </c>
      <c r="M552" t="s">
        <v>46</v>
      </c>
      <c r="N552" t="s">
        <v>46</v>
      </c>
      <c r="P552" t="b">
        <v>1</v>
      </c>
      <c r="Q552">
        <v>7.5</v>
      </c>
      <c r="R552" t="b">
        <v>1</v>
      </c>
      <c r="S552" t="s">
        <v>48</v>
      </c>
      <c r="T552">
        <v>20.8</v>
      </c>
      <c r="U552">
        <v>75.040000000000006</v>
      </c>
      <c r="V552" t="b">
        <v>1</v>
      </c>
      <c r="W552" t="s">
        <v>41</v>
      </c>
      <c r="AE552" t="str">
        <f t="shared" si="56"/>
        <v>No</v>
      </c>
      <c r="AF552" t="str">
        <f t="shared" si="57"/>
        <v>Medium</v>
      </c>
      <c r="AG552" t="str">
        <f t="shared" si="58"/>
        <v>No</v>
      </c>
      <c r="AH552" t="str">
        <f t="shared" si="59"/>
        <v>Consulted Documentation</v>
      </c>
      <c r="AJ552" t="str">
        <f t="shared" si="60"/>
        <v>Moderate Trust</v>
      </c>
      <c r="AL552">
        <f t="shared" si="61"/>
        <v>75</v>
      </c>
      <c r="AM552" t="str">
        <f t="shared" si="62"/>
        <v>Masters</v>
      </c>
    </row>
    <row r="553" spans="1:39" x14ac:dyDescent="0.25">
      <c r="A553" t="s">
        <v>32</v>
      </c>
      <c r="B553" t="s">
        <v>62</v>
      </c>
      <c r="C553">
        <v>64.790000000000006</v>
      </c>
      <c r="D553">
        <v>155</v>
      </c>
      <c r="E553" t="b">
        <v>0</v>
      </c>
      <c r="F553" t="b">
        <v>1</v>
      </c>
      <c r="G553" t="b">
        <v>1</v>
      </c>
      <c r="H553" t="s">
        <v>34</v>
      </c>
      <c r="I553" t="s">
        <v>44</v>
      </c>
      <c r="J553" t="s">
        <v>50</v>
      </c>
      <c r="K553" t="s">
        <v>46</v>
      </c>
      <c r="L553" t="s">
        <v>51</v>
      </c>
      <c r="M553" t="s">
        <v>47</v>
      </c>
      <c r="N553" t="s">
        <v>28</v>
      </c>
      <c r="P553" t="b">
        <v>0</v>
      </c>
      <c r="Q553">
        <v>5.6</v>
      </c>
      <c r="R553" t="b">
        <v>1</v>
      </c>
      <c r="S553" t="s">
        <v>64</v>
      </c>
      <c r="T553">
        <v>8.3000000000000007</v>
      </c>
      <c r="U553">
        <v>50.55</v>
      </c>
      <c r="V553" t="b">
        <v>1</v>
      </c>
      <c r="W553" t="s">
        <v>41</v>
      </c>
      <c r="AE553" t="str">
        <f t="shared" si="56"/>
        <v>Yes</v>
      </c>
      <c r="AF553" t="str">
        <f t="shared" si="57"/>
        <v>Low</v>
      </c>
      <c r="AG553" t="str">
        <f t="shared" si="58"/>
        <v>No</v>
      </c>
      <c r="AH553" t="str">
        <f t="shared" si="59"/>
        <v>Personal Testing</v>
      </c>
      <c r="AJ553" t="str">
        <f t="shared" si="60"/>
        <v>Moderate Trust</v>
      </c>
      <c r="AL553">
        <f t="shared" si="61"/>
        <v>50.6</v>
      </c>
      <c r="AM553" t="str">
        <f t="shared" si="62"/>
        <v>Professional</v>
      </c>
    </row>
    <row r="554" spans="1:39" x14ac:dyDescent="0.25">
      <c r="A554" t="s">
        <v>74</v>
      </c>
      <c r="B554" t="s">
        <v>76</v>
      </c>
      <c r="C554">
        <v>78.760000000000005</v>
      </c>
      <c r="D554">
        <v>317</v>
      </c>
      <c r="E554" t="b">
        <v>0</v>
      </c>
      <c r="F554" t="b">
        <v>0</v>
      </c>
      <c r="G554" t="b">
        <v>0</v>
      </c>
      <c r="H554" t="s">
        <v>34</v>
      </c>
      <c r="I554" t="s">
        <v>63</v>
      </c>
      <c r="J554" t="s">
        <v>27</v>
      </c>
      <c r="K554" t="s">
        <v>37</v>
      </c>
      <c r="L554" t="s">
        <v>29</v>
      </c>
      <c r="M554" t="s">
        <v>39</v>
      </c>
      <c r="N554" t="s">
        <v>28</v>
      </c>
      <c r="P554" t="b">
        <v>1</v>
      </c>
      <c r="Q554">
        <v>7.4</v>
      </c>
      <c r="R554" t="b">
        <v>1</v>
      </c>
      <c r="S554" t="s">
        <v>64</v>
      </c>
      <c r="T554">
        <v>19.2</v>
      </c>
      <c r="U554">
        <v>67.91</v>
      </c>
      <c r="V554" t="b">
        <v>1</v>
      </c>
      <c r="W554" t="s">
        <v>41</v>
      </c>
      <c r="AE554" t="str">
        <f t="shared" si="56"/>
        <v>No</v>
      </c>
      <c r="AF554" t="str">
        <f t="shared" si="57"/>
        <v>Low</v>
      </c>
      <c r="AG554" t="str">
        <f t="shared" si="58"/>
        <v>No</v>
      </c>
      <c r="AH554" t="str">
        <f t="shared" si="59"/>
        <v>Personal Testing</v>
      </c>
      <c r="AJ554" t="str">
        <f t="shared" si="60"/>
        <v>Moderate Trust</v>
      </c>
      <c r="AL554">
        <f t="shared" si="61"/>
        <v>67.900000000000006</v>
      </c>
      <c r="AM554" t="str">
        <f t="shared" si="62"/>
        <v>Bachelors</v>
      </c>
    </row>
    <row r="555" spans="1:39" x14ac:dyDescent="0.25">
      <c r="A555" t="s">
        <v>61</v>
      </c>
      <c r="B555" t="s">
        <v>24</v>
      </c>
      <c r="C555">
        <v>86.3</v>
      </c>
      <c r="D555">
        <v>108</v>
      </c>
      <c r="E555" t="b">
        <v>0</v>
      </c>
      <c r="F555" t="b">
        <v>1</v>
      </c>
      <c r="G555" t="b">
        <v>1</v>
      </c>
      <c r="H555" t="s">
        <v>25</v>
      </c>
      <c r="I555" t="s">
        <v>26</v>
      </c>
      <c r="J555" t="s">
        <v>50</v>
      </c>
      <c r="K555" t="s">
        <v>37</v>
      </c>
      <c r="L555" t="s">
        <v>29</v>
      </c>
      <c r="M555" t="s">
        <v>28</v>
      </c>
      <c r="N555" t="s">
        <v>28</v>
      </c>
      <c r="P555" t="b">
        <v>0</v>
      </c>
      <c r="Q555">
        <v>8.6999999999999993</v>
      </c>
      <c r="R555" t="b">
        <v>0</v>
      </c>
      <c r="T555">
        <v>0</v>
      </c>
      <c r="U555">
        <v>82.08</v>
      </c>
      <c r="V555" t="b">
        <v>1</v>
      </c>
      <c r="W555" t="s">
        <v>58</v>
      </c>
      <c r="AE555" t="str">
        <f t="shared" si="56"/>
        <v>Yes</v>
      </c>
      <c r="AF555" t="str">
        <f t="shared" si="57"/>
        <v>Low</v>
      </c>
      <c r="AG555" t="str">
        <f t="shared" si="58"/>
        <v>No</v>
      </c>
      <c r="AH555" t="str">
        <f t="shared" si="59"/>
        <v>Unknown</v>
      </c>
      <c r="AJ555" t="str">
        <f t="shared" si="60"/>
        <v>High Trust</v>
      </c>
      <c r="AL555">
        <f t="shared" si="61"/>
        <v>82.1</v>
      </c>
      <c r="AM555" t="str">
        <f t="shared" si="62"/>
        <v>Professional</v>
      </c>
    </row>
    <row r="556" spans="1:39" x14ac:dyDescent="0.25">
      <c r="A556" t="s">
        <v>74</v>
      </c>
      <c r="B556" t="s">
        <v>33</v>
      </c>
      <c r="C556">
        <v>78.739999999999995</v>
      </c>
      <c r="D556">
        <v>749</v>
      </c>
      <c r="E556" t="b">
        <v>0</v>
      </c>
      <c r="F556" t="b">
        <v>0</v>
      </c>
      <c r="G556" t="b">
        <v>0</v>
      </c>
      <c r="H556" t="s">
        <v>43</v>
      </c>
      <c r="I556" t="s">
        <v>35</v>
      </c>
      <c r="J556" t="s">
        <v>27</v>
      </c>
      <c r="K556" t="s">
        <v>46</v>
      </c>
      <c r="L556" t="s">
        <v>38</v>
      </c>
      <c r="M556" t="s">
        <v>47</v>
      </c>
      <c r="N556" t="s">
        <v>39</v>
      </c>
      <c r="O556" t="b">
        <v>0</v>
      </c>
      <c r="P556" t="b">
        <v>0</v>
      </c>
      <c r="Q556">
        <v>7.1</v>
      </c>
      <c r="R556" t="b">
        <v>1</v>
      </c>
      <c r="S556" t="s">
        <v>52</v>
      </c>
      <c r="T556">
        <v>26.8</v>
      </c>
      <c r="U556">
        <v>81.27</v>
      </c>
      <c r="V556" t="b">
        <v>1</v>
      </c>
      <c r="W556" t="s">
        <v>41</v>
      </c>
      <c r="AE556" t="str">
        <f t="shared" si="56"/>
        <v>No</v>
      </c>
      <c r="AF556" t="str">
        <f t="shared" si="57"/>
        <v>High</v>
      </c>
      <c r="AG556" t="str">
        <f t="shared" si="58"/>
        <v>No</v>
      </c>
      <c r="AH556" t="str">
        <f t="shared" si="59"/>
        <v>Checked Official Source</v>
      </c>
      <c r="AJ556" t="str">
        <f t="shared" si="60"/>
        <v>Moderate Trust</v>
      </c>
      <c r="AL556">
        <f t="shared" si="61"/>
        <v>81.3</v>
      </c>
      <c r="AM556" t="str">
        <f t="shared" si="62"/>
        <v>Bachelors</v>
      </c>
    </row>
    <row r="557" spans="1:39" x14ac:dyDescent="0.25">
      <c r="A557" t="s">
        <v>56</v>
      </c>
      <c r="B557" t="s">
        <v>59</v>
      </c>
      <c r="C557">
        <v>80.849999999999994</v>
      </c>
      <c r="D557">
        <v>474</v>
      </c>
      <c r="E557" t="b">
        <v>1</v>
      </c>
      <c r="F557" t="b">
        <v>0</v>
      </c>
      <c r="G557" t="b">
        <v>0</v>
      </c>
      <c r="H557" t="s">
        <v>53</v>
      </c>
      <c r="I557" t="s">
        <v>63</v>
      </c>
      <c r="J557" t="s">
        <v>27</v>
      </c>
      <c r="K557" t="s">
        <v>39</v>
      </c>
      <c r="L557" t="s">
        <v>51</v>
      </c>
      <c r="M557" t="s">
        <v>28</v>
      </c>
      <c r="N557" t="s">
        <v>28</v>
      </c>
      <c r="O557" t="b">
        <v>0</v>
      </c>
      <c r="P557" t="b">
        <v>1</v>
      </c>
      <c r="Q557">
        <v>8.6999999999999993</v>
      </c>
      <c r="R557" t="b">
        <v>1</v>
      </c>
      <c r="S557" t="s">
        <v>52</v>
      </c>
      <c r="T557">
        <v>38</v>
      </c>
      <c r="U557">
        <v>94.29</v>
      </c>
      <c r="V557" t="b">
        <v>1</v>
      </c>
      <c r="W557" t="s">
        <v>31</v>
      </c>
      <c r="AE557" t="str">
        <f t="shared" si="56"/>
        <v>No</v>
      </c>
      <c r="AF557" t="str">
        <f t="shared" si="57"/>
        <v>Low</v>
      </c>
      <c r="AG557" t="str">
        <f t="shared" si="58"/>
        <v>No</v>
      </c>
      <c r="AH557" t="str">
        <f t="shared" si="59"/>
        <v>Checked Official Source</v>
      </c>
      <c r="AJ557" t="str">
        <f t="shared" si="60"/>
        <v>High Trust</v>
      </c>
      <c r="AL557">
        <f t="shared" si="61"/>
        <v>94.3</v>
      </c>
      <c r="AM557" t="str">
        <f t="shared" si="62"/>
        <v>Bachelors</v>
      </c>
    </row>
    <row r="558" spans="1:39" x14ac:dyDescent="0.25">
      <c r="A558" t="s">
        <v>68</v>
      </c>
      <c r="B558" t="s">
        <v>33</v>
      </c>
      <c r="C558">
        <v>78.42</v>
      </c>
      <c r="D558">
        <v>791</v>
      </c>
      <c r="E558" t="b">
        <v>1</v>
      </c>
      <c r="F558" t="b">
        <v>1</v>
      </c>
      <c r="G558" t="b">
        <v>1</v>
      </c>
      <c r="H558" t="s">
        <v>43</v>
      </c>
      <c r="I558" t="s">
        <v>35</v>
      </c>
      <c r="J558" t="s">
        <v>36</v>
      </c>
      <c r="K558" t="s">
        <v>37</v>
      </c>
      <c r="L558" t="s">
        <v>69</v>
      </c>
      <c r="M558" t="s">
        <v>28</v>
      </c>
      <c r="O558" t="b">
        <v>0</v>
      </c>
      <c r="P558" t="b">
        <v>1</v>
      </c>
      <c r="Q558">
        <v>9.1</v>
      </c>
      <c r="R558" t="b">
        <v>1</v>
      </c>
      <c r="S558" t="s">
        <v>30</v>
      </c>
      <c r="T558">
        <v>11.5</v>
      </c>
      <c r="U558">
        <v>68.02</v>
      </c>
      <c r="V558" t="b">
        <v>0</v>
      </c>
      <c r="W558" t="s">
        <v>31</v>
      </c>
      <c r="AE558" t="str">
        <f t="shared" si="56"/>
        <v>Yes</v>
      </c>
      <c r="AF558" t="str">
        <f t="shared" si="57"/>
        <v>Unknown</v>
      </c>
      <c r="AG558" t="str">
        <f t="shared" si="58"/>
        <v>No</v>
      </c>
      <c r="AH558" t="str">
        <f t="shared" si="59"/>
        <v>Google Search</v>
      </c>
      <c r="AJ558" t="str">
        <f t="shared" si="60"/>
        <v>High Trust</v>
      </c>
      <c r="AL558">
        <f t="shared" si="61"/>
        <v>68</v>
      </c>
      <c r="AM558" t="str">
        <f t="shared" si="62"/>
        <v>PhD</v>
      </c>
    </row>
    <row r="559" spans="1:39" x14ac:dyDescent="0.25">
      <c r="A559" t="s">
        <v>32</v>
      </c>
      <c r="B559" t="s">
        <v>42</v>
      </c>
      <c r="C559">
        <v>82.62</v>
      </c>
      <c r="D559">
        <v>92</v>
      </c>
      <c r="E559" t="b">
        <v>0</v>
      </c>
      <c r="F559" t="b">
        <v>1</v>
      </c>
      <c r="G559" t="b">
        <v>0</v>
      </c>
      <c r="H559" t="s">
        <v>25</v>
      </c>
      <c r="I559" t="s">
        <v>35</v>
      </c>
      <c r="J559" t="s">
        <v>50</v>
      </c>
      <c r="K559" t="s">
        <v>37</v>
      </c>
      <c r="L559" t="s">
        <v>69</v>
      </c>
      <c r="M559" t="s">
        <v>39</v>
      </c>
      <c r="N559" t="s">
        <v>28</v>
      </c>
      <c r="P559" t="b">
        <v>1</v>
      </c>
      <c r="Q559">
        <v>8.1</v>
      </c>
      <c r="R559" t="b">
        <v>1</v>
      </c>
      <c r="S559" t="s">
        <v>52</v>
      </c>
      <c r="T559">
        <v>7.5</v>
      </c>
      <c r="U559">
        <v>93.63</v>
      </c>
      <c r="V559" t="b">
        <v>1</v>
      </c>
      <c r="W559" t="s">
        <v>31</v>
      </c>
      <c r="AE559" t="str">
        <f t="shared" si="56"/>
        <v>Yes</v>
      </c>
      <c r="AF559" t="str">
        <f t="shared" si="57"/>
        <v>Low</v>
      </c>
      <c r="AG559" t="str">
        <f t="shared" si="58"/>
        <v>No</v>
      </c>
      <c r="AH559" t="str">
        <f t="shared" si="59"/>
        <v>Checked Official Source</v>
      </c>
      <c r="AJ559" t="str">
        <f t="shared" si="60"/>
        <v>High Trust</v>
      </c>
      <c r="AL559">
        <f t="shared" si="61"/>
        <v>93.6</v>
      </c>
      <c r="AM559" t="str">
        <f t="shared" si="62"/>
        <v>Professional</v>
      </c>
    </row>
    <row r="560" spans="1:39" x14ac:dyDescent="0.25">
      <c r="A560" t="s">
        <v>68</v>
      </c>
      <c r="B560" t="s">
        <v>60</v>
      </c>
      <c r="C560">
        <v>44.99</v>
      </c>
      <c r="D560">
        <v>660</v>
      </c>
      <c r="E560" t="b">
        <v>1</v>
      </c>
      <c r="F560" t="b">
        <v>1</v>
      </c>
      <c r="G560" t="b">
        <v>0</v>
      </c>
      <c r="H560" t="s">
        <v>43</v>
      </c>
      <c r="I560" t="s">
        <v>63</v>
      </c>
      <c r="J560" t="s">
        <v>36</v>
      </c>
      <c r="K560" t="s">
        <v>39</v>
      </c>
      <c r="L560" t="s">
        <v>38</v>
      </c>
      <c r="M560" t="s">
        <v>47</v>
      </c>
      <c r="N560" t="s">
        <v>46</v>
      </c>
      <c r="O560" t="b">
        <v>0</v>
      </c>
      <c r="P560" t="b">
        <v>0</v>
      </c>
      <c r="Q560">
        <v>4.4000000000000004</v>
      </c>
      <c r="R560" t="b">
        <v>1</v>
      </c>
      <c r="S560" t="s">
        <v>52</v>
      </c>
      <c r="T560">
        <v>9.1999999999999993</v>
      </c>
      <c r="U560">
        <v>34.99</v>
      </c>
      <c r="V560" t="b">
        <v>1</v>
      </c>
      <c r="W560" t="s">
        <v>72</v>
      </c>
      <c r="AE560" t="str">
        <f t="shared" si="56"/>
        <v>Yes</v>
      </c>
      <c r="AF560" t="str">
        <f t="shared" si="57"/>
        <v>Medium</v>
      </c>
      <c r="AG560" t="str">
        <f t="shared" si="58"/>
        <v>No</v>
      </c>
      <c r="AH560" t="str">
        <f t="shared" si="59"/>
        <v>Checked Official Source</v>
      </c>
      <c r="AJ560" t="str">
        <f t="shared" si="60"/>
        <v>Moderate Trust</v>
      </c>
      <c r="AL560">
        <f t="shared" si="61"/>
        <v>35</v>
      </c>
      <c r="AM560" t="str">
        <f t="shared" si="62"/>
        <v>PhD</v>
      </c>
    </row>
    <row r="561" spans="1:39" x14ac:dyDescent="0.25">
      <c r="A561" t="s">
        <v>56</v>
      </c>
      <c r="B561" t="s">
        <v>70</v>
      </c>
      <c r="C561">
        <v>88.79</v>
      </c>
      <c r="D561">
        <v>234</v>
      </c>
      <c r="E561" t="b">
        <v>0</v>
      </c>
      <c r="F561" t="b">
        <v>0</v>
      </c>
      <c r="G561" t="b">
        <v>0</v>
      </c>
      <c r="H561" t="s">
        <v>25</v>
      </c>
      <c r="I561" t="s">
        <v>67</v>
      </c>
      <c r="J561" t="s">
        <v>45</v>
      </c>
      <c r="K561" t="s">
        <v>37</v>
      </c>
      <c r="L561" t="s">
        <v>37</v>
      </c>
      <c r="M561" t="s">
        <v>46</v>
      </c>
      <c r="N561" t="s">
        <v>46</v>
      </c>
      <c r="P561" t="b">
        <v>0</v>
      </c>
      <c r="Q561">
        <v>8.9</v>
      </c>
      <c r="R561" t="b">
        <v>0</v>
      </c>
      <c r="T561">
        <v>0</v>
      </c>
      <c r="U561">
        <v>79.5</v>
      </c>
      <c r="V561" t="b">
        <v>1</v>
      </c>
      <c r="W561" t="s">
        <v>58</v>
      </c>
      <c r="AE561" t="str">
        <f t="shared" si="56"/>
        <v>No</v>
      </c>
      <c r="AF561" t="str">
        <f t="shared" si="57"/>
        <v>Medium</v>
      </c>
      <c r="AG561" t="str">
        <f t="shared" si="58"/>
        <v>No</v>
      </c>
      <c r="AH561" t="str">
        <f t="shared" si="59"/>
        <v>Unknown</v>
      </c>
      <c r="AJ561" t="str">
        <f t="shared" si="60"/>
        <v>High Trust</v>
      </c>
      <c r="AL561">
        <f t="shared" si="61"/>
        <v>79.5</v>
      </c>
      <c r="AM561" t="str">
        <f t="shared" si="62"/>
        <v>High School</v>
      </c>
    </row>
    <row r="562" spans="1:39" x14ac:dyDescent="0.25">
      <c r="A562" t="s">
        <v>68</v>
      </c>
      <c r="B562" t="s">
        <v>70</v>
      </c>
      <c r="C562">
        <v>92.76</v>
      </c>
      <c r="D562">
        <v>204</v>
      </c>
      <c r="E562" t="b">
        <v>0</v>
      </c>
      <c r="F562" t="b">
        <v>0</v>
      </c>
      <c r="G562" t="b">
        <v>1</v>
      </c>
      <c r="H562" t="s">
        <v>53</v>
      </c>
      <c r="I562" t="s">
        <v>26</v>
      </c>
      <c r="J562" t="s">
        <v>36</v>
      </c>
      <c r="K562" t="s">
        <v>39</v>
      </c>
      <c r="L562" t="s">
        <v>37</v>
      </c>
      <c r="M562" t="s">
        <v>39</v>
      </c>
      <c r="N562" t="s">
        <v>39</v>
      </c>
      <c r="O562" t="b">
        <v>1</v>
      </c>
      <c r="P562" t="b">
        <v>1</v>
      </c>
      <c r="Q562">
        <v>10</v>
      </c>
      <c r="R562" t="b">
        <v>0</v>
      </c>
      <c r="T562">
        <v>0</v>
      </c>
      <c r="U562">
        <v>100</v>
      </c>
      <c r="V562" t="b">
        <v>1</v>
      </c>
      <c r="W562" t="s">
        <v>58</v>
      </c>
      <c r="AE562" t="str">
        <f t="shared" si="56"/>
        <v>No</v>
      </c>
      <c r="AF562" t="str">
        <f t="shared" si="57"/>
        <v>High</v>
      </c>
      <c r="AG562" t="str">
        <f t="shared" si="58"/>
        <v>Yes</v>
      </c>
      <c r="AH562" t="str">
        <f t="shared" si="59"/>
        <v>Unknown</v>
      </c>
      <c r="AJ562" t="str">
        <f t="shared" si="60"/>
        <v>High Trust</v>
      </c>
      <c r="AL562">
        <f t="shared" si="61"/>
        <v>100</v>
      </c>
      <c r="AM562" t="str">
        <f t="shared" si="62"/>
        <v>PhD</v>
      </c>
    </row>
    <row r="563" spans="1:39" x14ac:dyDescent="0.25">
      <c r="A563" t="s">
        <v>32</v>
      </c>
      <c r="B563" t="s">
        <v>62</v>
      </c>
      <c r="C563">
        <v>63.01</v>
      </c>
      <c r="D563">
        <v>298</v>
      </c>
      <c r="E563" t="b">
        <v>1</v>
      </c>
      <c r="F563" t="b">
        <v>1</v>
      </c>
      <c r="G563" t="b">
        <v>1</v>
      </c>
      <c r="H563" t="s">
        <v>34</v>
      </c>
      <c r="I563" t="s">
        <v>26</v>
      </c>
      <c r="J563" t="s">
        <v>54</v>
      </c>
      <c r="K563" t="s">
        <v>28</v>
      </c>
      <c r="L563" t="s">
        <v>29</v>
      </c>
      <c r="M563" t="s">
        <v>47</v>
      </c>
      <c r="N563" t="s">
        <v>28</v>
      </c>
      <c r="O563" t="b">
        <v>0</v>
      </c>
      <c r="P563" t="b">
        <v>0</v>
      </c>
      <c r="Q563">
        <v>5.8</v>
      </c>
      <c r="R563" t="b">
        <v>1</v>
      </c>
      <c r="S563" t="s">
        <v>52</v>
      </c>
      <c r="T563">
        <v>5</v>
      </c>
      <c r="U563">
        <v>72</v>
      </c>
      <c r="V563" t="b">
        <v>1</v>
      </c>
      <c r="W563" t="s">
        <v>41</v>
      </c>
      <c r="AE563" t="str">
        <f t="shared" si="56"/>
        <v>Yes</v>
      </c>
      <c r="AF563" t="str">
        <f t="shared" si="57"/>
        <v>Low</v>
      </c>
      <c r="AG563" t="str">
        <f t="shared" si="58"/>
        <v>No</v>
      </c>
      <c r="AH563" t="str">
        <f t="shared" si="59"/>
        <v>Checked Official Source</v>
      </c>
      <c r="AJ563" t="str">
        <f t="shared" si="60"/>
        <v>Moderate Trust</v>
      </c>
      <c r="AL563">
        <f t="shared" si="61"/>
        <v>72</v>
      </c>
      <c r="AM563" t="str">
        <f t="shared" si="62"/>
        <v>Masters</v>
      </c>
    </row>
    <row r="564" spans="1:39" x14ac:dyDescent="0.25">
      <c r="A564" t="s">
        <v>56</v>
      </c>
      <c r="B564" t="s">
        <v>60</v>
      </c>
      <c r="C564">
        <v>51.8</v>
      </c>
      <c r="D564">
        <v>261</v>
      </c>
      <c r="E564" t="b">
        <v>1</v>
      </c>
      <c r="F564" t="b">
        <v>0</v>
      </c>
      <c r="G564" t="b">
        <v>1</v>
      </c>
      <c r="H564" t="s">
        <v>53</v>
      </c>
      <c r="I564" t="s">
        <v>35</v>
      </c>
      <c r="J564" t="s">
        <v>27</v>
      </c>
      <c r="K564" t="s">
        <v>46</v>
      </c>
      <c r="L564" t="s">
        <v>29</v>
      </c>
      <c r="M564" t="s">
        <v>46</v>
      </c>
      <c r="N564" t="s">
        <v>39</v>
      </c>
      <c r="O564" t="b">
        <v>0</v>
      </c>
      <c r="P564" t="b">
        <v>0</v>
      </c>
      <c r="Q564">
        <v>6.4</v>
      </c>
      <c r="R564" t="b">
        <v>1</v>
      </c>
      <c r="S564" t="s">
        <v>40</v>
      </c>
      <c r="T564">
        <v>35.799999999999997</v>
      </c>
      <c r="U564">
        <v>57.82</v>
      </c>
      <c r="V564" t="b">
        <v>1</v>
      </c>
      <c r="W564" t="s">
        <v>41</v>
      </c>
      <c r="AE564" t="str">
        <f t="shared" si="56"/>
        <v>No</v>
      </c>
      <c r="AF564" t="str">
        <f t="shared" si="57"/>
        <v>High</v>
      </c>
      <c r="AG564" t="str">
        <f t="shared" si="58"/>
        <v>No</v>
      </c>
      <c r="AH564" t="str">
        <f t="shared" si="59"/>
        <v>Asked Expert</v>
      </c>
      <c r="AJ564" t="str">
        <f t="shared" si="60"/>
        <v>Moderate Trust</v>
      </c>
      <c r="AL564">
        <f t="shared" si="61"/>
        <v>57.8</v>
      </c>
      <c r="AM564" t="str">
        <f t="shared" si="62"/>
        <v>Bachelors</v>
      </c>
    </row>
    <row r="565" spans="1:39" x14ac:dyDescent="0.25">
      <c r="A565" t="s">
        <v>23</v>
      </c>
      <c r="B565" t="s">
        <v>70</v>
      </c>
      <c r="C565">
        <v>93.17</v>
      </c>
      <c r="D565">
        <v>682</v>
      </c>
      <c r="E565" t="b">
        <v>1</v>
      </c>
      <c r="F565" t="b">
        <v>0</v>
      </c>
      <c r="G565" t="b">
        <v>0</v>
      </c>
      <c r="H565" t="s">
        <v>25</v>
      </c>
      <c r="I565" t="s">
        <v>44</v>
      </c>
      <c r="J565" t="s">
        <v>54</v>
      </c>
      <c r="K565" t="s">
        <v>37</v>
      </c>
      <c r="L565" t="s">
        <v>29</v>
      </c>
      <c r="M565" t="s">
        <v>47</v>
      </c>
      <c r="N565" t="s">
        <v>46</v>
      </c>
      <c r="O565" t="b">
        <v>1</v>
      </c>
      <c r="P565" t="b">
        <v>1</v>
      </c>
      <c r="Q565">
        <v>10</v>
      </c>
      <c r="R565" t="b">
        <v>1</v>
      </c>
      <c r="S565" t="s">
        <v>75</v>
      </c>
      <c r="T565">
        <v>40.9</v>
      </c>
      <c r="U565">
        <v>85.61</v>
      </c>
      <c r="V565" t="b">
        <v>1</v>
      </c>
      <c r="W565" t="s">
        <v>31</v>
      </c>
      <c r="AE565" t="str">
        <f t="shared" si="56"/>
        <v>No</v>
      </c>
      <c r="AF565" t="str">
        <f t="shared" si="57"/>
        <v>Medium</v>
      </c>
      <c r="AG565" t="str">
        <f t="shared" si="58"/>
        <v>Yes</v>
      </c>
      <c r="AH565" t="str">
        <f t="shared" si="59"/>
        <v>Asked Colleague</v>
      </c>
      <c r="AJ565" t="str">
        <f t="shared" si="60"/>
        <v>High Trust</v>
      </c>
      <c r="AL565">
        <f t="shared" si="61"/>
        <v>85.6</v>
      </c>
      <c r="AM565" t="str">
        <f t="shared" si="62"/>
        <v>Masters</v>
      </c>
    </row>
    <row r="566" spans="1:39" x14ac:dyDescent="0.25">
      <c r="A566" t="s">
        <v>68</v>
      </c>
      <c r="B566" t="s">
        <v>42</v>
      </c>
      <c r="C566">
        <v>74.260000000000005</v>
      </c>
      <c r="D566">
        <v>91</v>
      </c>
      <c r="E566" t="b">
        <v>1</v>
      </c>
      <c r="F566" t="b">
        <v>0</v>
      </c>
      <c r="G566" t="b">
        <v>0</v>
      </c>
      <c r="H566" t="s">
        <v>25</v>
      </c>
      <c r="I566" t="s">
        <v>26</v>
      </c>
      <c r="J566" t="s">
        <v>50</v>
      </c>
      <c r="K566" t="s">
        <v>46</v>
      </c>
      <c r="L566" t="s">
        <v>38</v>
      </c>
      <c r="M566" t="s">
        <v>28</v>
      </c>
      <c r="N566" t="s">
        <v>39</v>
      </c>
      <c r="P566" t="b">
        <v>0</v>
      </c>
      <c r="Q566">
        <v>10</v>
      </c>
      <c r="R566" t="b">
        <v>0</v>
      </c>
      <c r="T566">
        <v>0</v>
      </c>
      <c r="U566">
        <v>69.98</v>
      </c>
      <c r="V566" t="b">
        <v>0</v>
      </c>
      <c r="W566" t="s">
        <v>58</v>
      </c>
      <c r="AE566" t="str">
        <f t="shared" si="56"/>
        <v>No</v>
      </c>
      <c r="AF566" t="str">
        <f t="shared" si="57"/>
        <v>High</v>
      </c>
      <c r="AG566" t="str">
        <f t="shared" si="58"/>
        <v>No</v>
      </c>
      <c r="AH566" t="str">
        <f t="shared" si="59"/>
        <v>Unknown</v>
      </c>
      <c r="AJ566" t="str">
        <f t="shared" si="60"/>
        <v>High Trust</v>
      </c>
      <c r="AL566">
        <f t="shared" si="61"/>
        <v>70</v>
      </c>
      <c r="AM566" t="str">
        <f t="shared" si="62"/>
        <v>Professional</v>
      </c>
    </row>
    <row r="567" spans="1:39" x14ac:dyDescent="0.25">
      <c r="A567" t="s">
        <v>32</v>
      </c>
      <c r="B567" t="s">
        <v>73</v>
      </c>
      <c r="C567">
        <v>67.67</v>
      </c>
      <c r="D567">
        <v>720</v>
      </c>
      <c r="E567" t="b">
        <v>1</v>
      </c>
      <c r="F567" t="b">
        <v>0</v>
      </c>
      <c r="G567" t="b">
        <v>1</v>
      </c>
      <c r="H567" t="s">
        <v>43</v>
      </c>
      <c r="I567" t="s">
        <v>35</v>
      </c>
      <c r="J567" t="s">
        <v>36</v>
      </c>
      <c r="K567" t="s">
        <v>39</v>
      </c>
      <c r="L567" t="s">
        <v>29</v>
      </c>
      <c r="M567" t="s">
        <v>47</v>
      </c>
      <c r="N567" t="s">
        <v>39</v>
      </c>
      <c r="O567" t="b">
        <v>1</v>
      </c>
      <c r="P567" t="b">
        <v>1</v>
      </c>
      <c r="Q567">
        <v>8</v>
      </c>
      <c r="R567" t="b">
        <v>1</v>
      </c>
      <c r="S567" t="s">
        <v>64</v>
      </c>
      <c r="T567">
        <v>11.5</v>
      </c>
      <c r="U567">
        <v>57.18</v>
      </c>
      <c r="V567" t="b">
        <v>0</v>
      </c>
      <c r="W567" t="s">
        <v>31</v>
      </c>
      <c r="AE567" t="str">
        <f t="shared" si="56"/>
        <v>No</v>
      </c>
      <c r="AF567" t="str">
        <f t="shared" si="57"/>
        <v>High</v>
      </c>
      <c r="AG567" t="str">
        <f t="shared" si="58"/>
        <v>Yes</v>
      </c>
      <c r="AH567" t="str">
        <f t="shared" si="59"/>
        <v>Personal Testing</v>
      </c>
      <c r="AJ567" t="str">
        <f t="shared" si="60"/>
        <v>High Trust</v>
      </c>
      <c r="AL567">
        <f t="shared" si="61"/>
        <v>57.2</v>
      </c>
      <c r="AM567" t="str">
        <f t="shared" si="62"/>
        <v>PhD</v>
      </c>
    </row>
    <row r="568" spans="1:39" x14ac:dyDescent="0.25">
      <c r="A568" t="s">
        <v>61</v>
      </c>
      <c r="B568" t="s">
        <v>60</v>
      </c>
      <c r="C568">
        <v>51.26</v>
      </c>
      <c r="D568">
        <v>53</v>
      </c>
      <c r="E568" t="b">
        <v>0</v>
      </c>
      <c r="F568" t="b">
        <v>0</v>
      </c>
      <c r="G568" t="b">
        <v>0</v>
      </c>
      <c r="H568" t="s">
        <v>25</v>
      </c>
      <c r="I568" t="s">
        <v>26</v>
      </c>
      <c r="J568" t="s">
        <v>50</v>
      </c>
      <c r="K568" t="s">
        <v>28</v>
      </c>
      <c r="L568" t="s">
        <v>38</v>
      </c>
      <c r="M568" t="s">
        <v>39</v>
      </c>
      <c r="N568" t="s">
        <v>28</v>
      </c>
      <c r="O568" t="b">
        <v>1</v>
      </c>
      <c r="P568" t="b">
        <v>1</v>
      </c>
      <c r="Q568">
        <v>7.9</v>
      </c>
      <c r="R568" t="b">
        <v>1</v>
      </c>
      <c r="S568" t="s">
        <v>64</v>
      </c>
      <c r="T568">
        <v>33.1</v>
      </c>
      <c r="U568">
        <v>42.22</v>
      </c>
      <c r="V568" t="b">
        <v>0</v>
      </c>
      <c r="W568" t="s">
        <v>41</v>
      </c>
      <c r="AE568" t="str">
        <f t="shared" si="56"/>
        <v>No</v>
      </c>
      <c r="AF568" t="str">
        <f t="shared" si="57"/>
        <v>Low</v>
      </c>
      <c r="AG568" t="str">
        <f t="shared" si="58"/>
        <v>Yes</v>
      </c>
      <c r="AH568" t="str">
        <f t="shared" si="59"/>
        <v>Personal Testing</v>
      </c>
      <c r="AJ568" t="str">
        <f t="shared" si="60"/>
        <v>Moderate Trust</v>
      </c>
      <c r="AL568">
        <f t="shared" si="61"/>
        <v>42.2</v>
      </c>
      <c r="AM568" t="str">
        <f t="shared" si="62"/>
        <v>Professional</v>
      </c>
    </row>
    <row r="569" spans="1:39" x14ac:dyDescent="0.25">
      <c r="A569" t="s">
        <v>68</v>
      </c>
      <c r="B569" t="s">
        <v>76</v>
      </c>
      <c r="C569">
        <v>79.38</v>
      </c>
      <c r="D569">
        <v>563</v>
      </c>
      <c r="E569" t="b">
        <v>0</v>
      </c>
      <c r="F569" t="b">
        <v>0</v>
      </c>
      <c r="G569" t="b">
        <v>1</v>
      </c>
      <c r="H569" t="s">
        <v>53</v>
      </c>
      <c r="I569" t="s">
        <v>63</v>
      </c>
      <c r="J569" t="s">
        <v>50</v>
      </c>
      <c r="K569" t="s">
        <v>46</v>
      </c>
      <c r="L569" t="s">
        <v>29</v>
      </c>
      <c r="M569" t="s">
        <v>46</v>
      </c>
      <c r="P569" t="b">
        <v>1</v>
      </c>
      <c r="Q569">
        <v>8.4</v>
      </c>
      <c r="R569" t="b">
        <v>1</v>
      </c>
      <c r="S569" t="s">
        <v>40</v>
      </c>
      <c r="T569">
        <v>40.4</v>
      </c>
      <c r="U569">
        <v>66.59</v>
      </c>
      <c r="V569" t="b">
        <v>1</v>
      </c>
      <c r="W569" t="s">
        <v>31</v>
      </c>
      <c r="AE569" t="str">
        <f t="shared" si="56"/>
        <v>No</v>
      </c>
      <c r="AF569" t="str">
        <f t="shared" si="57"/>
        <v>Unknown</v>
      </c>
      <c r="AG569" t="str">
        <f t="shared" si="58"/>
        <v>No</v>
      </c>
      <c r="AH569" t="str">
        <f t="shared" si="59"/>
        <v>Asked Expert</v>
      </c>
      <c r="AJ569" t="str">
        <f t="shared" si="60"/>
        <v>High Trust</v>
      </c>
      <c r="AL569">
        <f t="shared" si="61"/>
        <v>66.599999999999994</v>
      </c>
      <c r="AM569" t="str">
        <f t="shared" si="62"/>
        <v>Professional</v>
      </c>
    </row>
    <row r="570" spans="1:39" x14ac:dyDescent="0.25">
      <c r="A570" t="s">
        <v>74</v>
      </c>
      <c r="B570" t="s">
        <v>59</v>
      </c>
      <c r="C570">
        <v>79.2</v>
      </c>
      <c r="D570">
        <v>626</v>
      </c>
      <c r="E570" t="b">
        <v>1</v>
      </c>
      <c r="F570" t="b">
        <v>0</v>
      </c>
      <c r="G570" t="b">
        <v>0</v>
      </c>
      <c r="H570" t="s">
        <v>25</v>
      </c>
      <c r="I570" t="s">
        <v>44</v>
      </c>
      <c r="J570" t="s">
        <v>27</v>
      </c>
      <c r="K570" t="s">
        <v>37</v>
      </c>
      <c r="L570" t="s">
        <v>29</v>
      </c>
      <c r="M570" t="s">
        <v>28</v>
      </c>
      <c r="N570" t="s">
        <v>39</v>
      </c>
      <c r="O570" t="b">
        <v>1</v>
      </c>
      <c r="P570" t="b">
        <v>1</v>
      </c>
      <c r="Q570">
        <v>10</v>
      </c>
      <c r="R570" t="b">
        <v>0</v>
      </c>
      <c r="T570">
        <v>0</v>
      </c>
      <c r="U570">
        <v>91.28</v>
      </c>
      <c r="V570" t="b">
        <v>1</v>
      </c>
      <c r="W570" t="s">
        <v>58</v>
      </c>
      <c r="AE570" t="str">
        <f t="shared" si="56"/>
        <v>No</v>
      </c>
      <c r="AF570" t="str">
        <f t="shared" si="57"/>
        <v>High</v>
      </c>
      <c r="AG570" t="str">
        <f t="shared" si="58"/>
        <v>Yes</v>
      </c>
      <c r="AH570" t="str">
        <f t="shared" si="59"/>
        <v>Unknown</v>
      </c>
      <c r="AJ570" t="str">
        <f t="shared" si="60"/>
        <v>High Trust</v>
      </c>
      <c r="AL570">
        <f t="shared" si="61"/>
        <v>91.3</v>
      </c>
      <c r="AM570" t="str">
        <f t="shared" si="62"/>
        <v>Bachelors</v>
      </c>
    </row>
    <row r="571" spans="1:39" x14ac:dyDescent="0.25">
      <c r="A571" t="s">
        <v>61</v>
      </c>
      <c r="B571" t="s">
        <v>71</v>
      </c>
      <c r="C571">
        <v>42.99</v>
      </c>
      <c r="D571">
        <v>360</v>
      </c>
      <c r="E571" t="b">
        <v>1</v>
      </c>
      <c r="F571" t="b">
        <v>1</v>
      </c>
      <c r="G571" t="b">
        <v>0</v>
      </c>
      <c r="H571" t="s">
        <v>25</v>
      </c>
      <c r="I571" t="s">
        <v>57</v>
      </c>
      <c r="J571" t="s">
        <v>50</v>
      </c>
      <c r="K571" t="s">
        <v>37</v>
      </c>
      <c r="L571" t="s">
        <v>37</v>
      </c>
      <c r="M571" t="s">
        <v>28</v>
      </c>
      <c r="O571" t="b">
        <v>1</v>
      </c>
      <c r="P571" t="b">
        <v>1</v>
      </c>
      <c r="Q571">
        <v>7</v>
      </c>
      <c r="R571" t="b">
        <v>1</v>
      </c>
      <c r="S571" t="s">
        <v>55</v>
      </c>
      <c r="T571">
        <v>21.3</v>
      </c>
      <c r="U571">
        <v>46.79</v>
      </c>
      <c r="V571" t="b">
        <v>0</v>
      </c>
      <c r="W571" t="s">
        <v>41</v>
      </c>
      <c r="AE571" t="str">
        <f t="shared" si="56"/>
        <v>Yes</v>
      </c>
      <c r="AF571" t="str">
        <f t="shared" si="57"/>
        <v>Unknown</v>
      </c>
      <c r="AG571" t="str">
        <f t="shared" si="58"/>
        <v>Yes</v>
      </c>
      <c r="AH571" t="str">
        <f t="shared" si="59"/>
        <v>Academic Paper</v>
      </c>
      <c r="AJ571" t="str">
        <f t="shared" si="60"/>
        <v>Moderate Trust</v>
      </c>
      <c r="AL571">
        <f t="shared" si="61"/>
        <v>46.8</v>
      </c>
      <c r="AM571" t="str">
        <f t="shared" si="62"/>
        <v>Professional</v>
      </c>
    </row>
    <row r="572" spans="1:39" x14ac:dyDescent="0.25">
      <c r="A572" t="s">
        <v>68</v>
      </c>
      <c r="B572" t="s">
        <v>71</v>
      </c>
      <c r="C572">
        <v>42.16</v>
      </c>
      <c r="D572">
        <v>264</v>
      </c>
      <c r="E572" t="b">
        <v>0</v>
      </c>
      <c r="F572" t="b">
        <v>1</v>
      </c>
      <c r="G572" t="b">
        <v>0</v>
      </c>
      <c r="H572" t="s">
        <v>25</v>
      </c>
      <c r="I572" t="s">
        <v>67</v>
      </c>
      <c r="J572" t="s">
        <v>36</v>
      </c>
      <c r="K572" t="s">
        <v>46</v>
      </c>
      <c r="L572" t="s">
        <v>38</v>
      </c>
      <c r="M572" t="s">
        <v>39</v>
      </c>
      <c r="P572" t="b">
        <v>0</v>
      </c>
      <c r="Q572">
        <v>5.2</v>
      </c>
      <c r="R572" t="b">
        <v>1</v>
      </c>
      <c r="S572" t="s">
        <v>30</v>
      </c>
      <c r="T572">
        <v>16.100000000000001</v>
      </c>
      <c r="U572">
        <v>28.78</v>
      </c>
      <c r="V572" t="b">
        <v>0</v>
      </c>
      <c r="W572" t="s">
        <v>41</v>
      </c>
      <c r="AE572" t="str">
        <f t="shared" si="56"/>
        <v>Yes</v>
      </c>
      <c r="AF572" t="str">
        <f t="shared" si="57"/>
        <v>Unknown</v>
      </c>
      <c r="AG572" t="str">
        <f t="shared" si="58"/>
        <v>No</v>
      </c>
      <c r="AH572" t="str">
        <f t="shared" si="59"/>
        <v>Google Search</v>
      </c>
      <c r="AJ572" t="str">
        <f t="shared" si="60"/>
        <v>Moderate Trust</v>
      </c>
      <c r="AL572">
        <f t="shared" si="61"/>
        <v>28.8</v>
      </c>
      <c r="AM572" t="str">
        <f t="shared" si="62"/>
        <v>PhD</v>
      </c>
    </row>
    <row r="573" spans="1:39" x14ac:dyDescent="0.25">
      <c r="A573" t="s">
        <v>68</v>
      </c>
      <c r="B573" t="s">
        <v>24</v>
      </c>
      <c r="C573">
        <v>95.97</v>
      </c>
      <c r="D573">
        <v>613</v>
      </c>
      <c r="E573" t="b">
        <v>0</v>
      </c>
      <c r="F573" t="b">
        <v>0</v>
      </c>
      <c r="G573" t="b">
        <v>1</v>
      </c>
      <c r="H573" t="s">
        <v>53</v>
      </c>
      <c r="I573" t="s">
        <v>57</v>
      </c>
      <c r="J573" t="s">
        <v>27</v>
      </c>
      <c r="K573" t="s">
        <v>37</v>
      </c>
      <c r="L573" t="s">
        <v>51</v>
      </c>
      <c r="M573" t="s">
        <v>28</v>
      </c>
      <c r="O573" t="b">
        <v>1</v>
      </c>
      <c r="P573" t="b">
        <v>1</v>
      </c>
      <c r="Q573">
        <v>10</v>
      </c>
      <c r="R573" t="b">
        <v>1</v>
      </c>
      <c r="S573" t="s">
        <v>55</v>
      </c>
      <c r="T573">
        <v>11.9</v>
      </c>
      <c r="U573">
        <v>95.69</v>
      </c>
      <c r="V573" t="b">
        <v>1</v>
      </c>
      <c r="W573" t="s">
        <v>31</v>
      </c>
      <c r="AE573" t="str">
        <f t="shared" si="56"/>
        <v>No</v>
      </c>
      <c r="AF573" t="str">
        <f t="shared" si="57"/>
        <v>Unknown</v>
      </c>
      <c r="AG573" t="str">
        <f t="shared" si="58"/>
        <v>Yes</v>
      </c>
      <c r="AH573" t="str">
        <f t="shared" si="59"/>
        <v>Academic Paper</v>
      </c>
      <c r="AJ573" t="str">
        <f t="shared" si="60"/>
        <v>High Trust</v>
      </c>
      <c r="AL573">
        <f t="shared" si="61"/>
        <v>95.7</v>
      </c>
      <c r="AM573" t="str">
        <f t="shared" si="62"/>
        <v>Bachelors</v>
      </c>
    </row>
    <row r="574" spans="1:39" x14ac:dyDescent="0.25">
      <c r="A574" t="s">
        <v>56</v>
      </c>
      <c r="B574" t="s">
        <v>49</v>
      </c>
      <c r="C574">
        <v>64.400000000000006</v>
      </c>
      <c r="D574">
        <v>347</v>
      </c>
      <c r="E574" t="b">
        <v>1</v>
      </c>
      <c r="F574" t="b">
        <v>1</v>
      </c>
      <c r="G574" t="b">
        <v>1</v>
      </c>
      <c r="H574" t="s">
        <v>43</v>
      </c>
      <c r="I574" t="s">
        <v>44</v>
      </c>
      <c r="J574" t="s">
        <v>45</v>
      </c>
      <c r="K574" t="s">
        <v>37</v>
      </c>
      <c r="L574" t="s">
        <v>51</v>
      </c>
      <c r="M574" t="s">
        <v>46</v>
      </c>
      <c r="N574" t="s">
        <v>39</v>
      </c>
      <c r="P574" t="b">
        <v>1</v>
      </c>
      <c r="Q574">
        <v>7.4</v>
      </c>
      <c r="R574" t="b">
        <v>0</v>
      </c>
      <c r="T574">
        <v>0</v>
      </c>
      <c r="U574">
        <v>57.29</v>
      </c>
      <c r="V574" t="b">
        <v>1</v>
      </c>
      <c r="W574" t="s">
        <v>31</v>
      </c>
      <c r="AE574" t="str">
        <f t="shared" si="56"/>
        <v>Yes</v>
      </c>
      <c r="AF574" t="str">
        <f t="shared" si="57"/>
        <v>High</v>
      </c>
      <c r="AG574" t="str">
        <f t="shared" si="58"/>
        <v>No</v>
      </c>
      <c r="AH574" t="str">
        <f t="shared" si="59"/>
        <v>Unknown</v>
      </c>
      <c r="AJ574" t="str">
        <f t="shared" si="60"/>
        <v>Moderate Trust</v>
      </c>
      <c r="AL574">
        <f t="shared" si="61"/>
        <v>57.3</v>
      </c>
      <c r="AM574" t="str">
        <f t="shared" si="62"/>
        <v>High School</v>
      </c>
    </row>
    <row r="575" spans="1:39" x14ac:dyDescent="0.25">
      <c r="A575" t="s">
        <v>68</v>
      </c>
      <c r="B575" t="s">
        <v>66</v>
      </c>
      <c r="C575">
        <v>79.98</v>
      </c>
      <c r="D575">
        <v>342</v>
      </c>
      <c r="E575" t="b">
        <v>1</v>
      </c>
      <c r="F575" t="b">
        <v>1</v>
      </c>
      <c r="G575" t="b">
        <v>1</v>
      </c>
      <c r="H575" t="s">
        <v>34</v>
      </c>
      <c r="I575" t="s">
        <v>63</v>
      </c>
      <c r="J575" t="s">
        <v>27</v>
      </c>
      <c r="K575" t="s">
        <v>37</v>
      </c>
      <c r="L575" t="s">
        <v>38</v>
      </c>
      <c r="M575" t="s">
        <v>28</v>
      </c>
      <c r="N575" t="s">
        <v>28</v>
      </c>
      <c r="P575" t="b">
        <v>1</v>
      </c>
      <c r="Q575">
        <v>10</v>
      </c>
      <c r="R575" t="b">
        <v>0</v>
      </c>
      <c r="T575">
        <v>0</v>
      </c>
      <c r="U575">
        <v>59.5</v>
      </c>
      <c r="V575" t="b">
        <v>0</v>
      </c>
      <c r="W575" t="s">
        <v>58</v>
      </c>
      <c r="AE575" t="str">
        <f t="shared" si="56"/>
        <v>Yes</v>
      </c>
      <c r="AF575" t="str">
        <f t="shared" si="57"/>
        <v>Low</v>
      </c>
      <c r="AG575" t="str">
        <f t="shared" si="58"/>
        <v>No</v>
      </c>
      <c r="AH575" t="str">
        <f t="shared" si="59"/>
        <v>Unknown</v>
      </c>
      <c r="AJ575" t="str">
        <f t="shared" si="60"/>
        <v>High Trust</v>
      </c>
      <c r="AL575">
        <f t="shared" si="61"/>
        <v>59.5</v>
      </c>
      <c r="AM575" t="str">
        <f t="shared" si="62"/>
        <v>Bachelors</v>
      </c>
    </row>
    <row r="576" spans="1:39" x14ac:dyDescent="0.25">
      <c r="A576" t="s">
        <v>56</v>
      </c>
      <c r="B576" t="s">
        <v>70</v>
      </c>
      <c r="C576">
        <v>81.59</v>
      </c>
      <c r="D576">
        <v>337</v>
      </c>
      <c r="E576" t="b">
        <v>0</v>
      </c>
      <c r="F576" t="b">
        <v>0</v>
      </c>
      <c r="G576" t="b">
        <v>1</v>
      </c>
      <c r="H576" t="s">
        <v>53</v>
      </c>
      <c r="I576" t="s">
        <v>67</v>
      </c>
      <c r="J576" t="s">
        <v>45</v>
      </c>
      <c r="K576" t="s">
        <v>46</v>
      </c>
      <c r="L576" t="s">
        <v>38</v>
      </c>
      <c r="M576" t="s">
        <v>28</v>
      </c>
      <c r="N576" t="s">
        <v>46</v>
      </c>
      <c r="O576" t="b">
        <v>0</v>
      </c>
      <c r="P576" t="b">
        <v>1</v>
      </c>
      <c r="Q576">
        <v>8.6</v>
      </c>
      <c r="R576" t="b">
        <v>0</v>
      </c>
      <c r="T576">
        <v>0</v>
      </c>
      <c r="U576">
        <v>78.37</v>
      </c>
      <c r="V576" t="b">
        <v>1</v>
      </c>
      <c r="W576" t="s">
        <v>58</v>
      </c>
      <c r="AE576" t="str">
        <f t="shared" si="56"/>
        <v>No</v>
      </c>
      <c r="AF576" t="str">
        <f t="shared" si="57"/>
        <v>Medium</v>
      </c>
      <c r="AG576" t="str">
        <f t="shared" si="58"/>
        <v>No</v>
      </c>
      <c r="AH576" t="str">
        <f t="shared" si="59"/>
        <v>Unknown</v>
      </c>
      <c r="AJ576" t="str">
        <f t="shared" si="60"/>
        <v>High Trust</v>
      </c>
      <c r="AL576">
        <f t="shared" si="61"/>
        <v>78.400000000000006</v>
      </c>
      <c r="AM576" t="str">
        <f t="shared" si="62"/>
        <v>High School</v>
      </c>
    </row>
    <row r="577" spans="1:39" x14ac:dyDescent="0.25">
      <c r="A577" t="s">
        <v>56</v>
      </c>
      <c r="B577" t="s">
        <v>70</v>
      </c>
      <c r="C577">
        <v>90.34</v>
      </c>
      <c r="D577">
        <v>301</v>
      </c>
      <c r="E577" t="b">
        <v>0</v>
      </c>
      <c r="F577" t="b">
        <v>1</v>
      </c>
      <c r="G577" t="b">
        <v>0</v>
      </c>
      <c r="H577" t="s">
        <v>34</v>
      </c>
      <c r="I577" t="s">
        <v>44</v>
      </c>
      <c r="J577" t="s">
        <v>45</v>
      </c>
      <c r="K577" t="s">
        <v>28</v>
      </c>
      <c r="L577" t="s">
        <v>38</v>
      </c>
      <c r="M577" t="s">
        <v>47</v>
      </c>
      <c r="N577" t="s">
        <v>28</v>
      </c>
      <c r="O577" t="b">
        <v>1</v>
      </c>
      <c r="P577" t="b">
        <v>1</v>
      </c>
      <c r="Q577">
        <v>10</v>
      </c>
      <c r="R577" t="b">
        <v>0</v>
      </c>
      <c r="T577">
        <v>0</v>
      </c>
      <c r="U577">
        <v>98.94</v>
      </c>
      <c r="V577" t="b">
        <v>1</v>
      </c>
      <c r="W577" t="s">
        <v>58</v>
      </c>
      <c r="AE577" t="str">
        <f t="shared" si="56"/>
        <v>Yes</v>
      </c>
      <c r="AF577" t="str">
        <f t="shared" si="57"/>
        <v>Low</v>
      </c>
      <c r="AG577" t="str">
        <f t="shared" si="58"/>
        <v>Yes</v>
      </c>
      <c r="AH577" t="str">
        <f t="shared" si="59"/>
        <v>Unknown</v>
      </c>
      <c r="AJ577" t="str">
        <f t="shared" si="60"/>
        <v>High Trust</v>
      </c>
      <c r="AL577">
        <f t="shared" si="61"/>
        <v>98.9</v>
      </c>
      <c r="AM577" t="str">
        <f t="shared" si="62"/>
        <v>High School</v>
      </c>
    </row>
    <row r="578" spans="1:39" x14ac:dyDescent="0.25">
      <c r="A578" t="s">
        <v>32</v>
      </c>
      <c r="B578" t="s">
        <v>70</v>
      </c>
      <c r="C578">
        <v>80.63</v>
      </c>
      <c r="D578">
        <v>639</v>
      </c>
      <c r="E578" t="b">
        <v>1</v>
      </c>
      <c r="F578" t="b">
        <v>1</v>
      </c>
      <c r="G578" t="b">
        <v>0</v>
      </c>
      <c r="H578" t="s">
        <v>34</v>
      </c>
      <c r="I578" t="s">
        <v>57</v>
      </c>
      <c r="J578" t="s">
        <v>27</v>
      </c>
      <c r="K578" t="s">
        <v>28</v>
      </c>
      <c r="L578" t="s">
        <v>29</v>
      </c>
      <c r="M578" t="s">
        <v>47</v>
      </c>
      <c r="N578" t="s">
        <v>28</v>
      </c>
      <c r="P578" t="b">
        <v>0</v>
      </c>
      <c r="Q578">
        <v>8.3000000000000007</v>
      </c>
      <c r="R578" t="b">
        <v>1</v>
      </c>
      <c r="S578" t="s">
        <v>65</v>
      </c>
      <c r="T578">
        <v>14.6</v>
      </c>
      <c r="U578">
        <v>81.36</v>
      </c>
      <c r="V578" t="b">
        <v>1</v>
      </c>
      <c r="W578" t="s">
        <v>31</v>
      </c>
      <c r="AE578" t="str">
        <f t="shared" si="56"/>
        <v>Yes</v>
      </c>
      <c r="AF578" t="str">
        <f t="shared" si="57"/>
        <v>Low</v>
      </c>
      <c r="AG578" t="str">
        <f t="shared" si="58"/>
        <v>No</v>
      </c>
      <c r="AH578" t="str">
        <f t="shared" si="59"/>
        <v>Cross-referenced Multiple AIs</v>
      </c>
      <c r="AJ578" t="str">
        <f t="shared" si="60"/>
        <v>High Trust</v>
      </c>
      <c r="AL578">
        <f t="shared" si="61"/>
        <v>81.400000000000006</v>
      </c>
      <c r="AM578" t="str">
        <f t="shared" si="62"/>
        <v>Bachelors</v>
      </c>
    </row>
    <row r="579" spans="1:39" x14ac:dyDescent="0.25">
      <c r="A579" t="s">
        <v>74</v>
      </c>
      <c r="B579" t="s">
        <v>60</v>
      </c>
      <c r="C579">
        <v>43.78</v>
      </c>
      <c r="D579">
        <v>231</v>
      </c>
      <c r="E579" t="b">
        <v>1</v>
      </c>
      <c r="F579" t="b">
        <v>0</v>
      </c>
      <c r="G579" t="b">
        <v>0</v>
      </c>
      <c r="H579" t="s">
        <v>43</v>
      </c>
      <c r="I579" t="s">
        <v>63</v>
      </c>
      <c r="J579" t="s">
        <v>50</v>
      </c>
      <c r="K579" t="s">
        <v>39</v>
      </c>
      <c r="L579" t="s">
        <v>37</v>
      </c>
      <c r="M579" t="s">
        <v>47</v>
      </c>
      <c r="N579" t="s">
        <v>28</v>
      </c>
      <c r="O579" t="b">
        <v>1</v>
      </c>
      <c r="P579" t="b">
        <v>1</v>
      </c>
      <c r="Q579">
        <v>6.3</v>
      </c>
      <c r="R579" t="b">
        <v>1</v>
      </c>
      <c r="S579" t="s">
        <v>75</v>
      </c>
      <c r="T579">
        <v>40.299999999999997</v>
      </c>
      <c r="U579">
        <v>46.21</v>
      </c>
      <c r="V579" t="b">
        <v>1</v>
      </c>
      <c r="W579" t="s">
        <v>41</v>
      </c>
      <c r="AE579" t="str">
        <f t="shared" ref="AE579:AE642" si="63">IF(F579=TRUE,"Yes","No")</f>
        <v>No</v>
      </c>
      <c r="AF579" t="str">
        <f t="shared" ref="AF579:AF642" si="64">IF(ISBLANK(N579),"Unknown",N579)</f>
        <v>Low</v>
      </c>
      <c r="AG579" t="str">
        <f t="shared" ref="AG579:AG642" si="65">IF(O579=TRUE,"Yes","No")</f>
        <v>Yes</v>
      </c>
      <c r="AH579" t="str">
        <f t="shared" ref="AH579:AH642" si="66">IF(ISBLANK(S579),"Unknown",S579)</f>
        <v>Asked Colleague</v>
      </c>
      <c r="AJ579" t="str">
        <f t="shared" ref="AJ579:AJ642" si="67">IF(Q579&gt;=8,"High Trust",
IF(Q580&gt;=5,"Moderate Trust","Low Trust"))</f>
        <v>Moderate Trust</v>
      </c>
      <c r="AL579">
        <f t="shared" ref="AL579:AL642" si="68">ROUND(U579,1)</f>
        <v>46.2</v>
      </c>
      <c r="AM579" t="str">
        <f t="shared" ref="AM579:AM642" si="69">TRIM(J579)</f>
        <v>Professional</v>
      </c>
    </row>
    <row r="580" spans="1:39" x14ac:dyDescent="0.25">
      <c r="A580" t="s">
        <v>68</v>
      </c>
      <c r="B580" t="s">
        <v>62</v>
      </c>
      <c r="C580">
        <v>68.39</v>
      </c>
      <c r="D580">
        <v>749</v>
      </c>
      <c r="E580" t="b">
        <v>0</v>
      </c>
      <c r="F580" t="b">
        <v>1</v>
      </c>
      <c r="G580" t="b">
        <v>1</v>
      </c>
      <c r="H580" t="s">
        <v>25</v>
      </c>
      <c r="I580" t="s">
        <v>67</v>
      </c>
      <c r="J580" t="s">
        <v>45</v>
      </c>
      <c r="K580" t="s">
        <v>28</v>
      </c>
      <c r="L580" t="s">
        <v>51</v>
      </c>
      <c r="M580" t="s">
        <v>46</v>
      </c>
      <c r="N580" t="s">
        <v>28</v>
      </c>
      <c r="O580" t="b">
        <v>1</v>
      </c>
      <c r="P580" t="b">
        <v>1</v>
      </c>
      <c r="Q580">
        <v>8.5</v>
      </c>
      <c r="R580" t="b">
        <v>0</v>
      </c>
      <c r="T580">
        <v>0</v>
      </c>
      <c r="U580">
        <v>79.58</v>
      </c>
      <c r="V580" t="b">
        <v>1</v>
      </c>
      <c r="W580" t="s">
        <v>58</v>
      </c>
      <c r="AE580" t="str">
        <f t="shared" si="63"/>
        <v>Yes</v>
      </c>
      <c r="AF580" t="str">
        <f t="shared" si="64"/>
        <v>Low</v>
      </c>
      <c r="AG580" t="str">
        <f t="shared" si="65"/>
        <v>Yes</v>
      </c>
      <c r="AH580" t="str">
        <f t="shared" si="66"/>
        <v>Unknown</v>
      </c>
      <c r="AJ580" t="str">
        <f t="shared" si="67"/>
        <v>High Trust</v>
      </c>
      <c r="AL580">
        <f t="shared" si="68"/>
        <v>79.599999999999994</v>
      </c>
      <c r="AM580" t="str">
        <f t="shared" si="69"/>
        <v>High School</v>
      </c>
    </row>
    <row r="581" spans="1:39" x14ac:dyDescent="0.25">
      <c r="A581" t="s">
        <v>32</v>
      </c>
      <c r="B581" t="s">
        <v>33</v>
      </c>
      <c r="C581">
        <v>79.84</v>
      </c>
      <c r="D581">
        <v>539</v>
      </c>
      <c r="E581" t="b">
        <v>0</v>
      </c>
      <c r="F581" t="b">
        <v>1</v>
      </c>
      <c r="G581" t="b">
        <v>0</v>
      </c>
      <c r="H581" t="s">
        <v>53</v>
      </c>
      <c r="I581" t="s">
        <v>44</v>
      </c>
      <c r="J581" t="s">
        <v>36</v>
      </c>
      <c r="K581" t="s">
        <v>46</v>
      </c>
      <c r="L581" t="s">
        <v>69</v>
      </c>
      <c r="M581" t="s">
        <v>39</v>
      </c>
      <c r="N581" t="s">
        <v>28</v>
      </c>
      <c r="P581" t="b">
        <v>0</v>
      </c>
      <c r="Q581">
        <v>8.6</v>
      </c>
      <c r="R581" t="b">
        <v>0</v>
      </c>
      <c r="T581">
        <v>0</v>
      </c>
      <c r="U581">
        <v>72.56</v>
      </c>
      <c r="V581" t="b">
        <v>1</v>
      </c>
      <c r="W581" t="s">
        <v>58</v>
      </c>
      <c r="AE581" t="str">
        <f t="shared" si="63"/>
        <v>Yes</v>
      </c>
      <c r="AF581" t="str">
        <f t="shared" si="64"/>
        <v>Low</v>
      </c>
      <c r="AG581" t="str">
        <f t="shared" si="65"/>
        <v>No</v>
      </c>
      <c r="AH581" t="str">
        <f t="shared" si="66"/>
        <v>Unknown</v>
      </c>
      <c r="AJ581" t="str">
        <f t="shared" si="67"/>
        <v>High Trust</v>
      </c>
      <c r="AL581">
        <f t="shared" si="68"/>
        <v>72.599999999999994</v>
      </c>
      <c r="AM581" t="str">
        <f t="shared" si="69"/>
        <v>PhD</v>
      </c>
    </row>
    <row r="582" spans="1:39" x14ac:dyDescent="0.25">
      <c r="A582" t="s">
        <v>56</v>
      </c>
      <c r="B582" t="s">
        <v>76</v>
      </c>
      <c r="C582">
        <v>77.349999999999994</v>
      </c>
      <c r="D582">
        <v>119</v>
      </c>
      <c r="E582" t="b">
        <v>0</v>
      </c>
      <c r="F582" t="b">
        <v>1</v>
      </c>
      <c r="G582" t="b">
        <v>1</v>
      </c>
      <c r="H582" t="s">
        <v>25</v>
      </c>
      <c r="I582" t="s">
        <v>44</v>
      </c>
      <c r="J582" t="s">
        <v>36</v>
      </c>
      <c r="K582" t="s">
        <v>28</v>
      </c>
      <c r="L582" t="s">
        <v>38</v>
      </c>
      <c r="M582" t="s">
        <v>46</v>
      </c>
      <c r="N582" t="s">
        <v>28</v>
      </c>
      <c r="O582" t="b">
        <v>0</v>
      </c>
      <c r="P582" t="b">
        <v>0</v>
      </c>
      <c r="Q582">
        <v>8</v>
      </c>
      <c r="R582" t="b">
        <v>1</v>
      </c>
      <c r="S582" t="s">
        <v>55</v>
      </c>
      <c r="T582">
        <v>32.1</v>
      </c>
      <c r="U582">
        <v>62.63</v>
      </c>
      <c r="V582" t="b">
        <v>1</v>
      </c>
      <c r="W582" t="s">
        <v>31</v>
      </c>
      <c r="AE582" t="str">
        <f t="shared" si="63"/>
        <v>Yes</v>
      </c>
      <c r="AF582" t="str">
        <f t="shared" si="64"/>
        <v>Low</v>
      </c>
      <c r="AG582" t="str">
        <f t="shared" si="65"/>
        <v>No</v>
      </c>
      <c r="AH582" t="str">
        <f t="shared" si="66"/>
        <v>Academic Paper</v>
      </c>
      <c r="AJ582" t="str">
        <f t="shared" si="67"/>
        <v>High Trust</v>
      </c>
      <c r="AL582">
        <f t="shared" si="68"/>
        <v>62.6</v>
      </c>
      <c r="AM582" t="str">
        <f t="shared" si="69"/>
        <v>PhD</v>
      </c>
    </row>
    <row r="583" spans="1:39" x14ac:dyDescent="0.25">
      <c r="A583" t="s">
        <v>68</v>
      </c>
      <c r="B583" t="s">
        <v>33</v>
      </c>
      <c r="C583">
        <v>83.24</v>
      </c>
      <c r="D583">
        <v>380</v>
      </c>
      <c r="E583" t="b">
        <v>0</v>
      </c>
      <c r="F583" t="b">
        <v>1</v>
      </c>
      <c r="G583" t="b">
        <v>0</v>
      </c>
      <c r="H583" t="s">
        <v>25</v>
      </c>
      <c r="I583" t="s">
        <v>26</v>
      </c>
      <c r="J583" t="s">
        <v>36</v>
      </c>
      <c r="K583" t="s">
        <v>37</v>
      </c>
      <c r="L583" t="s">
        <v>69</v>
      </c>
      <c r="M583" t="s">
        <v>47</v>
      </c>
      <c r="N583" t="s">
        <v>28</v>
      </c>
      <c r="O583" t="b">
        <v>0</v>
      </c>
      <c r="P583" t="b">
        <v>0</v>
      </c>
      <c r="Q583">
        <v>5.7</v>
      </c>
      <c r="R583" t="b">
        <v>1</v>
      </c>
      <c r="S583" t="s">
        <v>48</v>
      </c>
      <c r="T583">
        <v>22.4</v>
      </c>
      <c r="U583">
        <v>79.5</v>
      </c>
      <c r="V583" t="b">
        <v>0</v>
      </c>
      <c r="W583" t="s">
        <v>41</v>
      </c>
      <c r="AE583" t="str">
        <f t="shared" si="63"/>
        <v>Yes</v>
      </c>
      <c r="AF583" t="str">
        <f t="shared" si="64"/>
        <v>Low</v>
      </c>
      <c r="AG583" t="str">
        <f t="shared" si="65"/>
        <v>No</v>
      </c>
      <c r="AH583" t="str">
        <f t="shared" si="66"/>
        <v>Consulted Documentation</v>
      </c>
      <c r="AJ583" t="str">
        <f t="shared" si="67"/>
        <v>Moderate Trust</v>
      </c>
      <c r="AL583">
        <f t="shared" si="68"/>
        <v>79.5</v>
      </c>
      <c r="AM583" t="str">
        <f t="shared" si="69"/>
        <v>PhD</v>
      </c>
    </row>
    <row r="584" spans="1:39" x14ac:dyDescent="0.25">
      <c r="A584" t="s">
        <v>56</v>
      </c>
      <c r="B584" t="s">
        <v>60</v>
      </c>
      <c r="C584">
        <v>47.15</v>
      </c>
      <c r="D584">
        <v>128</v>
      </c>
      <c r="E584" t="b">
        <v>1</v>
      </c>
      <c r="F584" t="b">
        <v>0</v>
      </c>
      <c r="G584" t="b">
        <v>0</v>
      </c>
      <c r="H584" t="s">
        <v>34</v>
      </c>
      <c r="I584" t="s">
        <v>44</v>
      </c>
      <c r="J584" t="s">
        <v>50</v>
      </c>
      <c r="K584" t="s">
        <v>46</v>
      </c>
      <c r="L584" t="s">
        <v>51</v>
      </c>
      <c r="M584" t="s">
        <v>39</v>
      </c>
      <c r="N584" t="s">
        <v>39</v>
      </c>
      <c r="P584" t="b">
        <v>1</v>
      </c>
      <c r="Q584">
        <v>5.7</v>
      </c>
      <c r="R584" t="b">
        <v>1</v>
      </c>
      <c r="S584" t="s">
        <v>40</v>
      </c>
      <c r="T584">
        <v>18.2</v>
      </c>
      <c r="U584">
        <v>56.05</v>
      </c>
      <c r="V584" t="b">
        <v>1</v>
      </c>
      <c r="W584" t="s">
        <v>41</v>
      </c>
      <c r="AE584" t="str">
        <f t="shared" si="63"/>
        <v>No</v>
      </c>
      <c r="AF584" t="str">
        <f t="shared" si="64"/>
        <v>High</v>
      </c>
      <c r="AG584" t="str">
        <f t="shared" si="65"/>
        <v>No</v>
      </c>
      <c r="AH584" t="str">
        <f t="shared" si="66"/>
        <v>Asked Expert</v>
      </c>
      <c r="AJ584" t="str">
        <f t="shared" si="67"/>
        <v>Moderate Trust</v>
      </c>
      <c r="AL584">
        <f t="shared" si="68"/>
        <v>56.1</v>
      </c>
      <c r="AM584" t="str">
        <f t="shared" si="69"/>
        <v>Professional</v>
      </c>
    </row>
    <row r="585" spans="1:39" x14ac:dyDescent="0.25">
      <c r="A585" t="s">
        <v>61</v>
      </c>
      <c r="B585" t="s">
        <v>71</v>
      </c>
      <c r="C585">
        <v>57.76</v>
      </c>
      <c r="D585">
        <v>435</v>
      </c>
      <c r="E585" t="b">
        <v>0</v>
      </c>
      <c r="F585" t="b">
        <v>0</v>
      </c>
      <c r="G585" t="b">
        <v>1</v>
      </c>
      <c r="H585" t="s">
        <v>43</v>
      </c>
      <c r="I585" t="s">
        <v>35</v>
      </c>
      <c r="J585" t="s">
        <v>45</v>
      </c>
      <c r="K585" t="s">
        <v>37</v>
      </c>
      <c r="L585" t="s">
        <v>29</v>
      </c>
      <c r="M585" t="s">
        <v>46</v>
      </c>
      <c r="N585" t="s">
        <v>39</v>
      </c>
      <c r="O585" t="b">
        <v>1</v>
      </c>
      <c r="P585" t="b">
        <v>1</v>
      </c>
      <c r="Q585">
        <v>7.5</v>
      </c>
      <c r="R585" t="b">
        <v>0</v>
      </c>
      <c r="T585">
        <v>0</v>
      </c>
      <c r="U585">
        <v>56.14</v>
      </c>
      <c r="V585" t="b">
        <v>1</v>
      </c>
      <c r="W585" t="s">
        <v>31</v>
      </c>
      <c r="AE585" t="str">
        <f t="shared" si="63"/>
        <v>No</v>
      </c>
      <c r="AF585" t="str">
        <f t="shared" si="64"/>
        <v>High</v>
      </c>
      <c r="AG585" t="str">
        <f t="shared" si="65"/>
        <v>Yes</v>
      </c>
      <c r="AH585" t="str">
        <f t="shared" si="66"/>
        <v>Unknown</v>
      </c>
      <c r="AJ585" t="str">
        <f t="shared" si="67"/>
        <v>Moderate Trust</v>
      </c>
      <c r="AL585">
        <f t="shared" si="68"/>
        <v>56.1</v>
      </c>
      <c r="AM585" t="str">
        <f t="shared" si="69"/>
        <v>High School</v>
      </c>
    </row>
    <row r="586" spans="1:39" x14ac:dyDescent="0.25">
      <c r="A586" t="s">
        <v>68</v>
      </c>
      <c r="B586" t="s">
        <v>62</v>
      </c>
      <c r="C586">
        <v>74.84</v>
      </c>
      <c r="D586">
        <v>301</v>
      </c>
      <c r="E586" t="b">
        <v>0</v>
      </c>
      <c r="F586" t="b">
        <v>1</v>
      </c>
      <c r="G586" t="b">
        <v>1</v>
      </c>
      <c r="H586" t="s">
        <v>25</v>
      </c>
      <c r="I586" t="s">
        <v>35</v>
      </c>
      <c r="J586" t="s">
        <v>45</v>
      </c>
      <c r="K586" t="s">
        <v>28</v>
      </c>
      <c r="L586" t="s">
        <v>29</v>
      </c>
      <c r="M586" t="s">
        <v>39</v>
      </c>
      <c r="N586" t="s">
        <v>46</v>
      </c>
      <c r="O586" t="b">
        <v>0</v>
      </c>
      <c r="P586" t="b">
        <v>1</v>
      </c>
      <c r="Q586">
        <v>5.6</v>
      </c>
      <c r="R586" t="b">
        <v>1</v>
      </c>
      <c r="S586" t="s">
        <v>40</v>
      </c>
      <c r="T586">
        <v>17.7</v>
      </c>
      <c r="U586">
        <v>71.53</v>
      </c>
      <c r="V586" t="b">
        <v>1</v>
      </c>
      <c r="W586" t="s">
        <v>41</v>
      </c>
      <c r="AE586" t="str">
        <f t="shared" si="63"/>
        <v>Yes</v>
      </c>
      <c r="AF586" t="str">
        <f t="shared" si="64"/>
        <v>Medium</v>
      </c>
      <c r="AG586" t="str">
        <f t="shared" si="65"/>
        <v>No</v>
      </c>
      <c r="AH586" t="str">
        <f t="shared" si="66"/>
        <v>Asked Expert</v>
      </c>
      <c r="AJ586" t="str">
        <f t="shared" si="67"/>
        <v>Moderate Trust</v>
      </c>
      <c r="AL586">
        <f t="shared" si="68"/>
        <v>71.5</v>
      </c>
      <c r="AM586" t="str">
        <f t="shared" si="69"/>
        <v>High School</v>
      </c>
    </row>
    <row r="587" spans="1:39" x14ac:dyDescent="0.25">
      <c r="A587" t="s">
        <v>61</v>
      </c>
      <c r="B587" t="s">
        <v>70</v>
      </c>
      <c r="C587">
        <v>88.1</v>
      </c>
      <c r="D587">
        <v>135</v>
      </c>
      <c r="E587" t="b">
        <v>1</v>
      </c>
      <c r="F587" t="b">
        <v>1</v>
      </c>
      <c r="G587" t="b">
        <v>0</v>
      </c>
      <c r="H587" t="s">
        <v>34</v>
      </c>
      <c r="I587" t="s">
        <v>67</v>
      </c>
      <c r="J587" t="s">
        <v>27</v>
      </c>
      <c r="K587" t="s">
        <v>37</v>
      </c>
      <c r="L587" t="s">
        <v>38</v>
      </c>
      <c r="M587" t="s">
        <v>39</v>
      </c>
      <c r="O587" t="b">
        <v>1</v>
      </c>
      <c r="P587" t="b">
        <v>1</v>
      </c>
      <c r="Q587">
        <v>10</v>
      </c>
      <c r="R587" t="b">
        <v>0</v>
      </c>
      <c r="T587">
        <v>0</v>
      </c>
      <c r="U587">
        <v>97.81</v>
      </c>
      <c r="V587" t="b">
        <v>1</v>
      </c>
      <c r="W587" t="s">
        <v>58</v>
      </c>
      <c r="AE587" t="str">
        <f t="shared" si="63"/>
        <v>Yes</v>
      </c>
      <c r="AF587" t="str">
        <f t="shared" si="64"/>
        <v>Unknown</v>
      </c>
      <c r="AG587" t="str">
        <f t="shared" si="65"/>
        <v>Yes</v>
      </c>
      <c r="AH587" t="str">
        <f t="shared" si="66"/>
        <v>Unknown</v>
      </c>
      <c r="AJ587" t="str">
        <f t="shared" si="67"/>
        <v>High Trust</v>
      </c>
      <c r="AL587">
        <f t="shared" si="68"/>
        <v>97.8</v>
      </c>
      <c r="AM587" t="str">
        <f t="shared" si="69"/>
        <v>Bachelors</v>
      </c>
    </row>
    <row r="588" spans="1:39" x14ac:dyDescent="0.25">
      <c r="A588" t="s">
        <v>68</v>
      </c>
      <c r="B588" t="s">
        <v>24</v>
      </c>
      <c r="C588">
        <v>92.99</v>
      </c>
      <c r="D588">
        <v>394</v>
      </c>
      <c r="E588" t="b">
        <v>0</v>
      </c>
      <c r="F588" t="b">
        <v>0</v>
      </c>
      <c r="G588" t="b">
        <v>0</v>
      </c>
      <c r="H588" t="s">
        <v>53</v>
      </c>
      <c r="I588" t="s">
        <v>26</v>
      </c>
      <c r="J588" t="s">
        <v>54</v>
      </c>
      <c r="K588" t="s">
        <v>37</v>
      </c>
      <c r="L588" t="s">
        <v>29</v>
      </c>
      <c r="M588" t="s">
        <v>46</v>
      </c>
      <c r="O588" t="b">
        <v>0</v>
      </c>
      <c r="P588" t="b">
        <v>1</v>
      </c>
      <c r="Q588">
        <v>8.6999999999999993</v>
      </c>
      <c r="R588" t="b">
        <v>1</v>
      </c>
      <c r="S588" t="s">
        <v>65</v>
      </c>
      <c r="T588">
        <v>13.8</v>
      </c>
      <c r="U588">
        <v>95.21</v>
      </c>
      <c r="V588" t="b">
        <v>1</v>
      </c>
      <c r="W588" t="s">
        <v>31</v>
      </c>
      <c r="AE588" t="str">
        <f t="shared" si="63"/>
        <v>No</v>
      </c>
      <c r="AF588" t="str">
        <f t="shared" si="64"/>
        <v>Unknown</v>
      </c>
      <c r="AG588" t="str">
        <f t="shared" si="65"/>
        <v>No</v>
      </c>
      <c r="AH588" t="str">
        <f t="shared" si="66"/>
        <v>Cross-referenced Multiple AIs</v>
      </c>
      <c r="AJ588" t="str">
        <f t="shared" si="67"/>
        <v>High Trust</v>
      </c>
      <c r="AL588">
        <f t="shared" si="68"/>
        <v>95.2</v>
      </c>
      <c r="AM588" t="str">
        <f t="shared" si="69"/>
        <v>Masters</v>
      </c>
    </row>
    <row r="589" spans="1:39" x14ac:dyDescent="0.25">
      <c r="A589" t="s">
        <v>74</v>
      </c>
      <c r="B589" t="s">
        <v>62</v>
      </c>
      <c r="C589">
        <v>68.319999999999993</v>
      </c>
      <c r="D589">
        <v>641</v>
      </c>
      <c r="E589" t="b">
        <v>1</v>
      </c>
      <c r="F589" t="b">
        <v>1</v>
      </c>
      <c r="G589" t="b">
        <v>0</v>
      </c>
      <c r="H589" t="s">
        <v>25</v>
      </c>
      <c r="I589" t="s">
        <v>57</v>
      </c>
      <c r="J589" t="s">
        <v>54</v>
      </c>
      <c r="K589" t="s">
        <v>39</v>
      </c>
      <c r="L589" t="s">
        <v>37</v>
      </c>
      <c r="M589" t="s">
        <v>39</v>
      </c>
      <c r="N589" t="s">
        <v>39</v>
      </c>
      <c r="P589" t="b">
        <v>1</v>
      </c>
      <c r="Q589">
        <v>6.8</v>
      </c>
      <c r="R589" t="b">
        <v>1</v>
      </c>
      <c r="S589" t="s">
        <v>65</v>
      </c>
      <c r="T589">
        <v>22.9</v>
      </c>
      <c r="U589">
        <v>71.34</v>
      </c>
      <c r="V589" t="b">
        <v>1</v>
      </c>
      <c r="W589" t="s">
        <v>41</v>
      </c>
      <c r="AE589" t="str">
        <f t="shared" si="63"/>
        <v>Yes</v>
      </c>
      <c r="AF589" t="str">
        <f t="shared" si="64"/>
        <v>High</v>
      </c>
      <c r="AG589" t="str">
        <f t="shared" si="65"/>
        <v>No</v>
      </c>
      <c r="AH589" t="str">
        <f t="shared" si="66"/>
        <v>Cross-referenced Multiple AIs</v>
      </c>
      <c r="AJ589" t="str">
        <f t="shared" si="67"/>
        <v>Moderate Trust</v>
      </c>
      <c r="AL589">
        <f t="shared" si="68"/>
        <v>71.3</v>
      </c>
      <c r="AM589" t="str">
        <f t="shared" si="69"/>
        <v>Masters</v>
      </c>
    </row>
    <row r="590" spans="1:39" x14ac:dyDescent="0.25">
      <c r="A590" t="s">
        <v>23</v>
      </c>
      <c r="B590" t="s">
        <v>59</v>
      </c>
      <c r="C590">
        <v>82.97</v>
      </c>
      <c r="D590">
        <v>235</v>
      </c>
      <c r="E590" t="b">
        <v>1</v>
      </c>
      <c r="F590" t="b">
        <v>0</v>
      </c>
      <c r="G590" t="b">
        <v>1</v>
      </c>
      <c r="H590" t="s">
        <v>53</v>
      </c>
      <c r="I590" t="s">
        <v>67</v>
      </c>
      <c r="J590" t="s">
        <v>27</v>
      </c>
      <c r="K590" t="s">
        <v>37</v>
      </c>
      <c r="L590" t="s">
        <v>69</v>
      </c>
      <c r="M590" t="s">
        <v>28</v>
      </c>
      <c r="N590" t="s">
        <v>46</v>
      </c>
      <c r="O590" t="b">
        <v>0</v>
      </c>
      <c r="P590" t="b">
        <v>1</v>
      </c>
      <c r="Q590">
        <v>9.6999999999999993</v>
      </c>
      <c r="R590" t="b">
        <v>1</v>
      </c>
      <c r="S590" t="s">
        <v>30</v>
      </c>
      <c r="T590">
        <v>16.600000000000001</v>
      </c>
      <c r="U590">
        <v>77.31</v>
      </c>
      <c r="V590" t="b">
        <v>1</v>
      </c>
      <c r="W590" t="s">
        <v>31</v>
      </c>
      <c r="AE590" t="str">
        <f t="shared" si="63"/>
        <v>No</v>
      </c>
      <c r="AF590" t="str">
        <f t="shared" si="64"/>
        <v>Medium</v>
      </c>
      <c r="AG590" t="str">
        <f t="shared" si="65"/>
        <v>No</v>
      </c>
      <c r="AH590" t="str">
        <f t="shared" si="66"/>
        <v>Google Search</v>
      </c>
      <c r="AJ590" t="str">
        <f t="shared" si="67"/>
        <v>High Trust</v>
      </c>
      <c r="AL590">
        <f t="shared" si="68"/>
        <v>77.3</v>
      </c>
      <c r="AM590" t="str">
        <f t="shared" si="69"/>
        <v>Bachelors</v>
      </c>
    </row>
    <row r="591" spans="1:39" x14ac:dyDescent="0.25">
      <c r="A591" t="s">
        <v>56</v>
      </c>
      <c r="B591" t="s">
        <v>71</v>
      </c>
      <c r="C591">
        <v>54.6</v>
      </c>
      <c r="D591">
        <v>763</v>
      </c>
      <c r="E591" t="b">
        <v>1</v>
      </c>
      <c r="F591" t="b">
        <v>1</v>
      </c>
      <c r="G591" t="b">
        <v>0</v>
      </c>
      <c r="H591" t="s">
        <v>53</v>
      </c>
      <c r="I591" t="s">
        <v>44</v>
      </c>
      <c r="J591" t="s">
        <v>27</v>
      </c>
      <c r="K591" t="s">
        <v>28</v>
      </c>
      <c r="L591" t="s">
        <v>37</v>
      </c>
      <c r="M591" t="s">
        <v>46</v>
      </c>
      <c r="N591" t="s">
        <v>46</v>
      </c>
      <c r="O591" t="b">
        <v>0</v>
      </c>
      <c r="P591" t="b">
        <v>0</v>
      </c>
      <c r="Q591">
        <v>6.1</v>
      </c>
      <c r="R591" t="b">
        <v>0</v>
      </c>
      <c r="T591">
        <v>0</v>
      </c>
      <c r="U591">
        <v>42.94</v>
      </c>
      <c r="V591" t="b">
        <v>1</v>
      </c>
      <c r="W591" t="s">
        <v>31</v>
      </c>
      <c r="AE591" t="str">
        <f t="shared" si="63"/>
        <v>Yes</v>
      </c>
      <c r="AF591" t="str">
        <f t="shared" si="64"/>
        <v>Medium</v>
      </c>
      <c r="AG591" t="str">
        <f t="shared" si="65"/>
        <v>No</v>
      </c>
      <c r="AH591" t="str">
        <f t="shared" si="66"/>
        <v>Unknown</v>
      </c>
      <c r="AJ591" t="str">
        <f t="shared" si="67"/>
        <v>Moderate Trust</v>
      </c>
      <c r="AL591">
        <f t="shared" si="68"/>
        <v>42.9</v>
      </c>
      <c r="AM591" t="str">
        <f t="shared" si="69"/>
        <v>Bachelors</v>
      </c>
    </row>
    <row r="592" spans="1:39" x14ac:dyDescent="0.25">
      <c r="A592" t="s">
        <v>23</v>
      </c>
      <c r="B592" t="s">
        <v>60</v>
      </c>
      <c r="C592">
        <v>60.6</v>
      </c>
      <c r="D592">
        <v>728</v>
      </c>
      <c r="E592" t="b">
        <v>0</v>
      </c>
      <c r="F592" t="b">
        <v>0</v>
      </c>
      <c r="G592" t="b">
        <v>1</v>
      </c>
      <c r="H592" t="s">
        <v>25</v>
      </c>
      <c r="I592" t="s">
        <v>57</v>
      </c>
      <c r="J592" t="s">
        <v>45</v>
      </c>
      <c r="K592" t="s">
        <v>46</v>
      </c>
      <c r="L592" t="s">
        <v>69</v>
      </c>
      <c r="M592" t="s">
        <v>46</v>
      </c>
      <c r="P592" t="b">
        <v>1</v>
      </c>
      <c r="Q592">
        <v>7.8</v>
      </c>
      <c r="R592" t="b">
        <v>0</v>
      </c>
      <c r="T592">
        <v>0</v>
      </c>
      <c r="U592">
        <v>53.07</v>
      </c>
      <c r="V592" t="b">
        <v>0</v>
      </c>
      <c r="W592" t="s">
        <v>31</v>
      </c>
      <c r="AE592" t="str">
        <f t="shared" si="63"/>
        <v>No</v>
      </c>
      <c r="AF592" t="str">
        <f t="shared" si="64"/>
        <v>Unknown</v>
      </c>
      <c r="AG592" t="str">
        <f t="shared" si="65"/>
        <v>No</v>
      </c>
      <c r="AH592" t="str">
        <f t="shared" si="66"/>
        <v>Unknown</v>
      </c>
      <c r="AJ592" t="str">
        <f t="shared" si="67"/>
        <v>Moderate Trust</v>
      </c>
      <c r="AL592">
        <f t="shared" si="68"/>
        <v>53.1</v>
      </c>
      <c r="AM592" t="str">
        <f t="shared" si="69"/>
        <v>High School</v>
      </c>
    </row>
    <row r="593" spans="1:39" x14ac:dyDescent="0.25">
      <c r="A593" t="s">
        <v>61</v>
      </c>
      <c r="B593" t="s">
        <v>24</v>
      </c>
      <c r="C593">
        <v>94.7</v>
      </c>
      <c r="D593">
        <v>154</v>
      </c>
      <c r="E593" t="b">
        <v>0</v>
      </c>
      <c r="F593" t="b">
        <v>1</v>
      </c>
      <c r="G593" t="b">
        <v>0</v>
      </c>
      <c r="H593" t="s">
        <v>25</v>
      </c>
      <c r="I593" t="s">
        <v>67</v>
      </c>
      <c r="J593" t="s">
        <v>36</v>
      </c>
      <c r="K593" t="s">
        <v>46</v>
      </c>
      <c r="L593" t="s">
        <v>51</v>
      </c>
      <c r="M593" t="s">
        <v>39</v>
      </c>
      <c r="N593" t="s">
        <v>39</v>
      </c>
      <c r="P593" t="b">
        <v>0</v>
      </c>
      <c r="Q593">
        <v>9.1999999999999993</v>
      </c>
      <c r="R593" t="b">
        <v>1</v>
      </c>
      <c r="S593" t="s">
        <v>40</v>
      </c>
      <c r="T593">
        <v>3.4</v>
      </c>
      <c r="U593">
        <v>99.72</v>
      </c>
      <c r="V593" t="b">
        <v>1</v>
      </c>
      <c r="W593" t="s">
        <v>31</v>
      </c>
      <c r="AE593" t="str">
        <f t="shared" si="63"/>
        <v>Yes</v>
      </c>
      <c r="AF593" t="str">
        <f t="shared" si="64"/>
        <v>High</v>
      </c>
      <c r="AG593" t="str">
        <f t="shared" si="65"/>
        <v>No</v>
      </c>
      <c r="AH593" t="str">
        <f t="shared" si="66"/>
        <v>Asked Expert</v>
      </c>
      <c r="AJ593" t="str">
        <f t="shared" si="67"/>
        <v>High Trust</v>
      </c>
      <c r="AL593">
        <f t="shared" si="68"/>
        <v>99.7</v>
      </c>
      <c r="AM593" t="str">
        <f t="shared" si="69"/>
        <v>PhD</v>
      </c>
    </row>
    <row r="594" spans="1:39" x14ac:dyDescent="0.25">
      <c r="A594" t="s">
        <v>23</v>
      </c>
      <c r="B594" t="s">
        <v>42</v>
      </c>
      <c r="C594">
        <v>70.55</v>
      </c>
      <c r="D594">
        <v>719</v>
      </c>
      <c r="E594" t="b">
        <v>1</v>
      </c>
      <c r="F594" t="b">
        <v>1</v>
      </c>
      <c r="G594" t="b">
        <v>1</v>
      </c>
      <c r="H594" t="s">
        <v>43</v>
      </c>
      <c r="I594" t="s">
        <v>67</v>
      </c>
      <c r="J594" t="s">
        <v>54</v>
      </c>
      <c r="K594" t="s">
        <v>46</v>
      </c>
      <c r="L594" t="s">
        <v>69</v>
      </c>
      <c r="M594" t="s">
        <v>47</v>
      </c>
      <c r="N594" t="s">
        <v>46</v>
      </c>
      <c r="O594" t="b">
        <v>1</v>
      </c>
      <c r="P594" t="b">
        <v>0</v>
      </c>
      <c r="Q594">
        <v>10</v>
      </c>
      <c r="R594" t="b">
        <v>0</v>
      </c>
      <c r="T594">
        <v>0</v>
      </c>
      <c r="U594">
        <v>73.17</v>
      </c>
      <c r="V594" t="b">
        <v>0</v>
      </c>
      <c r="W594" t="s">
        <v>58</v>
      </c>
      <c r="AE594" t="str">
        <f t="shared" si="63"/>
        <v>Yes</v>
      </c>
      <c r="AF594" t="str">
        <f t="shared" si="64"/>
        <v>Medium</v>
      </c>
      <c r="AG594" t="str">
        <f t="shared" si="65"/>
        <v>Yes</v>
      </c>
      <c r="AH594" t="str">
        <f t="shared" si="66"/>
        <v>Unknown</v>
      </c>
      <c r="AJ594" t="str">
        <f t="shared" si="67"/>
        <v>High Trust</v>
      </c>
      <c r="AL594">
        <f t="shared" si="68"/>
        <v>73.2</v>
      </c>
      <c r="AM594" t="str">
        <f t="shared" si="69"/>
        <v>Masters</v>
      </c>
    </row>
    <row r="595" spans="1:39" x14ac:dyDescent="0.25">
      <c r="A595" t="s">
        <v>68</v>
      </c>
      <c r="B595" t="s">
        <v>66</v>
      </c>
      <c r="C595">
        <v>75.349999999999994</v>
      </c>
      <c r="D595">
        <v>451</v>
      </c>
      <c r="E595" t="b">
        <v>1</v>
      </c>
      <c r="F595" t="b">
        <v>1</v>
      </c>
      <c r="G595" t="b">
        <v>1</v>
      </c>
      <c r="H595" t="s">
        <v>25</v>
      </c>
      <c r="I595" t="s">
        <v>26</v>
      </c>
      <c r="J595" t="s">
        <v>45</v>
      </c>
      <c r="K595" t="s">
        <v>39</v>
      </c>
      <c r="L595" t="s">
        <v>51</v>
      </c>
      <c r="M595" t="s">
        <v>39</v>
      </c>
      <c r="O595" t="b">
        <v>0</v>
      </c>
      <c r="P595" t="b">
        <v>0</v>
      </c>
      <c r="Q595">
        <v>6.3</v>
      </c>
      <c r="R595" t="b">
        <v>1</v>
      </c>
      <c r="S595" t="s">
        <v>55</v>
      </c>
      <c r="T595">
        <v>20.6</v>
      </c>
      <c r="U595">
        <v>64.33</v>
      </c>
      <c r="V595" t="b">
        <v>1</v>
      </c>
      <c r="W595" t="s">
        <v>41</v>
      </c>
      <c r="AE595" t="str">
        <f t="shared" si="63"/>
        <v>Yes</v>
      </c>
      <c r="AF595" t="str">
        <f t="shared" si="64"/>
        <v>Unknown</v>
      </c>
      <c r="AG595" t="str">
        <f t="shared" si="65"/>
        <v>No</v>
      </c>
      <c r="AH595" t="str">
        <f t="shared" si="66"/>
        <v>Academic Paper</v>
      </c>
      <c r="AJ595" t="str">
        <f t="shared" si="67"/>
        <v>Moderate Trust</v>
      </c>
      <c r="AL595">
        <f t="shared" si="68"/>
        <v>64.3</v>
      </c>
      <c r="AM595" t="str">
        <f t="shared" si="69"/>
        <v>High School</v>
      </c>
    </row>
    <row r="596" spans="1:39" x14ac:dyDescent="0.25">
      <c r="A596" t="s">
        <v>32</v>
      </c>
      <c r="B596" t="s">
        <v>42</v>
      </c>
      <c r="C596">
        <v>71.709999999999994</v>
      </c>
      <c r="D596">
        <v>683</v>
      </c>
      <c r="E596" t="b">
        <v>0</v>
      </c>
      <c r="F596" t="b">
        <v>1</v>
      </c>
      <c r="G596" t="b">
        <v>1</v>
      </c>
      <c r="H596" t="s">
        <v>34</v>
      </c>
      <c r="I596" t="s">
        <v>67</v>
      </c>
      <c r="J596" t="s">
        <v>50</v>
      </c>
      <c r="K596" t="s">
        <v>37</v>
      </c>
      <c r="L596" t="s">
        <v>37</v>
      </c>
      <c r="M596" t="s">
        <v>46</v>
      </c>
      <c r="N596" t="s">
        <v>28</v>
      </c>
      <c r="P596" t="b">
        <v>0</v>
      </c>
      <c r="Q596">
        <v>6.8</v>
      </c>
      <c r="R596" t="b">
        <v>0</v>
      </c>
      <c r="T596">
        <v>0</v>
      </c>
      <c r="U596">
        <v>81.83</v>
      </c>
      <c r="V596" t="b">
        <v>1</v>
      </c>
      <c r="W596" t="s">
        <v>31</v>
      </c>
      <c r="AE596" t="str">
        <f t="shared" si="63"/>
        <v>Yes</v>
      </c>
      <c r="AF596" t="str">
        <f t="shared" si="64"/>
        <v>Low</v>
      </c>
      <c r="AG596" t="str">
        <f t="shared" si="65"/>
        <v>No</v>
      </c>
      <c r="AH596" t="str">
        <f t="shared" si="66"/>
        <v>Unknown</v>
      </c>
      <c r="AJ596" t="str">
        <f t="shared" si="67"/>
        <v>Moderate Trust</v>
      </c>
      <c r="AL596">
        <f t="shared" si="68"/>
        <v>81.8</v>
      </c>
      <c r="AM596" t="str">
        <f t="shared" si="69"/>
        <v>Professional</v>
      </c>
    </row>
    <row r="597" spans="1:39" x14ac:dyDescent="0.25">
      <c r="A597" t="s">
        <v>61</v>
      </c>
      <c r="B597" t="s">
        <v>76</v>
      </c>
      <c r="C597">
        <v>70.86</v>
      </c>
      <c r="D597">
        <v>581</v>
      </c>
      <c r="E597" t="b">
        <v>0</v>
      </c>
      <c r="F597" t="b">
        <v>1</v>
      </c>
      <c r="G597" t="b">
        <v>0</v>
      </c>
      <c r="H597" t="s">
        <v>43</v>
      </c>
      <c r="I597" t="s">
        <v>35</v>
      </c>
      <c r="J597" t="s">
        <v>36</v>
      </c>
      <c r="K597" t="s">
        <v>28</v>
      </c>
      <c r="L597" t="s">
        <v>51</v>
      </c>
      <c r="M597" t="s">
        <v>28</v>
      </c>
      <c r="N597" t="s">
        <v>46</v>
      </c>
      <c r="O597" t="b">
        <v>0</v>
      </c>
      <c r="P597" t="b">
        <v>1</v>
      </c>
      <c r="Q597">
        <v>6.4</v>
      </c>
      <c r="R597" t="b">
        <v>1</v>
      </c>
      <c r="S597" t="s">
        <v>52</v>
      </c>
      <c r="T597">
        <v>11.2</v>
      </c>
      <c r="U597">
        <v>72.540000000000006</v>
      </c>
      <c r="V597" t="b">
        <v>1</v>
      </c>
      <c r="W597" t="s">
        <v>41</v>
      </c>
      <c r="AE597" t="str">
        <f t="shared" si="63"/>
        <v>Yes</v>
      </c>
      <c r="AF597" t="str">
        <f t="shared" si="64"/>
        <v>Medium</v>
      </c>
      <c r="AG597" t="str">
        <f t="shared" si="65"/>
        <v>No</v>
      </c>
      <c r="AH597" t="str">
        <f t="shared" si="66"/>
        <v>Checked Official Source</v>
      </c>
      <c r="AJ597" t="str">
        <f t="shared" si="67"/>
        <v>Moderate Trust</v>
      </c>
      <c r="AL597">
        <f t="shared" si="68"/>
        <v>72.5</v>
      </c>
      <c r="AM597" t="str">
        <f t="shared" si="69"/>
        <v>PhD</v>
      </c>
    </row>
    <row r="598" spans="1:39" x14ac:dyDescent="0.25">
      <c r="A598" t="s">
        <v>32</v>
      </c>
      <c r="B598" t="s">
        <v>24</v>
      </c>
      <c r="C598">
        <v>90.19</v>
      </c>
      <c r="D598">
        <v>624</v>
      </c>
      <c r="E598" t="b">
        <v>0</v>
      </c>
      <c r="F598" t="b">
        <v>1</v>
      </c>
      <c r="G598" t="b">
        <v>1</v>
      </c>
      <c r="H598" t="s">
        <v>43</v>
      </c>
      <c r="I598" t="s">
        <v>26</v>
      </c>
      <c r="J598" t="s">
        <v>50</v>
      </c>
      <c r="K598" t="s">
        <v>28</v>
      </c>
      <c r="L598" t="s">
        <v>37</v>
      </c>
      <c r="M598" t="s">
        <v>46</v>
      </c>
      <c r="N598" t="s">
        <v>28</v>
      </c>
      <c r="P598" t="b">
        <v>0</v>
      </c>
      <c r="Q598">
        <v>9</v>
      </c>
      <c r="R598" t="b">
        <v>1</v>
      </c>
      <c r="S598" t="s">
        <v>40</v>
      </c>
      <c r="T598">
        <v>20.3</v>
      </c>
      <c r="U598">
        <v>96.9</v>
      </c>
      <c r="V598" t="b">
        <v>1</v>
      </c>
      <c r="W598" t="s">
        <v>31</v>
      </c>
      <c r="AE598" t="str">
        <f t="shared" si="63"/>
        <v>Yes</v>
      </c>
      <c r="AF598" t="str">
        <f t="shared" si="64"/>
        <v>Low</v>
      </c>
      <c r="AG598" t="str">
        <f t="shared" si="65"/>
        <v>No</v>
      </c>
      <c r="AH598" t="str">
        <f t="shared" si="66"/>
        <v>Asked Expert</v>
      </c>
      <c r="AJ598" t="str">
        <f t="shared" si="67"/>
        <v>High Trust</v>
      </c>
      <c r="AL598">
        <f t="shared" si="68"/>
        <v>96.9</v>
      </c>
      <c r="AM598" t="str">
        <f t="shared" si="69"/>
        <v>Professional</v>
      </c>
    </row>
    <row r="599" spans="1:39" x14ac:dyDescent="0.25">
      <c r="A599" t="s">
        <v>61</v>
      </c>
      <c r="B599" t="s">
        <v>33</v>
      </c>
      <c r="C599">
        <v>77.430000000000007</v>
      </c>
      <c r="D599">
        <v>734</v>
      </c>
      <c r="E599" t="b">
        <v>1</v>
      </c>
      <c r="F599" t="b">
        <v>1</v>
      </c>
      <c r="G599" t="b">
        <v>1</v>
      </c>
      <c r="H599" t="s">
        <v>53</v>
      </c>
      <c r="I599" t="s">
        <v>26</v>
      </c>
      <c r="J599" t="s">
        <v>54</v>
      </c>
      <c r="K599" t="s">
        <v>39</v>
      </c>
      <c r="L599" t="s">
        <v>29</v>
      </c>
      <c r="M599" t="s">
        <v>39</v>
      </c>
      <c r="P599" t="b">
        <v>1</v>
      </c>
      <c r="Q599">
        <v>7.8</v>
      </c>
      <c r="R599" t="b">
        <v>1</v>
      </c>
      <c r="S599" t="s">
        <v>48</v>
      </c>
      <c r="T599">
        <v>2.5</v>
      </c>
      <c r="U599">
        <v>91.09</v>
      </c>
      <c r="V599" t="b">
        <v>1</v>
      </c>
      <c r="W599" t="s">
        <v>41</v>
      </c>
      <c r="AE599" t="str">
        <f t="shared" si="63"/>
        <v>Yes</v>
      </c>
      <c r="AF599" t="str">
        <f t="shared" si="64"/>
        <v>Unknown</v>
      </c>
      <c r="AG599" t="str">
        <f t="shared" si="65"/>
        <v>No</v>
      </c>
      <c r="AH599" t="str">
        <f t="shared" si="66"/>
        <v>Consulted Documentation</v>
      </c>
      <c r="AJ599" t="str">
        <f t="shared" si="67"/>
        <v>Moderate Trust</v>
      </c>
      <c r="AL599">
        <f t="shared" si="68"/>
        <v>91.1</v>
      </c>
      <c r="AM599" t="str">
        <f t="shared" si="69"/>
        <v>Masters</v>
      </c>
    </row>
    <row r="600" spans="1:39" x14ac:dyDescent="0.25">
      <c r="A600" t="s">
        <v>74</v>
      </c>
      <c r="B600" t="s">
        <v>33</v>
      </c>
      <c r="C600">
        <v>85.73</v>
      </c>
      <c r="D600">
        <v>278</v>
      </c>
      <c r="E600" t="b">
        <v>1</v>
      </c>
      <c r="F600" t="b">
        <v>1</v>
      </c>
      <c r="G600" t="b">
        <v>1</v>
      </c>
      <c r="H600" t="s">
        <v>53</v>
      </c>
      <c r="I600" t="s">
        <v>26</v>
      </c>
      <c r="J600" t="s">
        <v>36</v>
      </c>
      <c r="K600" t="s">
        <v>39</v>
      </c>
      <c r="L600" t="s">
        <v>69</v>
      </c>
      <c r="M600" t="s">
        <v>47</v>
      </c>
      <c r="O600" t="b">
        <v>0</v>
      </c>
      <c r="P600" t="b">
        <v>0</v>
      </c>
      <c r="Q600">
        <v>7.1</v>
      </c>
      <c r="R600" t="b">
        <v>1</v>
      </c>
      <c r="S600" t="s">
        <v>48</v>
      </c>
      <c r="T600">
        <v>33.299999999999997</v>
      </c>
      <c r="U600">
        <v>86.39</v>
      </c>
      <c r="V600" t="b">
        <v>1</v>
      </c>
      <c r="W600" t="s">
        <v>41</v>
      </c>
      <c r="AE600" t="str">
        <f t="shared" si="63"/>
        <v>Yes</v>
      </c>
      <c r="AF600" t="str">
        <f t="shared" si="64"/>
        <v>Unknown</v>
      </c>
      <c r="AG600" t="str">
        <f t="shared" si="65"/>
        <v>No</v>
      </c>
      <c r="AH600" t="str">
        <f t="shared" si="66"/>
        <v>Consulted Documentation</v>
      </c>
      <c r="AJ600" t="str">
        <f t="shared" si="67"/>
        <v>Moderate Trust</v>
      </c>
      <c r="AL600">
        <f t="shared" si="68"/>
        <v>86.4</v>
      </c>
      <c r="AM600" t="str">
        <f t="shared" si="69"/>
        <v>PhD</v>
      </c>
    </row>
    <row r="601" spans="1:39" x14ac:dyDescent="0.25">
      <c r="A601" t="s">
        <v>68</v>
      </c>
      <c r="B601" t="s">
        <v>33</v>
      </c>
      <c r="C601">
        <v>89.89</v>
      </c>
      <c r="D601">
        <v>292</v>
      </c>
      <c r="E601" t="b">
        <v>1</v>
      </c>
      <c r="F601" t="b">
        <v>1</v>
      </c>
      <c r="G601" t="b">
        <v>1</v>
      </c>
      <c r="H601" t="s">
        <v>25</v>
      </c>
      <c r="I601" t="s">
        <v>57</v>
      </c>
      <c r="J601" t="s">
        <v>50</v>
      </c>
      <c r="K601" t="s">
        <v>46</v>
      </c>
      <c r="L601" t="s">
        <v>69</v>
      </c>
      <c r="M601" t="s">
        <v>47</v>
      </c>
      <c r="N601" t="s">
        <v>28</v>
      </c>
      <c r="O601" t="b">
        <v>0</v>
      </c>
      <c r="P601" t="b">
        <v>1</v>
      </c>
      <c r="Q601">
        <v>8.3000000000000007</v>
      </c>
      <c r="R601" t="b">
        <v>1</v>
      </c>
      <c r="S601" t="s">
        <v>75</v>
      </c>
      <c r="T601">
        <v>6.1</v>
      </c>
      <c r="U601">
        <v>87.71</v>
      </c>
      <c r="V601" t="b">
        <v>1</v>
      </c>
      <c r="W601" t="s">
        <v>31</v>
      </c>
      <c r="AE601" t="str">
        <f t="shared" si="63"/>
        <v>Yes</v>
      </c>
      <c r="AF601" t="str">
        <f t="shared" si="64"/>
        <v>Low</v>
      </c>
      <c r="AG601" t="str">
        <f t="shared" si="65"/>
        <v>No</v>
      </c>
      <c r="AH601" t="str">
        <f t="shared" si="66"/>
        <v>Asked Colleague</v>
      </c>
      <c r="AJ601" t="str">
        <f t="shared" si="67"/>
        <v>High Trust</v>
      </c>
      <c r="AL601">
        <f t="shared" si="68"/>
        <v>87.7</v>
      </c>
      <c r="AM601" t="str">
        <f t="shared" si="69"/>
        <v>Professional</v>
      </c>
    </row>
    <row r="602" spans="1:39" x14ac:dyDescent="0.25">
      <c r="A602" t="s">
        <v>23</v>
      </c>
      <c r="B602" t="s">
        <v>76</v>
      </c>
      <c r="C602">
        <v>82.32</v>
      </c>
      <c r="D602">
        <v>268</v>
      </c>
      <c r="E602" t="b">
        <v>0</v>
      </c>
      <c r="F602" t="b">
        <v>0</v>
      </c>
      <c r="G602" t="b">
        <v>1</v>
      </c>
      <c r="H602" t="s">
        <v>34</v>
      </c>
      <c r="I602" t="s">
        <v>35</v>
      </c>
      <c r="J602" t="s">
        <v>27</v>
      </c>
      <c r="K602" t="s">
        <v>37</v>
      </c>
      <c r="L602" t="s">
        <v>29</v>
      </c>
      <c r="M602" t="s">
        <v>39</v>
      </c>
      <c r="N602" t="s">
        <v>28</v>
      </c>
      <c r="P602" t="b">
        <v>0</v>
      </c>
      <c r="Q602">
        <v>7.7</v>
      </c>
      <c r="R602" t="b">
        <v>1</v>
      </c>
      <c r="S602" t="s">
        <v>55</v>
      </c>
      <c r="T602">
        <v>44.5</v>
      </c>
      <c r="U602">
        <v>90.16</v>
      </c>
      <c r="V602" t="b">
        <v>1</v>
      </c>
      <c r="W602" t="s">
        <v>41</v>
      </c>
      <c r="AE602" t="str">
        <f t="shared" si="63"/>
        <v>No</v>
      </c>
      <c r="AF602" t="str">
        <f t="shared" si="64"/>
        <v>Low</v>
      </c>
      <c r="AG602" t="str">
        <f t="shared" si="65"/>
        <v>No</v>
      </c>
      <c r="AH602" t="str">
        <f t="shared" si="66"/>
        <v>Academic Paper</v>
      </c>
      <c r="AJ602" t="str">
        <f t="shared" si="67"/>
        <v>Moderate Trust</v>
      </c>
      <c r="AL602">
        <f t="shared" si="68"/>
        <v>90.2</v>
      </c>
      <c r="AM602" t="str">
        <f t="shared" si="69"/>
        <v>Bachelors</v>
      </c>
    </row>
    <row r="603" spans="1:39" x14ac:dyDescent="0.25">
      <c r="A603" t="s">
        <v>56</v>
      </c>
      <c r="B603" t="s">
        <v>59</v>
      </c>
      <c r="C603">
        <v>94.61</v>
      </c>
      <c r="D603">
        <v>310</v>
      </c>
      <c r="E603" t="b">
        <v>0</v>
      </c>
      <c r="F603" t="b">
        <v>0</v>
      </c>
      <c r="G603" t="b">
        <v>0</v>
      </c>
      <c r="H603" t="s">
        <v>53</v>
      </c>
      <c r="I603" t="s">
        <v>35</v>
      </c>
      <c r="J603" t="s">
        <v>50</v>
      </c>
      <c r="K603" t="s">
        <v>37</v>
      </c>
      <c r="L603" t="s">
        <v>69</v>
      </c>
      <c r="M603" t="s">
        <v>39</v>
      </c>
      <c r="N603" t="s">
        <v>28</v>
      </c>
      <c r="O603" t="b">
        <v>1</v>
      </c>
      <c r="P603" t="b">
        <v>1</v>
      </c>
      <c r="Q603">
        <v>10</v>
      </c>
      <c r="R603" t="b">
        <v>1</v>
      </c>
      <c r="S603" t="s">
        <v>64</v>
      </c>
      <c r="T603">
        <v>4.9000000000000004</v>
      </c>
      <c r="U603">
        <v>80.12</v>
      </c>
      <c r="V603" t="b">
        <v>1</v>
      </c>
      <c r="W603" t="s">
        <v>31</v>
      </c>
      <c r="AE603" t="str">
        <f t="shared" si="63"/>
        <v>No</v>
      </c>
      <c r="AF603" t="str">
        <f t="shared" si="64"/>
        <v>Low</v>
      </c>
      <c r="AG603" t="str">
        <f t="shared" si="65"/>
        <v>Yes</v>
      </c>
      <c r="AH603" t="str">
        <f t="shared" si="66"/>
        <v>Personal Testing</v>
      </c>
      <c r="AJ603" t="str">
        <f t="shared" si="67"/>
        <v>High Trust</v>
      </c>
      <c r="AL603">
        <f t="shared" si="68"/>
        <v>80.099999999999994</v>
      </c>
      <c r="AM603" t="str">
        <f t="shared" si="69"/>
        <v>Professional</v>
      </c>
    </row>
    <row r="604" spans="1:39" x14ac:dyDescent="0.25">
      <c r="A604" t="s">
        <v>32</v>
      </c>
      <c r="B604" t="s">
        <v>49</v>
      </c>
      <c r="C604">
        <v>61.32</v>
      </c>
      <c r="D604">
        <v>142</v>
      </c>
      <c r="E604" t="b">
        <v>0</v>
      </c>
      <c r="F604" t="b">
        <v>1</v>
      </c>
      <c r="G604" t="b">
        <v>0</v>
      </c>
      <c r="H604" t="s">
        <v>34</v>
      </c>
      <c r="I604" t="s">
        <v>35</v>
      </c>
      <c r="J604" t="s">
        <v>45</v>
      </c>
      <c r="K604" t="s">
        <v>37</v>
      </c>
      <c r="L604" t="s">
        <v>37</v>
      </c>
      <c r="M604" t="s">
        <v>28</v>
      </c>
      <c r="N604" t="s">
        <v>28</v>
      </c>
      <c r="O604" t="b">
        <v>1</v>
      </c>
      <c r="P604" t="b">
        <v>0</v>
      </c>
      <c r="Q604">
        <v>7.6</v>
      </c>
      <c r="R604" t="b">
        <v>1</v>
      </c>
      <c r="S604" t="s">
        <v>55</v>
      </c>
      <c r="T604">
        <v>14</v>
      </c>
      <c r="U604">
        <v>73.94</v>
      </c>
      <c r="V604" t="b">
        <v>1</v>
      </c>
      <c r="W604" t="s">
        <v>41</v>
      </c>
      <c r="AE604" t="str">
        <f t="shared" si="63"/>
        <v>Yes</v>
      </c>
      <c r="AF604" t="str">
        <f t="shared" si="64"/>
        <v>Low</v>
      </c>
      <c r="AG604" t="str">
        <f t="shared" si="65"/>
        <v>Yes</v>
      </c>
      <c r="AH604" t="str">
        <f t="shared" si="66"/>
        <v>Academic Paper</v>
      </c>
      <c r="AJ604" t="str">
        <f t="shared" si="67"/>
        <v>Moderate Trust</v>
      </c>
      <c r="AL604">
        <f t="shared" si="68"/>
        <v>73.900000000000006</v>
      </c>
      <c r="AM604" t="str">
        <f t="shared" si="69"/>
        <v>High School</v>
      </c>
    </row>
    <row r="605" spans="1:39" x14ac:dyDescent="0.25">
      <c r="A605" t="s">
        <v>68</v>
      </c>
      <c r="B605" t="s">
        <v>59</v>
      </c>
      <c r="C605">
        <v>89.36</v>
      </c>
      <c r="D605">
        <v>341</v>
      </c>
      <c r="E605" t="b">
        <v>1</v>
      </c>
      <c r="F605" t="b">
        <v>0</v>
      </c>
      <c r="G605" t="b">
        <v>0</v>
      </c>
      <c r="H605" t="s">
        <v>34</v>
      </c>
      <c r="I605" t="s">
        <v>63</v>
      </c>
      <c r="J605" t="s">
        <v>45</v>
      </c>
      <c r="K605" t="s">
        <v>37</v>
      </c>
      <c r="L605" t="s">
        <v>69</v>
      </c>
      <c r="M605" t="s">
        <v>46</v>
      </c>
      <c r="N605" t="s">
        <v>28</v>
      </c>
      <c r="O605" t="b">
        <v>0</v>
      </c>
      <c r="P605" t="b">
        <v>0</v>
      </c>
      <c r="Q605">
        <v>9.6</v>
      </c>
      <c r="R605" t="b">
        <v>0</v>
      </c>
      <c r="T605">
        <v>0</v>
      </c>
      <c r="U605">
        <v>100</v>
      </c>
      <c r="V605" t="b">
        <v>1</v>
      </c>
      <c r="W605" t="s">
        <v>58</v>
      </c>
      <c r="AE605" t="str">
        <f t="shared" si="63"/>
        <v>No</v>
      </c>
      <c r="AF605" t="str">
        <f t="shared" si="64"/>
        <v>Low</v>
      </c>
      <c r="AG605" t="str">
        <f t="shared" si="65"/>
        <v>No</v>
      </c>
      <c r="AH605" t="str">
        <f t="shared" si="66"/>
        <v>Unknown</v>
      </c>
      <c r="AJ605" t="str">
        <f t="shared" si="67"/>
        <v>High Trust</v>
      </c>
      <c r="AL605">
        <f t="shared" si="68"/>
        <v>100</v>
      </c>
      <c r="AM605" t="str">
        <f t="shared" si="69"/>
        <v>High School</v>
      </c>
    </row>
    <row r="606" spans="1:39" x14ac:dyDescent="0.25">
      <c r="A606" t="s">
        <v>32</v>
      </c>
      <c r="B606" t="s">
        <v>71</v>
      </c>
      <c r="C606">
        <v>55.87</v>
      </c>
      <c r="D606">
        <v>728</v>
      </c>
      <c r="E606" t="b">
        <v>0</v>
      </c>
      <c r="F606" t="b">
        <v>1</v>
      </c>
      <c r="G606" t="b">
        <v>0</v>
      </c>
      <c r="H606" t="s">
        <v>43</v>
      </c>
      <c r="I606" t="s">
        <v>67</v>
      </c>
      <c r="J606" t="s">
        <v>45</v>
      </c>
      <c r="K606" t="s">
        <v>39</v>
      </c>
      <c r="L606" t="s">
        <v>38</v>
      </c>
      <c r="M606" t="s">
        <v>28</v>
      </c>
      <c r="N606" t="s">
        <v>39</v>
      </c>
      <c r="O606" t="b">
        <v>0</v>
      </c>
      <c r="P606" t="b">
        <v>1</v>
      </c>
      <c r="Q606">
        <v>5.5</v>
      </c>
      <c r="R606" t="b">
        <v>0</v>
      </c>
      <c r="T606">
        <v>0</v>
      </c>
      <c r="U606">
        <v>49.36</v>
      </c>
      <c r="V606" t="b">
        <v>1</v>
      </c>
      <c r="W606" t="s">
        <v>41</v>
      </c>
      <c r="AE606" t="str">
        <f t="shared" si="63"/>
        <v>Yes</v>
      </c>
      <c r="AF606" t="str">
        <f t="shared" si="64"/>
        <v>High</v>
      </c>
      <c r="AG606" t="str">
        <f t="shared" si="65"/>
        <v>No</v>
      </c>
      <c r="AH606" t="str">
        <f t="shared" si="66"/>
        <v>Unknown</v>
      </c>
      <c r="AJ606" t="str">
        <f t="shared" si="67"/>
        <v>Moderate Trust</v>
      </c>
      <c r="AL606">
        <f t="shared" si="68"/>
        <v>49.4</v>
      </c>
      <c r="AM606" t="str">
        <f t="shared" si="69"/>
        <v>High School</v>
      </c>
    </row>
    <row r="607" spans="1:39" x14ac:dyDescent="0.25">
      <c r="A607" t="s">
        <v>61</v>
      </c>
      <c r="B607" t="s">
        <v>24</v>
      </c>
      <c r="C607">
        <v>90.42</v>
      </c>
      <c r="D607">
        <v>642</v>
      </c>
      <c r="E607" t="b">
        <v>0</v>
      </c>
      <c r="F607" t="b">
        <v>1</v>
      </c>
      <c r="G607" t="b">
        <v>0</v>
      </c>
      <c r="H607" t="s">
        <v>43</v>
      </c>
      <c r="I607" t="s">
        <v>44</v>
      </c>
      <c r="J607" t="s">
        <v>36</v>
      </c>
      <c r="K607" t="s">
        <v>28</v>
      </c>
      <c r="L607" t="s">
        <v>51</v>
      </c>
      <c r="M607" t="s">
        <v>28</v>
      </c>
      <c r="N607" t="s">
        <v>46</v>
      </c>
      <c r="P607" t="b">
        <v>0</v>
      </c>
      <c r="Q607">
        <v>9.8000000000000007</v>
      </c>
      <c r="R607" t="b">
        <v>1</v>
      </c>
      <c r="S607" t="s">
        <v>40</v>
      </c>
      <c r="T607">
        <v>21.5</v>
      </c>
      <c r="U607">
        <v>82.06</v>
      </c>
      <c r="V607" t="b">
        <v>1</v>
      </c>
      <c r="W607" t="s">
        <v>31</v>
      </c>
      <c r="AE607" t="str">
        <f t="shared" si="63"/>
        <v>Yes</v>
      </c>
      <c r="AF607" t="str">
        <f t="shared" si="64"/>
        <v>Medium</v>
      </c>
      <c r="AG607" t="str">
        <f t="shared" si="65"/>
        <v>No</v>
      </c>
      <c r="AH607" t="str">
        <f t="shared" si="66"/>
        <v>Asked Expert</v>
      </c>
      <c r="AJ607" t="str">
        <f t="shared" si="67"/>
        <v>High Trust</v>
      </c>
      <c r="AL607">
        <f t="shared" si="68"/>
        <v>82.1</v>
      </c>
      <c r="AM607" t="str">
        <f t="shared" si="69"/>
        <v>PhD</v>
      </c>
    </row>
    <row r="608" spans="1:39" x14ac:dyDescent="0.25">
      <c r="A608" t="s">
        <v>68</v>
      </c>
      <c r="B608" t="s">
        <v>33</v>
      </c>
      <c r="C608">
        <v>86.18</v>
      </c>
      <c r="D608">
        <v>468</v>
      </c>
      <c r="E608" t="b">
        <v>0</v>
      </c>
      <c r="F608" t="b">
        <v>0</v>
      </c>
      <c r="G608" t="b">
        <v>1</v>
      </c>
      <c r="H608" t="s">
        <v>34</v>
      </c>
      <c r="I608" t="s">
        <v>35</v>
      </c>
      <c r="J608" t="s">
        <v>45</v>
      </c>
      <c r="K608" t="s">
        <v>28</v>
      </c>
      <c r="L608" t="s">
        <v>51</v>
      </c>
      <c r="M608" t="s">
        <v>47</v>
      </c>
      <c r="N608" t="s">
        <v>28</v>
      </c>
      <c r="P608" t="b">
        <v>0</v>
      </c>
      <c r="Q608">
        <v>8.5</v>
      </c>
      <c r="R608" t="b">
        <v>1</v>
      </c>
      <c r="S608" t="s">
        <v>55</v>
      </c>
      <c r="T608">
        <v>31.9</v>
      </c>
      <c r="U608">
        <v>97.51</v>
      </c>
      <c r="V608" t="b">
        <v>1</v>
      </c>
      <c r="W608" t="s">
        <v>31</v>
      </c>
      <c r="AE608" t="str">
        <f t="shared" si="63"/>
        <v>No</v>
      </c>
      <c r="AF608" t="str">
        <f t="shared" si="64"/>
        <v>Low</v>
      </c>
      <c r="AG608" t="str">
        <f t="shared" si="65"/>
        <v>No</v>
      </c>
      <c r="AH608" t="str">
        <f t="shared" si="66"/>
        <v>Academic Paper</v>
      </c>
      <c r="AJ608" t="str">
        <f t="shared" si="67"/>
        <v>High Trust</v>
      </c>
      <c r="AL608">
        <f t="shared" si="68"/>
        <v>97.5</v>
      </c>
      <c r="AM608" t="str">
        <f t="shared" si="69"/>
        <v>High School</v>
      </c>
    </row>
    <row r="609" spans="1:39" x14ac:dyDescent="0.25">
      <c r="A609" t="s">
        <v>32</v>
      </c>
      <c r="B609" t="s">
        <v>71</v>
      </c>
      <c r="C609">
        <v>44.19</v>
      </c>
      <c r="D609">
        <v>192</v>
      </c>
      <c r="E609" t="b">
        <v>0</v>
      </c>
      <c r="F609" t="b">
        <v>0</v>
      </c>
      <c r="G609" t="b">
        <v>1</v>
      </c>
      <c r="H609" t="s">
        <v>25</v>
      </c>
      <c r="I609" t="s">
        <v>26</v>
      </c>
      <c r="J609" t="s">
        <v>54</v>
      </c>
      <c r="K609" t="s">
        <v>28</v>
      </c>
      <c r="L609" t="s">
        <v>29</v>
      </c>
      <c r="M609" t="s">
        <v>46</v>
      </c>
      <c r="N609" t="s">
        <v>46</v>
      </c>
      <c r="O609" t="b">
        <v>1</v>
      </c>
      <c r="P609" t="b">
        <v>0</v>
      </c>
      <c r="Q609">
        <v>6</v>
      </c>
      <c r="R609" t="b">
        <v>1</v>
      </c>
      <c r="S609" t="s">
        <v>48</v>
      </c>
      <c r="T609">
        <v>36</v>
      </c>
      <c r="U609">
        <v>25.54</v>
      </c>
      <c r="V609" t="b">
        <v>0</v>
      </c>
      <c r="W609" t="s">
        <v>41</v>
      </c>
      <c r="AE609" t="str">
        <f t="shared" si="63"/>
        <v>No</v>
      </c>
      <c r="AF609" t="str">
        <f t="shared" si="64"/>
        <v>Medium</v>
      </c>
      <c r="AG609" t="str">
        <f t="shared" si="65"/>
        <v>Yes</v>
      </c>
      <c r="AH609" t="str">
        <f t="shared" si="66"/>
        <v>Consulted Documentation</v>
      </c>
      <c r="AJ609" t="str">
        <f t="shared" si="67"/>
        <v>Moderate Trust</v>
      </c>
      <c r="AL609">
        <f t="shared" si="68"/>
        <v>25.5</v>
      </c>
      <c r="AM609" t="str">
        <f t="shared" si="69"/>
        <v>Masters</v>
      </c>
    </row>
    <row r="610" spans="1:39" x14ac:dyDescent="0.25">
      <c r="A610" t="s">
        <v>68</v>
      </c>
      <c r="B610" t="s">
        <v>76</v>
      </c>
      <c r="C610">
        <v>83.61</v>
      </c>
      <c r="D610">
        <v>197</v>
      </c>
      <c r="E610" t="b">
        <v>0</v>
      </c>
      <c r="F610" t="b">
        <v>0</v>
      </c>
      <c r="G610" t="b">
        <v>0</v>
      </c>
      <c r="H610" t="s">
        <v>43</v>
      </c>
      <c r="I610" t="s">
        <v>67</v>
      </c>
      <c r="J610" t="s">
        <v>27</v>
      </c>
      <c r="K610" t="s">
        <v>28</v>
      </c>
      <c r="L610" t="s">
        <v>29</v>
      </c>
      <c r="M610" t="s">
        <v>39</v>
      </c>
      <c r="O610" t="b">
        <v>0</v>
      </c>
      <c r="P610" t="b">
        <v>1</v>
      </c>
      <c r="Q610">
        <v>8</v>
      </c>
      <c r="R610" t="b">
        <v>1</v>
      </c>
      <c r="S610" t="s">
        <v>75</v>
      </c>
      <c r="T610">
        <v>41.8</v>
      </c>
      <c r="U610">
        <v>69.38</v>
      </c>
      <c r="V610" t="b">
        <v>1</v>
      </c>
      <c r="W610" t="s">
        <v>31</v>
      </c>
      <c r="AE610" t="str">
        <f t="shared" si="63"/>
        <v>No</v>
      </c>
      <c r="AF610" t="str">
        <f t="shared" si="64"/>
        <v>Unknown</v>
      </c>
      <c r="AG610" t="str">
        <f t="shared" si="65"/>
        <v>No</v>
      </c>
      <c r="AH610" t="str">
        <f t="shared" si="66"/>
        <v>Asked Colleague</v>
      </c>
      <c r="AJ610" t="str">
        <f t="shared" si="67"/>
        <v>High Trust</v>
      </c>
      <c r="AL610">
        <f t="shared" si="68"/>
        <v>69.400000000000006</v>
      </c>
      <c r="AM610" t="str">
        <f t="shared" si="69"/>
        <v>Bachelors</v>
      </c>
    </row>
    <row r="611" spans="1:39" x14ac:dyDescent="0.25">
      <c r="A611" t="s">
        <v>23</v>
      </c>
      <c r="B611" t="s">
        <v>66</v>
      </c>
      <c r="C611">
        <v>58.28</v>
      </c>
      <c r="D611">
        <v>378</v>
      </c>
      <c r="E611" t="b">
        <v>1</v>
      </c>
      <c r="F611" t="b">
        <v>1</v>
      </c>
      <c r="G611" t="b">
        <v>0</v>
      </c>
      <c r="H611" t="s">
        <v>43</v>
      </c>
      <c r="I611" t="s">
        <v>44</v>
      </c>
      <c r="J611" t="s">
        <v>50</v>
      </c>
      <c r="K611" t="s">
        <v>28</v>
      </c>
      <c r="L611" t="s">
        <v>38</v>
      </c>
      <c r="M611" t="s">
        <v>47</v>
      </c>
      <c r="O611" t="b">
        <v>0</v>
      </c>
      <c r="P611" t="b">
        <v>0</v>
      </c>
      <c r="Q611">
        <v>6.3</v>
      </c>
      <c r="R611" t="b">
        <v>1</v>
      </c>
      <c r="S611" t="s">
        <v>40</v>
      </c>
      <c r="T611">
        <v>43.8</v>
      </c>
      <c r="U611">
        <v>53.43</v>
      </c>
      <c r="V611" t="b">
        <v>1</v>
      </c>
      <c r="W611" t="s">
        <v>41</v>
      </c>
      <c r="AE611" t="str">
        <f t="shared" si="63"/>
        <v>Yes</v>
      </c>
      <c r="AF611" t="str">
        <f t="shared" si="64"/>
        <v>Unknown</v>
      </c>
      <c r="AG611" t="str">
        <f t="shared" si="65"/>
        <v>No</v>
      </c>
      <c r="AH611" t="str">
        <f t="shared" si="66"/>
        <v>Asked Expert</v>
      </c>
      <c r="AJ611" t="str">
        <f t="shared" si="67"/>
        <v>Moderate Trust</v>
      </c>
      <c r="AL611">
        <f t="shared" si="68"/>
        <v>53.4</v>
      </c>
      <c r="AM611" t="str">
        <f t="shared" si="69"/>
        <v>Professional</v>
      </c>
    </row>
    <row r="612" spans="1:39" x14ac:dyDescent="0.25">
      <c r="A612" t="s">
        <v>56</v>
      </c>
      <c r="B612" t="s">
        <v>24</v>
      </c>
      <c r="C612">
        <v>98.54</v>
      </c>
      <c r="D612">
        <v>783</v>
      </c>
      <c r="E612" t="b">
        <v>1</v>
      </c>
      <c r="F612" t="b">
        <v>0</v>
      </c>
      <c r="G612" t="b">
        <v>0</v>
      </c>
      <c r="H612" t="s">
        <v>43</v>
      </c>
      <c r="I612" t="s">
        <v>63</v>
      </c>
      <c r="J612" t="s">
        <v>45</v>
      </c>
      <c r="K612" t="s">
        <v>28</v>
      </c>
      <c r="L612" t="s">
        <v>69</v>
      </c>
      <c r="M612" t="s">
        <v>46</v>
      </c>
      <c r="N612" t="s">
        <v>39</v>
      </c>
      <c r="P612" t="b">
        <v>1</v>
      </c>
      <c r="Q612">
        <v>10</v>
      </c>
      <c r="R612" t="b">
        <v>0</v>
      </c>
      <c r="T612">
        <v>0</v>
      </c>
      <c r="U612">
        <v>88.36</v>
      </c>
      <c r="V612" t="b">
        <v>1</v>
      </c>
      <c r="W612" t="s">
        <v>58</v>
      </c>
      <c r="AE612" t="str">
        <f t="shared" si="63"/>
        <v>No</v>
      </c>
      <c r="AF612" t="str">
        <f t="shared" si="64"/>
        <v>High</v>
      </c>
      <c r="AG612" t="str">
        <f t="shared" si="65"/>
        <v>No</v>
      </c>
      <c r="AH612" t="str">
        <f t="shared" si="66"/>
        <v>Unknown</v>
      </c>
      <c r="AJ612" t="str">
        <f t="shared" si="67"/>
        <v>High Trust</v>
      </c>
      <c r="AL612">
        <f t="shared" si="68"/>
        <v>88.4</v>
      </c>
      <c r="AM612" t="str">
        <f t="shared" si="69"/>
        <v>High School</v>
      </c>
    </row>
    <row r="613" spans="1:39" x14ac:dyDescent="0.25">
      <c r="A613" t="s">
        <v>32</v>
      </c>
      <c r="B613" t="s">
        <v>76</v>
      </c>
      <c r="C613">
        <v>73.22</v>
      </c>
      <c r="D613">
        <v>497</v>
      </c>
      <c r="E613" t="b">
        <v>1</v>
      </c>
      <c r="F613" t="b">
        <v>1</v>
      </c>
      <c r="G613" t="b">
        <v>1</v>
      </c>
      <c r="H613" t="s">
        <v>34</v>
      </c>
      <c r="I613" t="s">
        <v>67</v>
      </c>
      <c r="J613" t="s">
        <v>45</v>
      </c>
      <c r="K613" t="s">
        <v>28</v>
      </c>
      <c r="L613" t="s">
        <v>51</v>
      </c>
      <c r="M613" t="s">
        <v>39</v>
      </c>
      <c r="N613" t="s">
        <v>39</v>
      </c>
      <c r="P613" t="b">
        <v>0</v>
      </c>
      <c r="Q613">
        <v>8.1</v>
      </c>
      <c r="R613" t="b">
        <v>0</v>
      </c>
      <c r="T613">
        <v>0</v>
      </c>
      <c r="U613">
        <v>70.569999999999993</v>
      </c>
      <c r="V613" t="b">
        <v>1</v>
      </c>
      <c r="W613" t="s">
        <v>58</v>
      </c>
      <c r="AE613" t="str">
        <f t="shared" si="63"/>
        <v>Yes</v>
      </c>
      <c r="AF613" t="str">
        <f t="shared" si="64"/>
        <v>High</v>
      </c>
      <c r="AG613" t="str">
        <f t="shared" si="65"/>
        <v>No</v>
      </c>
      <c r="AH613" t="str">
        <f t="shared" si="66"/>
        <v>Unknown</v>
      </c>
      <c r="AJ613" t="str">
        <f t="shared" si="67"/>
        <v>High Trust</v>
      </c>
      <c r="AL613">
        <f t="shared" si="68"/>
        <v>70.599999999999994</v>
      </c>
      <c r="AM613" t="str">
        <f t="shared" si="69"/>
        <v>High School</v>
      </c>
    </row>
    <row r="614" spans="1:39" x14ac:dyDescent="0.25">
      <c r="A614" t="s">
        <v>32</v>
      </c>
      <c r="B614" t="s">
        <v>66</v>
      </c>
      <c r="C614">
        <v>63.42</v>
      </c>
      <c r="D614">
        <v>681</v>
      </c>
      <c r="E614" t="b">
        <v>1</v>
      </c>
      <c r="F614" t="b">
        <v>1</v>
      </c>
      <c r="G614" t="b">
        <v>1</v>
      </c>
      <c r="H614" t="s">
        <v>25</v>
      </c>
      <c r="I614" t="s">
        <v>26</v>
      </c>
      <c r="J614" t="s">
        <v>50</v>
      </c>
      <c r="K614" t="s">
        <v>28</v>
      </c>
      <c r="L614" t="s">
        <v>29</v>
      </c>
      <c r="M614" t="s">
        <v>47</v>
      </c>
      <c r="N614" t="s">
        <v>28</v>
      </c>
      <c r="P614" t="b">
        <v>1</v>
      </c>
      <c r="Q614">
        <v>6.3</v>
      </c>
      <c r="R614" t="b">
        <v>1</v>
      </c>
      <c r="S614" t="s">
        <v>65</v>
      </c>
      <c r="T614">
        <v>9.8000000000000007</v>
      </c>
      <c r="U614">
        <v>57.42</v>
      </c>
      <c r="V614" t="b">
        <v>1</v>
      </c>
      <c r="W614" t="s">
        <v>41</v>
      </c>
      <c r="AE614" t="str">
        <f t="shared" si="63"/>
        <v>Yes</v>
      </c>
      <c r="AF614" t="str">
        <f t="shared" si="64"/>
        <v>Low</v>
      </c>
      <c r="AG614" t="str">
        <f t="shared" si="65"/>
        <v>No</v>
      </c>
      <c r="AH614" t="str">
        <f t="shared" si="66"/>
        <v>Cross-referenced Multiple AIs</v>
      </c>
      <c r="AJ614" t="str">
        <f t="shared" si="67"/>
        <v>Moderate Trust</v>
      </c>
      <c r="AL614">
        <f t="shared" si="68"/>
        <v>57.4</v>
      </c>
      <c r="AM614" t="str">
        <f t="shared" si="69"/>
        <v>Professional</v>
      </c>
    </row>
    <row r="615" spans="1:39" x14ac:dyDescent="0.25">
      <c r="A615" t="s">
        <v>23</v>
      </c>
      <c r="B615" t="s">
        <v>70</v>
      </c>
      <c r="C615">
        <v>74.16</v>
      </c>
      <c r="D615">
        <v>137</v>
      </c>
      <c r="E615" t="b">
        <v>0</v>
      </c>
      <c r="F615" t="b">
        <v>1</v>
      </c>
      <c r="G615" t="b">
        <v>0</v>
      </c>
      <c r="H615" t="s">
        <v>43</v>
      </c>
      <c r="I615" t="s">
        <v>57</v>
      </c>
      <c r="J615" t="s">
        <v>36</v>
      </c>
      <c r="K615" t="s">
        <v>46</v>
      </c>
      <c r="L615" t="s">
        <v>69</v>
      </c>
      <c r="M615" t="s">
        <v>47</v>
      </c>
      <c r="N615" t="s">
        <v>46</v>
      </c>
      <c r="P615" t="b">
        <v>0</v>
      </c>
      <c r="Q615">
        <v>7.8</v>
      </c>
      <c r="R615" t="b">
        <v>1</v>
      </c>
      <c r="S615" t="s">
        <v>64</v>
      </c>
      <c r="T615">
        <v>38.700000000000003</v>
      </c>
      <c r="U615">
        <v>62.91</v>
      </c>
      <c r="V615" t="b">
        <v>1</v>
      </c>
      <c r="W615" t="s">
        <v>41</v>
      </c>
      <c r="AE615" t="str">
        <f t="shared" si="63"/>
        <v>Yes</v>
      </c>
      <c r="AF615" t="str">
        <f t="shared" si="64"/>
        <v>Medium</v>
      </c>
      <c r="AG615" t="str">
        <f t="shared" si="65"/>
        <v>No</v>
      </c>
      <c r="AH615" t="str">
        <f t="shared" si="66"/>
        <v>Personal Testing</v>
      </c>
      <c r="AJ615" t="str">
        <f t="shared" si="67"/>
        <v>Low Trust</v>
      </c>
      <c r="AL615">
        <f t="shared" si="68"/>
        <v>62.9</v>
      </c>
      <c r="AM615" t="str">
        <f t="shared" si="69"/>
        <v>PhD</v>
      </c>
    </row>
    <row r="616" spans="1:39" x14ac:dyDescent="0.25">
      <c r="A616" t="s">
        <v>61</v>
      </c>
      <c r="B616" t="s">
        <v>62</v>
      </c>
      <c r="C616">
        <v>52.75</v>
      </c>
      <c r="D616">
        <v>255</v>
      </c>
      <c r="E616" t="b">
        <v>1</v>
      </c>
      <c r="F616" t="b">
        <v>0</v>
      </c>
      <c r="G616" t="b">
        <v>0</v>
      </c>
      <c r="H616" t="s">
        <v>25</v>
      </c>
      <c r="I616" t="s">
        <v>44</v>
      </c>
      <c r="J616" t="s">
        <v>45</v>
      </c>
      <c r="K616" t="s">
        <v>39</v>
      </c>
      <c r="L616" t="s">
        <v>37</v>
      </c>
      <c r="M616" t="s">
        <v>39</v>
      </c>
      <c r="N616" t="s">
        <v>28</v>
      </c>
      <c r="O616" t="b">
        <v>0</v>
      </c>
      <c r="P616" t="b">
        <v>0</v>
      </c>
      <c r="Q616">
        <v>4.5999999999999996</v>
      </c>
      <c r="R616" t="b">
        <v>1</v>
      </c>
      <c r="S616" t="s">
        <v>52</v>
      </c>
      <c r="T616">
        <v>41.8</v>
      </c>
      <c r="U616">
        <v>58.78</v>
      </c>
      <c r="V616" t="b">
        <v>1</v>
      </c>
      <c r="W616" t="s">
        <v>72</v>
      </c>
      <c r="AE616" t="str">
        <f t="shared" si="63"/>
        <v>No</v>
      </c>
      <c r="AF616" t="str">
        <f t="shared" si="64"/>
        <v>Low</v>
      </c>
      <c r="AG616" t="str">
        <f t="shared" si="65"/>
        <v>No</v>
      </c>
      <c r="AH616" t="str">
        <f t="shared" si="66"/>
        <v>Checked Official Source</v>
      </c>
      <c r="AJ616" t="str">
        <f t="shared" si="67"/>
        <v>Moderate Trust</v>
      </c>
      <c r="AL616">
        <f t="shared" si="68"/>
        <v>58.8</v>
      </c>
      <c r="AM616" t="str">
        <f t="shared" si="69"/>
        <v>High School</v>
      </c>
    </row>
    <row r="617" spans="1:39" x14ac:dyDescent="0.25">
      <c r="A617" t="s">
        <v>74</v>
      </c>
      <c r="B617" t="s">
        <v>62</v>
      </c>
      <c r="C617">
        <v>69.209999999999994</v>
      </c>
      <c r="D617">
        <v>281</v>
      </c>
      <c r="E617" t="b">
        <v>1</v>
      </c>
      <c r="F617" t="b">
        <v>1</v>
      </c>
      <c r="G617" t="b">
        <v>0</v>
      </c>
      <c r="H617" t="s">
        <v>25</v>
      </c>
      <c r="I617" t="s">
        <v>44</v>
      </c>
      <c r="J617" t="s">
        <v>45</v>
      </c>
      <c r="K617" t="s">
        <v>37</v>
      </c>
      <c r="L617" t="s">
        <v>69</v>
      </c>
      <c r="M617" t="s">
        <v>39</v>
      </c>
      <c r="N617" t="s">
        <v>39</v>
      </c>
      <c r="O617" t="b">
        <v>1</v>
      </c>
      <c r="P617" t="b">
        <v>0</v>
      </c>
      <c r="Q617">
        <v>8.6999999999999993</v>
      </c>
      <c r="R617" t="b">
        <v>0</v>
      </c>
      <c r="T617">
        <v>0</v>
      </c>
      <c r="U617">
        <v>54.56</v>
      </c>
      <c r="V617" t="b">
        <v>0</v>
      </c>
      <c r="W617" t="s">
        <v>58</v>
      </c>
      <c r="AE617" t="str">
        <f t="shared" si="63"/>
        <v>Yes</v>
      </c>
      <c r="AF617" t="str">
        <f t="shared" si="64"/>
        <v>High</v>
      </c>
      <c r="AG617" t="str">
        <f t="shared" si="65"/>
        <v>Yes</v>
      </c>
      <c r="AH617" t="str">
        <f t="shared" si="66"/>
        <v>Unknown</v>
      </c>
      <c r="AJ617" t="str">
        <f t="shared" si="67"/>
        <v>High Trust</v>
      </c>
      <c r="AL617">
        <f t="shared" si="68"/>
        <v>54.6</v>
      </c>
      <c r="AM617" t="str">
        <f t="shared" si="69"/>
        <v>High School</v>
      </c>
    </row>
    <row r="618" spans="1:39" x14ac:dyDescent="0.25">
      <c r="A618" t="s">
        <v>56</v>
      </c>
      <c r="B618" t="s">
        <v>60</v>
      </c>
      <c r="C618">
        <v>41.63</v>
      </c>
      <c r="D618">
        <v>584</v>
      </c>
      <c r="E618" t="b">
        <v>0</v>
      </c>
      <c r="F618" t="b">
        <v>1</v>
      </c>
      <c r="G618" t="b">
        <v>1</v>
      </c>
      <c r="H618" t="s">
        <v>34</v>
      </c>
      <c r="I618" t="s">
        <v>67</v>
      </c>
      <c r="J618" t="s">
        <v>45</v>
      </c>
      <c r="K618" t="s">
        <v>28</v>
      </c>
      <c r="L618" t="s">
        <v>51</v>
      </c>
      <c r="M618" t="s">
        <v>46</v>
      </c>
      <c r="N618" t="s">
        <v>39</v>
      </c>
      <c r="P618" t="b">
        <v>0</v>
      </c>
      <c r="Q618">
        <v>4</v>
      </c>
      <c r="R618" t="b">
        <v>0</v>
      </c>
      <c r="T618">
        <v>0</v>
      </c>
      <c r="U618">
        <v>42.69</v>
      </c>
      <c r="V618" t="b">
        <v>1</v>
      </c>
      <c r="W618" t="s">
        <v>41</v>
      </c>
      <c r="AE618" t="str">
        <f t="shared" si="63"/>
        <v>Yes</v>
      </c>
      <c r="AF618" t="str">
        <f t="shared" si="64"/>
        <v>High</v>
      </c>
      <c r="AG618" t="str">
        <f t="shared" si="65"/>
        <v>No</v>
      </c>
      <c r="AH618" t="str">
        <f t="shared" si="66"/>
        <v>Unknown</v>
      </c>
      <c r="AJ618" t="str">
        <f t="shared" si="67"/>
        <v>Moderate Trust</v>
      </c>
      <c r="AL618">
        <f t="shared" si="68"/>
        <v>42.7</v>
      </c>
      <c r="AM618" t="str">
        <f t="shared" si="69"/>
        <v>High School</v>
      </c>
    </row>
    <row r="619" spans="1:39" x14ac:dyDescent="0.25">
      <c r="A619" t="s">
        <v>74</v>
      </c>
      <c r="B619" t="s">
        <v>76</v>
      </c>
      <c r="C619">
        <v>81.53</v>
      </c>
      <c r="D619">
        <v>504</v>
      </c>
      <c r="E619" t="b">
        <v>0</v>
      </c>
      <c r="F619" t="b">
        <v>0</v>
      </c>
      <c r="G619" t="b">
        <v>0</v>
      </c>
      <c r="H619" t="s">
        <v>53</v>
      </c>
      <c r="I619" t="s">
        <v>63</v>
      </c>
      <c r="J619" t="s">
        <v>27</v>
      </c>
      <c r="K619" t="s">
        <v>28</v>
      </c>
      <c r="L619" t="s">
        <v>29</v>
      </c>
      <c r="M619" t="s">
        <v>47</v>
      </c>
      <c r="N619" t="s">
        <v>46</v>
      </c>
      <c r="O619" t="b">
        <v>0</v>
      </c>
      <c r="P619" t="b">
        <v>0</v>
      </c>
      <c r="Q619">
        <v>6.6</v>
      </c>
      <c r="R619" t="b">
        <v>1</v>
      </c>
      <c r="S619" t="s">
        <v>75</v>
      </c>
      <c r="T619">
        <v>21.4</v>
      </c>
      <c r="U619">
        <v>94.86</v>
      </c>
      <c r="V619" t="b">
        <v>0</v>
      </c>
      <c r="W619" t="s">
        <v>41</v>
      </c>
      <c r="AE619" t="str">
        <f t="shared" si="63"/>
        <v>No</v>
      </c>
      <c r="AF619" t="str">
        <f t="shared" si="64"/>
        <v>Medium</v>
      </c>
      <c r="AG619" t="str">
        <f t="shared" si="65"/>
        <v>No</v>
      </c>
      <c r="AH619" t="str">
        <f t="shared" si="66"/>
        <v>Asked Colleague</v>
      </c>
      <c r="AJ619" t="str">
        <f t="shared" si="67"/>
        <v>Moderate Trust</v>
      </c>
      <c r="AL619">
        <f t="shared" si="68"/>
        <v>94.9</v>
      </c>
      <c r="AM619" t="str">
        <f t="shared" si="69"/>
        <v>Bachelors</v>
      </c>
    </row>
    <row r="620" spans="1:39" x14ac:dyDescent="0.25">
      <c r="A620" t="s">
        <v>56</v>
      </c>
      <c r="B620" t="s">
        <v>59</v>
      </c>
      <c r="C620">
        <v>90.4</v>
      </c>
      <c r="D620">
        <v>685</v>
      </c>
      <c r="E620" t="b">
        <v>1</v>
      </c>
      <c r="F620" t="b">
        <v>0</v>
      </c>
      <c r="G620" t="b">
        <v>1</v>
      </c>
      <c r="H620" t="s">
        <v>34</v>
      </c>
      <c r="I620" t="s">
        <v>57</v>
      </c>
      <c r="J620" t="s">
        <v>45</v>
      </c>
      <c r="K620" t="s">
        <v>46</v>
      </c>
      <c r="L620" t="s">
        <v>69</v>
      </c>
      <c r="M620" t="s">
        <v>46</v>
      </c>
      <c r="N620" t="s">
        <v>46</v>
      </c>
      <c r="O620" t="b">
        <v>0</v>
      </c>
      <c r="P620" t="b">
        <v>0</v>
      </c>
      <c r="Q620">
        <v>10</v>
      </c>
      <c r="R620" t="b">
        <v>0</v>
      </c>
      <c r="T620">
        <v>0</v>
      </c>
      <c r="U620">
        <v>94.36</v>
      </c>
      <c r="V620" t="b">
        <v>1</v>
      </c>
      <c r="W620" t="s">
        <v>58</v>
      </c>
      <c r="AE620" t="str">
        <f t="shared" si="63"/>
        <v>No</v>
      </c>
      <c r="AF620" t="str">
        <f t="shared" si="64"/>
        <v>Medium</v>
      </c>
      <c r="AG620" t="str">
        <f t="shared" si="65"/>
        <v>No</v>
      </c>
      <c r="AH620" t="str">
        <f t="shared" si="66"/>
        <v>Unknown</v>
      </c>
      <c r="AJ620" t="str">
        <f t="shared" si="67"/>
        <v>High Trust</v>
      </c>
      <c r="AL620">
        <f t="shared" si="68"/>
        <v>94.4</v>
      </c>
      <c r="AM620" t="str">
        <f t="shared" si="69"/>
        <v>High School</v>
      </c>
    </row>
    <row r="621" spans="1:39" x14ac:dyDescent="0.25">
      <c r="A621" t="s">
        <v>56</v>
      </c>
      <c r="B621" t="s">
        <v>42</v>
      </c>
      <c r="C621">
        <v>69.41</v>
      </c>
      <c r="D621">
        <v>190</v>
      </c>
      <c r="E621" t="b">
        <v>0</v>
      </c>
      <c r="F621" t="b">
        <v>0</v>
      </c>
      <c r="G621" t="b">
        <v>1</v>
      </c>
      <c r="H621" t="s">
        <v>25</v>
      </c>
      <c r="I621" t="s">
        <v>67</v>
      </c>
      <c r="J621" t="s">
        <v>36</v>
      </c>
      <c r="K621" t="s">
        <v>28</v>
      </c>
      <c r="L621" t="s">
        <v>69</v>
      </c>
      <c r="M621" t="s">
        <v>39</v>
      </c>
      <c r="N621" t="s">
        <v>39</v>
      </c>
      <c r="O621" t="b">
        <v>1</v>
      </c>
      <c r="P621" t="b">
        <v>0</v>
      </c>
      <c r="Q621">
        <v>9.1</v>
      </c>
      <c r="R621" t="b">
        <v>1</v>
      </c>
      <c r="S621" t="s">
        <v>55</v>
      </c>
      <c r="T621">
        <v>4.5999999999999996</v>
      </c>
      <c r="U621">
        <v>75.849999999999994</v>
      </c>
      <c r="V621" t="b">
        <v>1</v>
      </c>
      <c r="W621" t="s">
        <v>31</v>
      </c>
      <c r="AE621" t="str">
        <f t="shared" si="63"/>
        <v>No</v>
      </c>
      <c r="AF621" t="str">
        <f t="shared" si="64"/>
        <v>High</v>
      </c>
      <c r="AG621" t="str">
        <f t="shared" si="65"/>
        <v>Yes</v>
      </c>
      <c r="AH621" t="str">
        <f t="shared" si="66"/>
        <v>Academic Paper</v>
      </c>
      <c r="AJ621" t="str">
        <f t="shared" si="67"/>
        <v>High Trust</v>
      </c>
      <c r="AL621">
        <f t="shared" si="68"/>
        <v>75.900000000000006</v>
      </c>
      <c r="AM621" t="str">
        <f t="shared" si="69"/>
        <v>PhD</v>
      </c>
    </row>
    <row r="622" spans="1:39" x14ac:dyDescent="0.25">
      <c r="A622" t="s">
        <v>32</v>
      </c>
      <c r="B622" t="s">
        <v>33</v>
      </c>
      <c r="C622">
        <v>81.430000000000007</v>
      </c>
      <c r="D622">
        <v>413</v>
      </c>
      <c r="E622" t="b">
        <v>1</v>
      </c>
      <c r="F622" t="b">
        <v>0</v>
      </c>
      <c r="G622" t="b">
        <v>1</v>
      </c>
      <c r="H622" t="s">
        <v>25</v>
      </c>
      <c r="I622" t="s">
        <v>35</v>
      </c>
      <c r="J622" t="s">
        <v>54</v>
      </c>
      <c r="K622" t="s">
        <v>46</v>
      </c>
      <c r="L622" t="s">
        <v>51</v>
      </c>
      <c r="M622" t="s">
        <v>39</v>
      </c>
      <c r="N622" t="s">
        <v>28</v>
      </c>
      <c r="O622" t="b">
        <v>0</v>
      </c>
      <c r="P622" t="b">
        <v>1</v>
      </c>
      <c r="Q622">
        <v>7.8</v>
      </c>
      <c r="R622" t="b">
        <v>1</v>
      </c>
      <c r="S622" t="s">
        <v>64</v>
      </c>
      <c r="T622">
        <v>8.6</v>
      </c>
      <c r="U622">
        <v>88.34</v>
      </c>
      <c r="V622" t="b">
        <v>1</v>
      </c>
      <c r="W622" t="s">
        <v>41</v>
      </c>
      <c r="AE622" t="str">
        <f t="shared" si="63"/>
        <v>No</v>
      </c>
      <c r="AF622" t="str">
        <f t="shared" si="64"/>
        <v>Low</v>
      </c>
      <c r="AG622" t="str">
        <f t="shared" si="65"/>
        <v>No</v>
      </c>
      <c r="AH622" t="str">
        <f t="shared" si="66"/>
        <v>Personal Testing</v>
      </c>
      <c r="AJ622" t="str">
        <f t="shared" si="67"/>
        <v>Moderate Trust</v>
      </c>
      <c r="AL622">
        <f t="shared" si="68"/>
        <v>88.3</v>
      </c>
      <c r="AM622" t="str">
        <f t="shared" si="69"/>
        <v>Masters</v>
      </c>
    </row>
    <row r="623" spans="1:39" x14ac:dyDescent="0.25">
      <c r="A623" t="s">
        <v>74</v>
      </c>
      <c r="B623" t="s">
        <v>66</v>
      </c>
      <c r="C623">
        <v>59.65</v>
      </c>
      <c r="D623">
        <v>739</v>
      </c>
      <c r="E623" t="b">
        <v>0</v>
      </c>
      <c r="F623" t="b">
        <v>0</v>
      </c>
      <c r="G623" t="b">
        <v>0</v>
      </c>
      <c r="H623" t="s">
        <v>43</v>
      </c>
      <c r="I623" t="s">
        <v>44</v>
      </c>
      <c r="J623" t="s">
        <v>50</v>
      </c>
      <c r="K623" t="s">
        <v>46</v>
      </c>
      <c r="L623" t="s">
        <v>69</v>
      </c>
      <c r="M623" t="s">
        <v>28</v>
      </c>
      <c r="P623" t="b">
        <v>0</v>
      </c>
      <c r="Q623">
        <v>8.1</v>
      </c>
      <c r="R623" t="b">
        <v>1</v>
      </c>
      <c r="S623" t="s">
        <v>75</v>
      </c>
      <c r="T623">
        <v>7.8</v>
      </c>
      <c r="U623">
        <v>42.37</v>
      </c>
      <c r="V623" t="b">
        <v>0</v>
      </c>
      <c r="W623" t="s">
        <v>31</v>
      </c>
      <c r="AE623" t="str">
        <f t="shared" si="63"/>
        <v>No</v>
      </c>
      <c r="AF623" t="str">
        <f t="shared" si="64"/>
        <v>Unknown</v>
      </c>
      <c r="AG623" t="str">
        <f t="shared" si="65"/>
        <v>No</v>
      </c>
      <c r="AH623" t="str">
        <f t="shared" si="66"/>
        <v>Asked Colleague</v>
      </c>
      <c r="AJ623" t="str">
        <f t="shared" si="67"/>
        <v>High Trust</v>
      </c>
      <c r="AL623">
        <f t="shared" si="68"/>
        <v>42.4</v>
      </c>
      <c r="AM623" t="str">
        <f t="shared" si="69"/>
        <v>Professional</v>
      </c>
    </row>
    <row r="624" spans="1:39" x14ac:dyDescent="0.25">
      <c r="A624" t="s">
        <v>23</v>
      </c>
      <c r="B624" t="s">
        <v>70</v>
      </c>
      <c r="C624">
        <v>85.95</v>
      </c>
      <c r="D624">
        <v>490</v>
      </c>
      <c r="E624" t="b">
        <v>1</v>
      </c>
      <c r="F624" t="b">
        <v>0</v>
      </c>
      <c r="G624" t="b">
        <v>0</v>
      </c>
      <c r="H624" t="s">
        <v>25</v>
      </c>
      <c r="I624" t="s">
        <v>67</v>
      </c>
      <c r="J624" t="s">
        <v>54</v>
      </c>
      <c r="K624" t="s">
        <v>46</v>
      </c>
      <c r="L624" t="s">
        <v>29</v>
      </c>
      <c r="M624" t="s">
        <v>47</v>
      </c>
      <c r="N624" t="s">
        <v>28</v>
      </c>
      <c r="O624" t="b">
        <v>0</v>
      </c>
      <c r="P624" t="b">
        <v>1</v>
      </c>
      <c r="Q624">
        <v>8.1</v>
      </c>
      <c r="R624" t="b">
        <v>1</v>
      </c>
      <c r="S624" t="s">
        <v>55</v>
      </c>
      <c r="T624">
        <v>15.4</v>
      </c>
      <c r="U624">
        <v>84.26</v>
      </c>
      <c r="V624" t="b">
        <v>1</v>
      </c>
      <c r="W624" t="s">
        <v>31</v>
      </c>
      <c r="AE624" t="str">
        <f t="shared" si="63"/>
        <v>No</v>
      </c>
      <c r="AF624" t="str">
        <f t="shared" si="64"/>
        <v>Low</v>
      </c>
      <c r="AG624" t="str">
        <f t="shared" si="65"/>
        <v>No</v>
      </c>
      <c r="AH624" t="str">
        <f t="shared" si="66"/>
        <v>Academic Paper</v>
      </c>
      <c r="AJ624" t="str">
        <f t="shared" si="67"/>
        <v>High Trust</v>
      </c>
      <c r="AL624">
        <f t="shared" si="68"/>
        <v>84.3</v>
      </c>
      <c r="AM624" t="str">
        <f t="shared" si="69"/>
        <v>Masters</v>
      </c>
    </row>
    <row r="625" spans="1:39" x14ac:dyDescent="0.25">
      <c r="A625" t="s">
        <v>74</v>
      </c>
      <c r="B625" t="s">
        <v>42</v>
      </c>
      <c r="C625">
        <v>74.709999999999994</v>
      </c>
      <c r="D625">
        <v>554</v>
      </c>
      <c r="E625" t="b">
        <v>1</v>
      </c>
      <c r="F625" t="b">
        <v>1</v>
      </c>
      <c r="G625" t="b">
        <v>1</v>
      </c>
      <c r="H625" t="s">
        <v>34</v>
      </c>
      <c r="I625" t="s">
        <v>26</v>
      </c>
      <c r="J625" t="s">
        <v>45</v>
      </c>
      <c r="K625" t="s">
        <v>28</v>
      </c>
      <c r="L625" t="s">
        <v>37</v>
      </c>
      <c r="M625" t="s">
        <v>46</v>
      </c>
      <c r="N625" t="s">
        <v>46</v>
      </c>
      <c r="P625" t="b">
        <v>1</v>
      </c>
      <c r="Q625">
        <v>9.1</v>
      </c>
      <c r="R625" t="b">
        <v>0</v>
      </c>
      <c r="T625">
        <v>0</v>
      </c>
      <c r="U625">
        <v>77.03</v>
      </c>
      <c r="V625" t="b">
        <v>1</v>
      </c>
      <c r="W625" t="s">
        <v>58</v>
      </c>
      <c r="AE625" t="str">
        <f t="shared" si="63"/>
        <v>Yes</v>
      </c>
      <c r="AF625" t="str">
        <f t="shared" si="64"/>
        <v>Medium</v>
      </c>
      <c r="AG625" t="str">
        <f t="shared" si="65"/>
        <v>No</v>
      </c>
      <c r="AH625" t="str">
        <f t="shared" si="66"/>
        <v>Unknown</v>
      </c>
      <c r="AJ625" t="str">
        <f t="shared" si="67"/>
        <v>High Trust</v>
      </c>
      <c r="AL625">
        <f t="shared" si="68"/>
        <v>77</v>
      </c>
      <c r="AM625" t="str">
        <f t="shared" si="69"/>
        <v>High School</v>
      </c>
    </row>
    <row r="626" spans="1:39" x14ac:dyDescent="0.25">
      <c r="A626" t="s">
        <v>68</v>
      </c>
      <c r="B626" t="s">
        <v>76</v>
      </c>
      <c r="C626">
        <v>75.989999999999995</v>
      </c>
      <c r="D626">
        <v>77</v>
      </c>
      <c r="E626" t="b">
        <v>0</v>
      </c>
      <c r="F626" t="b">
        <v>1</v>
      </c>
      <c r="G626" t="b">
        <v>0</v>
      </c>
      <c r="H626" t="s">
        <v>53</v>
      </c>
      <c r="I626" t="s">
        <v>63</v>
      </c>
      <c r="J626" t="s">
        <v>27</v>
      </c>
      <c r="K626" t="s">
        <v>39</v>
      </c>
      <c r="L626" t="s">
        <v>69</v>
      </c>
      <c r="M626" t="s">
        <v>47</v>
      </c>
      <c r="N626" t="s">
        <v>28</v>
      </c>
      <c r="O626" t="b">
        <v>1</v>
      </c>
      <c r="P626" t="b">
        <v>0</v>
      </c>
      <c r="Q626">
        <v>8.6999999999999993</v>
      </c>
      <c r="R626" t="b">
        <v>0</v>
      </c>
      <c r="T626">
        <v>0</v>
      </c>
      <c r="U626">
        <v>79.180000000000007</v>
      </c>
      <c r="V626" t="b">
        <v>1</v>
      </c>
      <c r="W626" t="s">
        <v>58</v>
      </c>
      <c r="AE626" t="str">
        <f t="shared" si="63"/>
        <v>Yes</v>
      </c>
      <c r="AF626" t="str">
        <f t="shared" si="64"/>
        <v>Low</v>
      </c>
      <c r="AG626" t="str">
        <f t="shared" si="65"/>
        <v>Yes</v>
      </c>
      <c r="AH626" t="str">
        <f t="shared" si="66"/>
        <v>Unknown</v>
      </c>
      <c r="AJ626" t="str">
        <f t="shared" si="67"/>
        <v>High Trust</v>
      </c>
      <c r="AL626">
        <f t="shared" si="68"/>
        <v>79.2</v>
      </c>
      <c r="AM626" t="str">
        <f t="shared" si="69"/>
        <v>Bachelors</v>
      </c>
    </row>
    <row r="627" spans="1:39" x14ac:dyDescent="0.25">
      <c r="A627" t="s">
        <v>23</v>
      </c>
      <c r="B627" t="s">
        <v>42</v>
      </c>
      <c r="C627">
        <v>83.64</v>
      </c>
      <c r="D627">
        <v>263</v>
      </c>
      <c r="E627" t="b">
        <v>1</v>
      </c>
      <c r="F627" t="b">
        <v>1</v>
      </c>
      <c r="G627" t="b">
        <v>0</v>
      </c>
      <c r="H627" t="s">
        <v>43</v>
      </c>
      <c r="I627" t="s">
        <v>67</v>
      </c>
      <c r="J627" t="s">
        <v>36</v>
      </c>
      <c r="K627" t="s">
        <v>28</v>
      </c>
      <c r="L627" t="s">
        <v>37</v>
      </c>
      <c r="M627" t="s">
        <v>39</v>
      </c>
      <c r="N627" t="s">
        <v>28</v>
      </c>
      <c r="O627" t="b">
        <v>0</v>
      </c>
      <c r="P627" t="b">
        <v>1</v>
      </c>
      <c r="Q627">
        <v>7.2</v>
      </c>
      <c r="R627" t="b">
        <v>1</v>
      </c>
      <c r="S627" t="s">
        <v>52</v>
      </c>
      <c r="T627">
        <v>2.1</v>
      </c>
      <c r="U627">
        <v>80.25</v>
      </c>
      <c r="V627" t="b">
        <v>1</v>
      </c>
      <c r="W627" t="s">
        <v>41</v>
      </c>
      <c r="AE627" t="str">
        <f t="shared" si="63"/>
        <v>Yes</v>
      </c>
      <c r="AF627" t="str">
        <f t="shared" si="64"/>
        <v>Low</v>
      </c>
      <c r="AG627" t="str">
        <f t="shared" si="65"/>
        <v>No</v>
      </c>
      <c r="AH627" t="str">
        <f t="shared" si="66"/>
        <v>Checked Official Source</v>
      </c>
      <c r="AJ627" t="str">
        <f t="shared" si="67"/>
        <v>Low Trust</v>
      </c>
      <c r="AL627">
        <f t="shared" si="68"/>
        <v>80.3</v>
      </c>
      <c r="AM627" t="str">
        <f t="shared" si="69"/>
        <v>PhD</v>
      </c>
    </row>
    <row r="628" spans="1:39" x14ac:dyDescent="0.25">
      <c r="A628" t="s">
        <v>74</v>
      </c>
      <c r="B628" t="s">
        <v>71</v>
      </c>
      <c r="C628">
        <v>57.05</v>
      </c>
      <c r="D628">
        <v>123</v>
      </c>
      <c r="E628" t="b">
        <v>0</v>
      </c>
      <c r="F628" t="b">
        <v>1</v>
      </c>
      <c r="G628" t="b">
        <v>1</v>
      </c>
      <c r="H628" t="s">
        <v>43</v>
      </c>
      <c r="I628" t="s">
        <v>57</v>
      </c>
      <c r="J628" t="s">
        <v>50</v>
      </c>
      <c r="K628" t="s">
        <v>37</v>
      </c>
      <c r="L628" t="s">
        <v>38</v>
      </c>
      <c r="M628" t="s">
        <v>46</v>
      </c>
      <c r="N628" t="s">
        <v>39</v>
      </c>
      <c r="O628" t="b">
        <v>0</v>
      </c>
      <c r="P628" t="b">
        <v>1</v>
      </c>
      <c r="Q628">
        <v>4.8</v>
      </c>
      <c r="R628" t="b">
        <v>1</v>
      </c>
      <c r="S628" t="s">
        <v>30</v>
      </c>
      <c r="T628">
        <v>44.4</v>
      </c>
      <c r="U628">
        <v>36.28</v>
      </c>
      <c r="V628" t="b">
        <v>1</v>
      </c>
      <c r="W628" t="s">
        <v>72</v>
      </c>
      <c r="AE628" t="str">
        <f t="shared" si="63"/>
        <v>Yes</v>
      </c>
      <c r="AF628" t="str">
        <f t="shared" si="64"/>
        <v>High</v>
      </c>
      <c r="AG628" t="str">
        <f t="shared" si="65"/>
        <v>No</v>
      </c>
      <c r="AH628" t="str">
        <f t="shared" si="66"/>
        <v>Google Search</v>
      </c>
      <c r="AJ628" t="str">
        <f t="shared" si="67"/>
        <v>Moderate Trust</v>
      </c>
      <c r="AL628">
        <f t="shared" si="68"/>
        <v>36.299999999999997</v>
      </c>
      <c r="AM628" t="str">
        <f t="shared" si="69"/>
        <v>Professional</v>
      </c>
    </row>
    <row r="629" spans="1:39" x14ac:dyDescent="0.25">
      <c r="A629" t="s">
        <v>68</v>
      </c>
      <c r="B629" t="s">
        <v>33</v>
      </c>
      <c r="C629">
        <v>84.59</v>
      </c>
      <c r="D629">
        <v>336</v>
      </c>
      <c r="E629" t="b">
        <v>0</v>
      </c>
      <c r="F629" t="b">
        <v>0</v>
      </c>
      <c r="G629" t="b">
        <v>0</v>
      </c>
      <c r="H629" t="s">
        <v>53</v>
      </c>
      <c r="I629" t="s">
        <v>67</v>
      </c>
      <c r="J629" t="s">
        <v>27</v>
      </c>
      <c r="K629" t="s">
        <v>37</v>
      </c>
      <c r="L629" t="s">
        <v>38</v>
      </c>
      <c r="M629" t="s">
        <v>46</v>
      </c>
      <c r="N629" t="s">
        <v>46</v>
      </c>
      <c r="P629" t="b">
        <v>0</v>
      </c>
      <c r="Q629">
        <v>9.5</v>
      </c>
      <c r="R629" t="b">
        <v>1</v>
      </c>
      <c r="S629" t="s">
        <v>40</v>
      </c>
      <c r="T629">
        <v>40.700000000000003</v>
      </c>
      <c r="U629">
        <v>75.819999999999993</v>
      </c>
      <c r="V629" t="b">
        <v>1</v>
      </c>
      <c r="W629" t="s">
        <v>31</v>
      </c>
      <c r="AE629" t="str">
        <f t="shared" si="63"/>
        <v>No</v>
      </c>
      <c r="AF629" t="str">
        <f t="shared" si="64"/>
        <v>Medium</v>
      </c>
      <c r="AG629" t="str">
        <f t="shared" si="65"/>
        <v>No</v>
      </c>
      <c r="AH629" t="str">
        <f t="shared" si="66"/>
        <v>Asked Expert</v>
      </c>
      <c r="AJ629" t="str">
        <f t="shared" si="67"/>
        <v>High Trust</v>
      </c>
      <c r="AL629">
        <f t="shared" si="68"/>
        <v>75.8</v>
      </c>
      <c r="AM629" t="str">
        <f t="shared" si="69"/>
        <v>Bachelors</v>
      </c>
    </row>
    <row r="630" spans="1:39" x14ac:dyDescent="0.25">
      <c r="A630" t="s">
        <v>56</v>
      </c>
      <c r="B630" t="s">
        <v>33</v>
      </c>
      <c r="C630">
        <v>81.150000000000006</v>
      </c>
      <c r="D630">
        <v>738</v>
      </c>
      <c r="E630" t="b">
        <v>1</v>
      </c>
      <c r="F630" t="b">
        <v>0</v>
      </c>
      <c r="G630" t="b">
        <v>1</v>
      </c>
      <c r="H630" t="s">
        <v>53</v>
      </c>
      <c r="I630" t="s">
        <v>44</v>
      </c>
      <c r="J630" t="s">
        <v>27</v>
      </c>
      <c r="K630" t="s">
        <v>39</v>
      </c>
      <c r="L630" t="s">
        <v>38</v>
      </c>
      <c r="M630" t="s">
        <v>28</v>
      </c>
      <c r="N630" t="s">
        <v>39</v>
      </c>
      <c r="P630" t="b">
        <v>1</v>
      </c>
      <c r="Q630">
        <v>10</v>
      </c>
      <c r="R630" t="b">
        <v>0</v>
      </c>
      <c r="T630">
        <v>0</v>
      </c>
      <c r="U630">
        <v>95.23</v>
      </c>
      <c r="V630" t="b">
        <v>1</v>
      </c>
      <c r="W630" t="s">
        <v>58</v>
      </c>
      <c r="AE630" t="str">
        <f t="shared" si="63"/>
        <v>No</v>
      </c>
      <c r="AF630" t="str">
        <f t="shared" si="64"/>
        <v>High</v>
      </c>
      <c r="AG630" t="str">
        <f t="shared" si="65"/>
        <v>No</v>
      </c>
      <c r="AH630" t="str">
        <f t="shared" si="66"/>
        <v>Unknown</v>
      </c>
      <c r="AJ630" t="str">
        <f t="shared" si="67"/>
        <v>High Trust</v>
      </c>
      <c r="AL630">
        <f t="shared" si="68"/>
        <v>95.2</v>
      </c>
      <c r="AM630" t="str">
        <f t="shared" si="69"/>
        <v>Bachelors</v>
      </c>
    </row>
    <row r="631" spans="1:39" x14ac:dyDescent="0.25">
      <c r="A631" t="s">
        <v>61</v>
      </c>
      <c r="B631" t="s">
        <v>76</v>
      </c>
      <c r="C631">
        <v>82.92</v>
      </c>
      <c r="D631">
        <v>764</v>
      </c>
      <c r="E631" t="b">
        <v>0</v>
      </c>
      <c r="F631" t="b">
        <v>1</v>
      </c>
      <c r="G631" t="b">
        <v>1</v>
      </c>
      <c r="H631" t="s">
        <v>43</v>
      </c>
      <c r="I631" t="s">
        <v>63</v>
      </c>
      <c r="J631" t="s">
        <v>54</v>
      </c>
      <c r="K631" t="s">
        <v>28</v>
      </c>
      <c r="L631" t="s">
        <v>51</v>
      </c>
      <c r="M631" t="s">
        <v>46</v>
      </c>
      <c r="N631" t="s">
        <v>46</v>
      </c>
      <c r="O631" t="b">
        <v>0</v>
      </c>
      <c r="P631" t="b">
        <v>0</v>
      </c>
      <c r="Q631">
        <v>7.9</v>
      </c>
      <c r="R631" t="b">
        <v>0</v>
      </c>
      <c r="T631">
        <v>0</v>
      </c>
      <c r="U631">
        <v>84.96</v>
      </c>
      <c r="V631" t="b">
        <v>1</v>
      </c>
      <c r="W631" t="s">
        <v>31</v>
      </c>
      <c r="AE631" t="str">
        <f t="shared" si="63"/>
        <v>Yes</v>
      </c>
      <c r="AF631" t="str">
        <f t="shared" si="64"/>
        <v>Medium</v>
      </c>
      <c r="AG631" t="str">
        <f t="shared" si="65"/>
        <v>No</v>
      </c>
      <c r="AH631" t="str">
        <f t="shared" si="66"/>
        <v>Unknown</v>
      </c>
      <c r="AJ631" t="str">
        <f t="shared" si="67"/>
        <v>Moderate Trust</v>
      </c>
      <c r="AL631">
        <f t="shared" si="68"/>
        <v>85</v>
      </c>
      <c r="AM631" t="str">
        <f t="shared" si="69"/>
        <v>Masters</v>
      </c>
    </row>
    <row r="632" spans="1:39" x14ac:dyDescent="0.25">
      <c r="A632" t="s">
        <v>74</v>
      </c>
      <c r="B632" t="s">
        <v>70</v>
      </c>
      <c r="C632">
        <v>86.93</v>
      </c>
      <c r="D632">
        <v>559</v>
      </c>
      <c r="E632" t="b">
        <v>1</v>
      </c>
      <c r="F632" t="b">
        <v>1</v>
      </c>
      <c r="G632" t="b">
        <v>0</v>
      </c>
      <c r="H632" t="s">
        <v>53</v>
      </c>
      <c r="I632" t="s">
        <v>44</v>
      </c>
      <c r="J632" t="s">
        <v>50</v>
      </c>
      <c r="K632" t="s">
        <v>28</v>
      </c>
      <c r="L632" t="s">
        <v>51</v>
      </c>
      <c r="M632" t="s">
        <v>46</v>
      </c>
      <c r="N632" t="s">
        <v>28</v>
      </c>
      <c r="O632" t="b">
        <v>0</v>
      </c>
      <c r="P632" t="b">
        <v>0</v>
      </c>
      <c r="Q632">
        <v>8.8000000000000007</v>
      </c>
      <c r="R632" t="b">
        <v>0</v>
      </c>
      <c r="T632">
        <v>0</v>
      </c>
      <c r="U632">
        <v>95.92</v>
      </c>
      <c r="V632" t="b">
        <v>1</v>
      </c>
      <c r="W632" t="s">
        <v>58</v>
      </c>
      <c r="AE632" t="str">
        <f t="shared" si="63"/>
        <v>Yes</v>
      </c>
      <c r="AF632" t="str">
        <f t="shared" si="64"/>
        <v>Low</v>
      </c>
      <c r="AG632" t="str">
        <f t="shared" si="65"/>
        <v>No</v>
      </c>
      <c r="AH632" t="str">
        <f t="shared" si="66"/>
        <v>Unknown</v>
      </c>
      <c r="AJ632" t="str">
        <f t="shared" si="67"/>
        <v>High Trust</v>
      </c>
      <c r="AL632">
        <f t="shared" si="68"/>
        <v>95.9</v>
      </c>
      <c r="AM632" t="str">
        <f t="shared" si="69"/>
        <v>Professional</v>
      </c>
    </row>
    <row r="633" spans="1:39" x14ac:dyDescent="0.25">
      <c r="A633" t="s">
        <v>56</v>
      </c>
      <c r="B633" t="s">
        <v>24</v>
      </c>
      <c r="C633">
        <v>89.22</v>
      </c>
      <c r="D633">
        <v>795</v>
      </c>
      <c r="E633" t="b">
        <v>1</v>
      </c>
      <c r="F633" t="b">
        <v>1</v>
      </c>
      <c r="G633" t="b">
        <v>1</v>
      </c>
      <c r="H633" t="s">
        <v>25</v>
      </c>
      <c r="I633" t="s">
        <v>63</v>
      </c>
      <c r="J633" t="s">
        <v>54</v>
      </c>
      <c r="K633" t="s">
        <v>39</v>
      </c>
      <c r="L633" t="s">
        <v>38</v>
      </c>
      <c r="M633" t="s">
        <v>39</v>
      </c>
      <c r="P633" t="b">
        <v>0</v>
      </c>
      <c r="Q633">
        <v>9.9</v>
      </c>
      <c r="R633" t="b">
        <v>0</v>
      </c>
      <c r="T633">
        <v>0</v>
      </c>
      <c r="U633">
        <v>100</v>
      </c>
      <c r="V633" t="b">
        <v>1</v>
      </c>
      <c r="W633" t="s">
        <v>58</v>
      </c>
      <c r="AE633" t="str">
        <f t="shared" si="63"/>
        <v>Yes</v>
      </c>
      <c r="AF633" t="str">
        <f t="shared" si="64"/>
        <v>Unknown</v>
      </c>
      <c r="AG633" t="str">
        <f t="shared" si="65"/>
        <v>No</v>
      </c>
      <c r="AH633" t="str">
        <f t="shared" si="66"/>
        <v>Unknown</v>
      </c>
      <c r="AJ633" t="str">
        <f t="shared" si="67"/>
        <v>High Trust</v>
      </c>
      <c r="AL633">
        <f t="shared" si="68"/>
        <v>100</v>
      </c>
      <c r="AM633" t="str">
        <f t="shared" si="69"/>
        <v>Masters</v>
      </c>
    </row>
    <row r="634" spans="1:39" x14ac:dyDescent="0.25">
      <c r="A634" t="s">
        <v>68</v>
      </c>
      <c r="B634" t="s">
        <v>60</v>
      </c>
      <c r="C634">
        <v>44.28</v>
      </c>
      <c r="D634">
        <v>529</v>
      </c>
      <c r="E634" t="b">
        <v>1</v>
      </c>
      <c r="F634" t="b">
        <v>0</v>
      </c>
      <c r="G634" t="b">
        <v>0</v>
      </c>
      <c r="H634" t="s">
        <v>43</v>
      </c>
      <c r="I634" t="s">
        <v>35</v>
      </c>
      <c r="J634" t="s">
        <v>36</v>
      </c>
      <c r="K634" t="s">
        <v>39</v>
      </c>
      <c r="L634" t="s">
        <v>37</v>
      </c>
      <c r="M634" t="s">
        <v>28</v>
      </c>
      <c r="N634" t="s">
        <v>28</v>
      </c>
      <c r="O634" t="b">
        <v>0</v>
      </c>
      <c r="P634" t="b">
        <v>1</v>
      </c>
      <c r="Q634">
        <v>4.9000000000000004</v>
      </c>
      <c r="R634" t="b">
        <v>1</v>
      </c>
      <c r="S634" t="s">
        <v>30</v>
      </c>
      <c r="T634">
        <v>13.9</v>
      </c>
      <c r="U634">
        <v>33.799999999999997</v>
      </c>
      <c r="V634" t="b">
        <v>1</v>
      </c>
      <c r="W634" t="s">
        <v>72</v>
      </c>
      <c r="AE634" t="str">
        <f t="shared" si="63"/>
        <v>No</v>
      </c>
      <c r="AF634" t="str">
        <f t="shared" si="64"/>
        <v>Low</v>
      </c>
      <c r="AG634" t="str">
        <f t="shared" si="65"/>
        <v>No</v>
      </c>
      <c r="AH634" t="str">
        <f t="shared" si="66"/>
        <v>Google Search</v>
      </c>
      <c r="AJ634" t="str">
        <f t="shared" si="67"/>
        <v>Moderate Trust</v>
      </c>
      <c r="AL634">
        <f t="shared" si="68"/>
        <v>33.799999999999997</v>
      </c>
      <c r="AM634" t="str">
        <f t="shared" si="69"/>
        <v>PhD</v>
      </c>
    </row>
    <row r="635" spans="1:39" x14ac:dyDescent="0.25">
      <c r="A635" t="s">
        <v>68</v>
      </c>
      <c r="B635" t="s">
        <v>60</v>
      </c>
      <c r="C635">
        <v>58.49</v>
      </c>
      <c r="D635">
        <v>355</v>
      </c>
      <c r="E635" t="b">
        <v>1</v>
      </c>
      <c r="F635" t="b">
        <v>1</v>
      </c>
      <c r="G635" t="b">
        <v>1</v>
      </c>
      <c r="H635" t="s">
        <v>34</v>
      </c>
      <c r="I635" t="s">
        <v>67</v>
      </c>
      <c r="J635" t="s">
        <v>27</v>
      </c>
      <c r="K635" t="s">
        <v>28</v>
      </c>
      <c r="L635" t="s">
        <v>38</v>
      </c>
      <c r="M635" t="s">
        <v>47</v>
      </c>
      <c r="N635" t="s">
        <v>28</v>
      </c>
      <c r="O635" t="b">
        <v>0</v>
      </c>
      <c r="P635" t="b">
        <v>0</v>
      </c>
      <c r="Q635">
        <v>6.8</v>
      </c>
      <c r="R635" t="b">
        <v>1</v>
      </c>
      <c r="S635" t="s">
        <v>30</v>
      </c>
      <c r="T635">
        <v>33</v>
      </c>
      <c r="U635">
        <v>66.97</v>
      </c>
      <c r="V635" t="b">
        <v>1</v>
      </c>
      <c r="W635" t="s">
        <v>41</v>
      </c>
      <c r="AE635" t="str">
        <f t="shared" si="63"/>
        <v>Yes</v>
      </c>
      <c r="AF635" t="str">
        <f t="shared" si="64"/>
        <v>Low</v>
      </c>
      <c r="AG635" t="str">
        <f t="shared" si="65"/>
        <v>No</v>
      </c>
      <c r="AH635" t="str">
        <f t="shared" si="66"/>
        <v>Google Search</v>
      </c>
      <c r="AJ635" t="str">
        <f t="shared" si="67"/>
        <v>Moderate Trust</v>
      </c>
      <c r="AL635">
        <f t="shared" si="68"/>
        <v>67</v>
      </c>
      <c r="AM635" t="str">
        <f t="shared" si="69"/>
        <v>Bachelors</v>
      </c>
    </row>
    <row r="636" spans="1:39" x14ac:dyDescent="0.25">
      <c r="A636" t="s">
        <v>68</v>
      </c>
      <c r="B636" t="s">
        <v>49</v>
      </c>
      <c r="C636">
        <v>65.2</v>
      </c>
      <c r="D636">
        <v>609</v>
      </c>
      <c r="E636" t="b">
        <v>0</v>
      </c>
      <c r="F636" t="b">
        <v>0</v>
      </c>
      <c r="G636" t="b">
        <v>0</v>
      </c>
      <c r="H636" t="s">
        <v>34</v>
      </c>
      <c r="I636" t="s">
        <v>35</v>
      </c>
      <c r="J636" t="s">
        <v>36</v>
      </c>
      <c r="K636" t="s">
        <v>37</v>
      </c>
      <c r="L636" t="s">
        <v>51</v>
      </c>
      <c r="M636" t="s">
        <v>46</v>
      </c>
      <c r="N636" t="s">
        <v>46</v>
      </c>
      <c r="P636" t="b">
        <v>0</v>
      </c>
      <c r="Q636">
        <v>6.5</v>
      </c>
      <c r="R636" t="b">
        <v>0</v>
      </c>
      <c r="T636">
        <v>0</v>
      </c>
      <c r="U636">
        <v>70.180000000000007</v>
      </c>
      <c r="V636" t="b">
        <v>1</v>
      </c>
      <c r="W636" t="s">
        <v>31</v>
      </c>
      <c r="AE636" t="str">
        <f t="shared" si="63"/>
        <v>No</v>
      </c>
      <c r="AF636" t="str">
        <f t="shared" si="64"/>
        <v>Medium</v>
      </c>
      <c r="AG636" t="str">
        <f t="shared" si="65"/>
        <v>No</v>
      </c>
      <c r="AH636" t="str">
        <f t="shared" si="66"/>
        <v>Unknown</v>
      </c>
      <c r="AJ636" t="str">
        <f t="shared" si="67"/>
        <v>Moderate Trust</v>
      </c>
      <c r="AL636">
        <f t="shared" si="68"/>
        <v>70.2</v>
      </c>
      <c r="AM636" t="str">
        <f t="shared" si="69"/>
        <v>PhD</v>
      </c>
    </row>
    <row r="637" spans="1:39" x14ac:dyDescent="0.25">
      <c r="A637" t="s">
        <v>61</v>
      </c>
      <c r="B637" t="s">
        <v>24</v>
      </c>
      <c r="C637">
        <v>85.55</v>
      </c>
      <c r="D637">
        <v>163</v>
      </c>
      <c r="E637" t="b">
        <v>1</v>
      </c>
      <c r="F637" t="b">
        <v>1</v>
      </c>
      <c r="G637" t="b">
        <v>1</v>
      </c>
      <c r="H637" t="s">
        <v>53</v>
      </c>
      <c r="I637" t="s">
        <v>35</v>
      </c>
      <c r="J637" t="s">
        <v>54</v>
      </c>
      <c r="K637" t="s">
        <v>37</v>
      </c>
      <c r="L637" t="s">
        <v>37</v>
      </c>
      <c r="M637" t="s">
        <v>46</v>
      </c>
      <c r="N637" t="s">
        <v>39</v>
      </c>
      <c r="P637" t="b">
        <v>0</v>
      </c>
      <c r="Q637">
        <v>8.4</v>
      </c>
      <c r="R637" t="b">
        <v>1</v>
      </c>
      <c r="S637" t="s">
        <v>30</v>
      </c>
      <c r="T637">
        <v>44.8</v>
      </c>
      <c r="U637">
        <v>84.62</v>
      </c>
      <c r="V637" t="b">
        <v>1</v>
      </c>
      <c r="W637" t="s">
        <v>31</v>
      </c>
      <c r="AE637" t="str">
        <f t="shared" si="63"/>
        <v>Yes</v>
      </c>
      <c r="AF637" t="str">
        <f t="shared" si="64"/>
        <v>High</v>
      </c>
      <c r="AG637" t="str">
        <f t="shared" si="65"/>
        <v>No</v>
      </c>
      <c r="AH637" t="str">
        <f t="shared" si="66"/>
        <v>Google Search</v>
      </c>
      <c r="AJ637" t="str">
        <f t="shared" si="67"/>
        <v>High Trust</v>
      </c>
      <c r="AL637">
        <f t="shared" si="68"/>
        <v>84.6</v>
      </c>
      <c r="AM637" t="str">
        <f t="shared" si="69"/>
        <v>Masters</v>
      </c>
    </row>
    <row r="638" spans="1:39" x14ac:dyDescent="0.25">
      <c r="A638" t="s">
        <v>61</v>
      </c>
      <c r="B638" t="s">
        <v>76</v>
      </c>
      <c r="C638">
        <v>86</v>
      </c>
      <c r="D638">
        <v>80</v>
      </c>
      <c r="E638" t="b">
        <v>1</v>
      </c>
      <c r="F638" t="b">
        <v>0</v>
      </c>
      <c r="G638" t="b">
        <v>1</v>
      </c>
      <c r="H638" t="s">
        <v>25</v>
      </c>
      <c r="I638" t="s">
        <v>57</v>
      </c>
      <c r="J638" t="s">
        <v>27</v>
      </c>
      <c r="K638" t="s">
        <v>46</v>
      </c>
      <c r="L638" t="s">
        <v>38</v>
      </c>
      <c r="M638" t="s">
        <v>39</v>
      </c>
      <c r="O638" t="b">
        <v>0</v>
      </c>
      <c r="P638" t="b">
        <v>1</v>
      </c>
      <c r="Q638">
        <v>9.8000000000000007</v>
      </c>
      <c r="R638" t="b">
        <v>0</v>
      </c>
      <c r="T638">
        <v>0</v>
      </c>
      <c r="U638">
        <v>79.959999999999994</v>
      </c>
      <c r="V638" t="b">
        <v>1</v>
      </c>
      <c r="W638" t="s">
        <v>58</v>
      </c>
      <c r="AE638" t="str">
        <f t="shared" si="63"/>
        <v>No</v>
      </c>
      <c r="AF638" t="str">
        <f t="shared" si="64"/>
        <v>Unknown</v>
      </c>
      <c r="AG638" t="str">
        <f t="shared" si="65"/>
        <v>No</v>
      </c>
      <c r="AH638" t="str">
        <f t="shared" si="66"/>
        <v>Unknown</v>
      </c>
      <c r="AJ638" t="str">
        <f t="shared" si="67"/>
        <v>High Trust</v>
      </c>
      <c r="AL638">
        <f t="shared" si="68"/>
        <v>80</v>
      </c>
      <c r="AM638" t="str">
        <f t="shared" si="69"/>
        <v>Bachelors</v>
      </c>
    </row>
    <row r="639" spans="1:39" x14ac:dyDescent="0.25">
      <c r="A639" t="s">
        <v>32</v>
      </c>
      <c r="B639" t="s">
        <v>49</v>
      </c>
      <c r="C639">
        <v>78.180000000000007</v>
      </c>
      <c r="D639">
        <v>114</v>
      </c>
      <c r="E639" t="b">
        <v>0</v>
      </c>
      <c r="F639" t="b">
        <v>1</v>
      </c>
      <c r="G639" t="b">
        <v>1</v>
      </c>
      <c r="H639" t="s">
        <v>53</v>
      </c>
      <c r="I639" t="s">
        <v>35</v>
      </c>
      <c r="J639" t="s">
        <v>27</v>
      </c>
      <c r="K639" t="s">
        <v>37</v>
      </c>
      <c r="L639" t="s">
        <v>29</v>
      </c>
      <c r="M639" t="s">
        <v>46</v>
      </c>
      <c r="N639" t="s">
        <v>46</v>
      </c>
      <c r="P639" t="b">
        <v>1</v>
      </c>
      <c r="Q639">
        <v>7.5</v>
      </c>
      <c r="R639" t="b">
        <v>0</v>
      </c>
      <c r="T639">
        <v>0</v>
      </c>
      <c r="U639">
        <v>82.65</v>
      </c>
      <c r="V639" t="b">
        <v>1</v>
      </c>
      <c r="W639" t="s">
        <v>31</v>
      </c>
      <c r="AE639" t="str">
        <f t="shared" si="63"/>
        <v>Yes</v>
      </c>
      <c r="AF639" t="str">
        <f t="shared" si="64"/>
        <v>Medium</v>
      </c>
      <c r="AG639" t="str">
        <f t="shared" si="65"/>
        <v>No</v>
      </c>
      <c r="AH639" t="str">
        <f t="shared" si="66"/>
        <v>Unknown</v>
      </c>
      <c r="AJ639" t="str">
        <f t="shared" si="67"/>
        <v>Low Trust</v>
      </c>
      <c r="AL639">
        <f t="shared" si="68"/>
        <v>82.7</v>
      </c>
      <c r="AM639" t="str">
        <f t="shared" si="69"/>
        <v>Bachelors</v>
      </c>
    </row>
    <row r="640" spans="1:39" x14ac:dyDescent="0.25">
      <c r="A640" t="s">
        <v>32</v>
      </c>
      <c r="B640" t="s">
        <v>71</v>
      </c>
      <c r="C640">
        <v>54.8</v>
      </c>
      <c r="D640">
        <v>241</v>
      </c>
      <c r="E640" t="b">
        <v>0</v>
      </c>
      <c r="F640" t="b">
        <v>1</v>
      </c>
      <c r="G640" t="b">
        <v>0</v>
      </c>
      <c r="H640" t="s">
        <v>53</v>
      </c>
      <c r="I640" t="s">
        <v>67</v>
      </c>
      <c r="J640" t="s">
        <v>36</v>
      </c>
      <c r="K640" t="s">
        <v>37</v>
      </c>
      <c r="L640" t="s">
        <v>37</v>
      </c>
      <c r="M640" t="s">
        <v>39</v>
      </c>
      <c r="N640" t="s">
        <v>28</v>
      </c>
      <c r="P640" t="b">
        <v>1</v>
      </c>
      <c r="Q640">
        <v>4.3</v>
      </c>
      <c r="R640" t="b">
        <v>1</v>
      </c>
      <c r="S640" t="s">
        <v>30</v>
      </c>
      <c r="T640">
        <v>7.3</v>
      </c>
      <c r="U640">
        <v>48.15</v>
      </c>
      <c r="V640" t="b">
        <v>1</v>
      </c>
      <c r="W640" t="s">
        <v>72</v>
      </c>
      <c r="AE640" t="str">
        <f t="shared" si="63"/>
        <v>Yes</v>
      </c>
      <c r="AF640" t="str">
        <f t="shared" si="64"/>
        <v>Low</v>
      </c>
      <c r="AG640" t="str">
        <f t="shared" si="65"/>
        <v>No</v>
      </c>
      <c r="AH640" t="str">
        <f t="shared" si="66"/>
        <v>Google Search</v>
      </c>
      <c r="AJ640" t="str">
        <f t="shared" si="67"/>
        <v>Moderate Trust</v>
      </c>
      <c r="AL640">
        <f t="shared" si="68"/>
        <v>48.2</v>
      </c>
      <c r="AM640" t="str">
        <f t="shared" si="69"/>
        <v>PhD</v>
      </c>
    </row>
    <row r="641" spans="1:39" x14ac:dyDescent="0.25">
      <c r="A641" t="s">
        <v>23</v>
      </c>
      <c r="B641" t="s">
        <v>24</v>
      </c>
      <c r="C641">
        <v>86.88</v>
      </c>
      <c r="D641">
        <v>217</v>
      </c>
      <c r="E641" t="b">
        <v>1</v>
      </c>
      <c r="F641" t="b">
        <v>0</v>
      </c>
      <c r="G641" t="b">
        <v>0</v>
      </c>
      <c r="H641" t="s">
        <v>53</v>
      </c>
      <c r="I641" t="s">
        <v>44</v>
      </c>
      <c r="J641" t="s">
        <v>27</v>
      </c>
      <c r="K641" t="s">
        <v>46</v>
      </c>
      <c r="L641" t="s">
        <v>69</v>
      </c>
      <c r="M641" t="s">
        <v>47</v>
      </c>
      <c r="N641" t="s">
        <v>46</v>
      </c>
      <c r="O641" t="b">
        <v>0</v>
      </c>
      <c r="P641" t="b">
        <v>0</v>
      </c>
      <c r="Q641">
        <v>8.9</v>
      </c>
      <c r="R641" t="b">
        <v>1</v>
      </c>
      <c r="S641" t="s">
        <v>75</v>
      </c>
      <c r="T641">
        <v>3.9</v>
      </c>
      <c r="U641">
        <v>75.180000000000007</v>
      </c>
      <c r="V641" t="b">
        <v>1</v>
      </c>
      <c r="W641" t="s">
        <v>31</v>
      </c>
      <c r="AE641" t="str">
        <f t="shared" si="63"/>
        <v>No</v>
      </c>
      <c r="AF641" t="str">
        <f t="shared" si="64"/>
        <v>Medium</v>
      </c>
      <c r="AG641" t="str">
        <f t="shared" si="65"/>
        <v>No</v>
      </c>
      <c r="AH641" t="str">
        <f t="shared" si="66"/>
        <v>Asked Colleague</v>
      </c>
      <c r="AJ641" t="str">
        <f t="shared" si="67"/>
        <v>High Trust</v>
      </c>
      <c r="AL641">
        <f t="shared" si="68"/>
        <v>75.2</v>
      </c>
      <c r="AM641" t="str">
        <f t="shared" si="69"/>
        <v>Bachelors</v>
      </c>
    </row>
    <row r="642" spans="1:39" x14ac:dyDescent="0.25">
      <c r="A642" t="s">
        <v>23</v>
      </c>
      <c r="B642" t="s">
        <v>71</v>
      </c>
      <c r="C642">
        <v>52.43</v>
      </c>
      <c r="D642">
        <v>396</v>
      </c>
      <c r="E642" t="b">
        <v>1</v>
      </c>
      <c r="F642" t="b">
        <v>1</v>
      </c>
      <c r="G642" t="b">
        <v>1</v>
      </c>
      <c r="H642" t="s">
        <v>25</v>
      </c>
      <c r="I642" t="s">
        <v>44</v>
      </c>
      <c r="J642" t="s">
        <v>54</v>
      </c>
      <c r="K642" t="s">
        <v>37</v>
      </c>
      <c r="L642" t="s">
        <v>51</v>
      </c>
      <c r="M642" t="s">
        <v>46</v>
      </c>
      <c r="N642" t="s">
        <v>28</v>
      </c>
      <c r="O642" t="b">
        <v>1</v>
      </c>
      <c r="P642" t="b">
        <v>0</v>
      </c>
      <c r="Q642">
        <v>7.2</v>
      </c>
      <c r="R642" t="b">
        <v>1</v>
      </c>
      <c r="S642" t="s">
        <v>30</v>
      </c>
      <c r="T642">
        <v>35.9</v>
      </c>
      <c r="U642">
        <v>47.14</v>
      </c>
      <c r="V642" t="b">
        <v>0</v>
      </c>
      <c r="W642" t="s">
        <v>41</v>
      </c>
      <c r="AE642" t="str">
        <f t="shared" si="63"/>
        <v>Yes</v>
      </c>
      <c r="AF642" t="str">
        <f t="shared" si="64"/>
        <v>Low</v>
      </c>
      <c r="AG642" t="str">
        <f t="shared" si="65"/>
        <v>Yes</v>
      </c>
      <c r="AH642" t="str">
        <f t="shared" si="66"/>
        <v>Google Search</v>
      </c>
      <c r="AJ642" t="str">
        <f t="shared" si="67"/>
        <v>Moderate Trust</v>
      </c>
      <c r="AL642">
        <f t="shared" si="68"/>
        <v>47.1</v>
      </c>
      <c r="AM642" t="str">
        <f t="shared" si="69"/>
        <v>Masters</v>
      </c>
    </row>
    <row r="643" spans="1:39" x14ac:dyDescent="0.25">
      <c r="A643" t="s">
        <v>23</v>
      </c>
      <c r="B643" t="s">
        <v>59</v>
      </c>
      <c r="C643">
        <v>94.22</v>
      </c>
      <c r="D643">
        <v>163</v>
      </c>
      <c r="E643" t="b">
        <v>1</v>
      </c>
      <c r="F643" t="b">
        <v>0</v>
      </c>
      <c r="G643" t="b">
        <v>0</v>
      </c>
      <c r="H643" t="s">
        <v>53</v>
      </c>
      <c r="I643" t="s">
        <v>63</v>
      </c>
      <c r="J643" t="s">
        <v>36</v>
      </c>
      <c r="K643" t="s">
        <v>39</v>
      </c>
      <c r="L643" t="s">
        <v>69</v>
      </c>
      <c r="M643" t="s">
        <v>46</v>
      </c>
      <c r="N643" t="s">
        <v>46</v>
      </c>
      <c r="P643" t="b">
        <v>0</v>
      </c>
      <c r="Q643">
        <v>10</v>
      </c>
      <c r="R643" t="b">
        <v>0</v>
      </c>
      <c r="T643">
        <v>0</v>
      </c>
      <c r="U643">
        <v>95.96</v>
      </c>
      <c r="V643" t="b">
        <v>1</v>
      </c>
      <c r="W643" t="s">
        <v>58</v>
      </c>
      <c r="AE643" t="str">
        <f t="shared" ref="AE643:AE706" si="70">IF(F643=TRUE,"Yes","No")</f>
        <v>No</v>
      </c>
      <c r="AF643" t="str">
        <f t="shared" ref="AF643:AF706" si="71">IF(ISBLANK(N643),"Unknown",N643)</f>
        <v>Medium</v>
      </c>
      <c r="AG643" t="str">
        <f t="shared" ref="AG643:AG706" si="72">IF(O643=TRUE,"Yes","No")</f>
        <v>No</v>
      </c>
      <c r="AH643" t="str">
        <f t="shared" ref="AH643:AH706" si="73">IF(ISBLANK(S643),"Unknown",S643)</f>
        <v>Unknown</v>
      </c>
      <c r="AJ643" t="str">
        <f t="shared" ref="AJ643:AJ706" si="74">IF(Q643&gt;=8,"High Trust",
IF(Q644&gt;=5,"Moderate Trust","Low Trust"))</f>
        <v>High Trust</v>
      </c>
      <c r="AL643">
        <f t="shared" ref="AL643:AL706" si="75">ROUND(U643,1)</f>
        <v>96</v>
      </c>
      <c r="AM643" t="str">
        <f t="shared" ref="AM643:AM706" si="76">TRIM(J643)</f>
        <v>PhD</v>
      </c>
    </row>
    <row r="644" spans="1:39" x14ac:dyDescent="0.25">
      <c r="A644" t="s">
        <v>56</v>
      </c>
      <c r="B644" t="s">
        <v>62</v>
      </c>
      <c r="C644">
        <v>70.930000000000007</v>
      </c>
      <c r="D644">
        <v>577</v>
      </c>
      <c r="E644" t="b">
        <v>0</v>
      </c>
      <c r="F644" t="b">
        <v>0</v>
      </c>
      <c r="G644" t="b">
        <v>1</v>
      </c>
      <c r="H644" t="s">
        <v>53</v>
      </c>
      <c r="I644" t="s">
        <v>67</v>
      </c>
      <c r="J644" t="s">
        <v>45</v>
      </c>
      <c r="K644" t="s">
        <v>39</v>
      </c>
      <c r="L644" t="s">
        <v>69</v>
      </c>
      <c r="M644" t="s">
        <v>46</v>
      </c>
      <c r="O644" t="b">
        <v>0</v>
      </c>
      <c r="P644" t="b">
        <v>1</v>
      </c>
      <c r="Q644">
        <v>6.9</v>
      </c>
      <c r="R644" t="b">
        <v>0</v>
      </c>
      <c r="T644">
        <v>0</v>
      </c>
      <c r="U644">
        <v>75.599999999999994</v>
      </c>
      <c r="V644" t="b">
        <v>1</v>
      </c>
      <c r="W644" t="s">
        <v>31</v>
      </c>
      <c r="AE644" t="str">
        <f t="shared" si="70"/>
        <v>No</v>
      </c>
      <c r="AF644" t="str">
        <f t="shared" si="71"/>
        <v>Unknown</v>
      </c>
      <c r="AG644" t="str">
        <f t="shared" si="72"/>
        <v>No</v>
      </c>
      <c r="AH644" t="str">
        <f t="shared" si="73"/>
        <v>Unknown</v>
      </c>
      <c r="AJ644" t="str">
        <f t="shared" si="74"/>
        <v>Moderate Trust</v>
      </c>
      <c r="AL644">
        <f t="shared" si="75"/>
        <v>75.599999999999994</v>
      </c>
      <c r="AM644" t="str">
        <f t="shared" si="76"/>
        <v>High School</v>
      </c>
    </row>
    <row r="645" spans="1:39" x14ac:dyDescent="0.25">
      <c r="A645" t="s">
        <v>74</v>
      </c>
      <c r="B645" t="s">
        <v>42</v>
      </c>
      <c r="C645">
        <v>82.44</v>
      </c>
      <c r="D645">
        <v>347</v>
      </c>
      <c r="E645" t="b">
        <v>1</v>
      </c>
      <c r="F645" t="b">
        <v>0</v>
      </c>
      <c r="G645" t="b">
        <v>0</v>
      </c>
      <c r="H645" t="s">
        <v>34</v>
      </c>
      <c r="I645" t="s">
        <v>35</v>
      </c>
      <c r="J645" t="s">
        <v>50</v>
      </c>
      <c r="K645" t="s">
        <v>39</v>
      </c>
      <c r="L645" t="s">
        <v>37</v>
      </c>
      <c r="M645" t="s">
        <v>47</v>
      </c>
      <c r="N645" t="s">
        <v>28</v>
      </c>
      <c r="O645" t="b">
        <v>1</v>
      </c>
      <c r="P645" t="b">
        <v>0</v>
      </c>
      <c r="Q645">
        <v>10</v>
      </c>
      <c r="R645" t="b">
        <v>1</v>
      </c>
      <c r="S645" t="s">
        <v>65</v>
      </c>
      <c r="T645">
        <v>11.4</v>
      </c>
      <c r="U645">
        <v>95.46</v>
      </c>
      <c r="V645" t="b">
        <v>1</v>
      </c>
      <c r="W645" t="s">
        <v>31</v>
      </c>
      <c r="AE645" t="str">
        <f t="shared" si="70"/>
        <v>No</v>
      </c>
      <c r="AF645" t="str">
        <f t="shared" si="71"/>
        <v>Low</v>
      </c>
      <c r="AG645" t="str">
        <f t="shared" si="72"/>
        <v>Yes</v>
      </c>
      <c r="AH645" t="str">
        <f t="shared" si="73"/>
        <v>Cross-referenced Multiple AIs</v>
      </c>
      <c r="AJ645" t="str">
        <f t="shared" si="74"/>
        <v>High Trust</v>
      </c>
      <c r="AL645">
        <f t="shared" si="75"/>
        <v>95.5</v>
      </c>
      <c r="AM645" t="str">
        <f t="shared" si="76"/>
        <v>Professional</v>
      </c>
    </row>
    <row r="646" spans="1:39" x14ac:dyDescent="0.25">
      <c r="A646" t="s">
        <v>61</v>
      </c>
      <c r="B646" t="s">
        <v>71</v>
      </c>
      <c r="C646">
        <v>53.88</v>
      </c>
      <c r="D646">
        <v>696</v>
      </c>
      <c r="E646" t="b">
        <v>0</v>
      </c>
      <c r="F646" t="b">
        <v>0</v>
      </c>
      <c r="G646" t="b">
        <v>1</v>
      </c>
      <c r="H646" t="s">
        <v>34</v>
      </c>
      <c r="I646" t="s">
        <v>63</v>
      </c>
      <c r="J646" t="s">
        <v>54</v>
      </c>
      <c r="K646" t="s">
        <v>46</v>
      </c>
      <c r="L646" t="s">
        <v>51</v>
      </c>
      <c r="M646" t="s">
        <v>39</v>
      </c>
      <c r="N646" t="s">
        <v>39</v>
      </c>
      <c r="O646" t="b">
        <v>1</v>
      </c>
      <c r="P646" t="b">
        <v>1</v>
      </c>
      <c r="Q646">
        <v>6.5</v>
      </c>
      <c r="R646" t="b">
        <v>1</v>
      </c>
      <c r="S646" t="s">
        <v>75</v>
      </c>
      <c r="T646">
        <v>23.4</v>
      </c>
      <c r="U646">
        <v>31.73</v>
      </c>
      <c r="V646" t="b">
        <v>0</v>
      </c>
      <c r="W646" t="s">
        <v>41</v>
      </c>
      <c r="AE646" t="str">
        <f t="shared" si="70"/>
        <v>No</v>
      </c>
      <c r="AF646" t="str">
        <f t="shared" si="71"/>
        <v>High</v>
      </c>
      <c r="AG646" t="str">
        <f t="shared" si="72"/>
        <v>Yes</v>
      </c>
      <c r="AH646" t="str">
        <f t="shared" si="73"/>
        <v>Asked Colleague</v>
      </c>
      <c r="AJ646" t="str">
        <f t="shared" si="74"/>
        <v>Moderate Trust</v>
      </c>
      <c r="AL646">
        <f t="shared" si="75"/>
        <v>31.7</v>
      </c>
      <c r="AM646" t="str">
        <f t="shared" si="76"/>
        <v>Masters</v>
      </c>
    </row>
    <row r="647" spans="1:39" x14ac:dyDescent="0.25">
      <c r="A647" t="s">
        <v>56</v>
      </c>
      <c r="B647" t="s">
        <v>62</v>
      </c>
      <c r="C647">
        <v>55.75</v>
      </c>
      <c r="D647">
        <v>240</v>
      </c>
      <c r="E647" t="b">
        <v>1</v>
      </c>
      <c r="F647" t="b">
        <v>0</v>
      </c>
      <c r="G647" t="b">
        <v>1</v>
      </c>
      <c r="H647" t="s">
        <v>53</v>
      </c>
      <c r="I647" t="s">
        <v>63</v>
      </c>
      <c r="J647" t="s">
        <v>45</v>
      </c>
      <c r="K647" t="s">
        <v>28</v>
      </c>
      <c r="L647" t="s">
        <v>51</v>
      </c>
      <c r="M647" t="s">
        <v>46</v>
      </c>
      <c r="N647" t="s">
        <v>46</v>
      </c>
      <c r="P647" t="b">
        <v>0</v>
      </c>
      <c r="Q647">
        <v>7.1</v>
      </c>
      <c r="R647" t="b">
        <v>0</v>
      </c>
      <c r="T647">
        <v>0</v>
      </c>
      <c r="U647">
        <v>42.98</v>
      </c>
      <c r="V647" t="b">
        <v>0</v>
      </c>
      <c r="W647" t="s">
        <v>31</v>
      </c>
      <c r="AE647" t="str">
        <f t="shared" si="70"/>
        <v>No</v>
      </c>
      <c r="AF647" t="str">
        <f t="shared" si="71"/>
        <v>Medium</v>
      </c>
      <c r="AG647" t="str">
        <f t="shared" si="72"/>
        <v>No</v>
      </c>
      <c r="AH647" t="str">
        <f t="shared" si="73"/>
        <v>Unknown</v>
      </c>
      <c r="AJ647" t="str">
        <f t="shared" si="74"/>
        <v>Moderate Trust</v>
      </c>
      <c r="AL647">
        <f t="shared" si="75"/>
        <v>43</v>
      </c>
      <c r="AM647" t="str">
        <f t="shared" si="76"/>
        <v>High School</v>
      </c>
    </row>
    <row r="648" spans="1:39" x14ac:dyDescent="0.25">
      <c r="A648" t="s">
        <v>32</v>
      </c>
      <c r="B648" t="s">
        <v>70</v>
      </c>
      <c r="C648">
        <v>70.47</v>
      </c>
      <c r="D648">
        <v>441</v>
      </c>
      <c r="E648" t="b">
        <v>1</v>
      </c>
      <c r="F648" t="b">
        <v>1</v>
      </c>
      <c r="G648" t="b">
        <v>1</v>
      </c>
      <c r="H648" t="s">
        <v>25</v>
      </c>
      <c r="I648" t="s">
        <v>67</v>
      </c>
      <c r="J648" t="s">
        <v>50</v>
      </c>
      <c r="K648" t="s">
        <v>39</v>
      </c>
      <c r="L648" t="s">
        <v>37</v>
      </c>
      <c r="M648" t="s">
        <v>28</v>
      </c>
      <c r="N648" t="s">
        <v>46</v>
      </c>
      <c r="O648" t="b">
        <v>0</v>
      </c>
      <c r="P648" t="b">
        <v>1</v>
      </c>
      <c r="Q648">
        <v>6.8</v>
      </c>
      <c r="R648" t="b">
        <v>0</v>
      </c>
      <c r="T648">
        <v>0</v>
      </c>
      <c r="U648">
        <v>83.14</v>
      </c>
      <c r="V648" t="b">
        <v>1</v>
      </c>
      <c r="W648" t="s">
        <v>31</v>
      </c>
      <c r="AE648" t="str">
        <f t="shared" si="70"/>
        <v>Yes</v>
      </c>
      <c r="AF648" t="str">
        <f t="shared" si="71"/>
        <v>Medium</v>
      </c>
      <c r="AG648" t="str">
        <f t="shared" si="72"/>
        <v>No</v>
      </c>
      <c r="AH648" t="str">
        <f t="shared" si="73"/>
        <v>Unknown</v>
      </c>
      <c r="AJ648" t="str">
        <f t="shared" si="74"/>
        <v>Moderate Trust</v>
      </c>
      <c r="AL648">
        <f t="shared" si="75"/>
        <v>83.1</v>
      </c>
      <c r="AM648" t="str">
        <f t="shared" si="76"/>
        <v>Professional</v>
      </c>
    </row>
    <row r="649" spans="1:39" x14ac:dyDescent="0.25">
      <c r="A649" t="s">
        <v>68</v>
      </c>
      <c r="B649" t="s">
        <v>62</v>
      </c>
      <c r="C649">
        <v>62.75</v>
      </c>
      <c r="D649">
        <v>503</v>
      </c>
      <c r="E649" t="b">
        <v>0</v>
      </c>
      <c r="F649" t="b">
        <v>1</v>
      </c>
      <c r="G649" t="b">
        <v>1</v>
      </c>
      <c r="H649" t="s">
        <v>53</v>
      </c>
      <c r="I649" t="s">
        <v>35</v>
      </c>
      <c r="J649" t="s">
        <v>45</v>
      </c>
      <c r="K649" t="s">
        <v>46</v>
      </c>
      <c r="L649" t="s">
        <v>51</v>
      </c>
      <c r="M649" t="s">
        <v>28</v>
      </c>
      <c r="N649" t="s">
        <v>46</v>
      </c>
      <c r="P649" t="b">
        <v>1</v>
      </c>
      <c r="Q649">
        <v>7.1</v>
      </c>
      <c r="R649" t="b">
        <v>0</v>
      </c>
      <c r="T649">
        <v>0</v>
      </c>
      <c r="U649">
        <v>66.3</v>
      </c>
      <c r="V649" t="b">
        <v>1</v>
      </c>
      <c r="W649" t="s">
        <v>31</v>
      </c>
      <c r="AE649" t="str">
        <f t="shared" si="70"/>
        <v>Yes</v>
      </c>
      <c r="AF649" t="str">
        <f t="shared" si="71"/>
        <v>Medium</v>
      </c>
      <c r="AG649" t="str">
        <f t="shared" si="72"/>
        <v>No</v>
      </c>
      <c r="AH649" t="str">
        <f t="shared" si="73"/>
        <v>Unknown</v>
      </c>
      <c r="AJ649" t="str">
        <f t="shared" si="74"/>
        <v>Moderate Trust</v>
      </c>
      <c r="AL649">
        <f t="shared" si="75"/>
        <v>66.3</v>
      </c>
      <c r="AM649" t="str">
        <f t="shared" si="76"/>
        <v>High School</v>
      </c>
    </row>
    <row r="650" spans="1:39" x14ac:dyDescent="0.25">
      <c r="A650" t="s">
        <v>56</v>
      </c>
      <c r="B650" t="s">
        <v>76</v>
      </c>
      <c r="C650">
        <v>72.67</v>
      </c>
      <c r="D650">
        <v>738</v>
      </c>
      <c r="E650" t="b">
        <v>1</v>
      </c>
      <c r="F650" t="b">
        <v>0</v>
      </c>
      <c r="G650" t="b">
        <v>1</v>
      </c>
      <c r="H650" t="s">
        <v>34</v>
      </c>
      <c r="I650" t="s">
        <v>63</v>
      </c>
      <c r="J650" t="s">
        <v>27</v>
      </c>
      <c r="K650" t="s">
        <v>37</v>
      </c>
      <c r="L650" t="s">
        <v>51</v>
      </c>
      <c r="M650" t="s">
        <v>47</v>
      </c>
      <c r="N650" t="s">
        <v>28</v>
      </c>
      <c r="O650" t="b">
        <v>0</v>
      </c>
      <c r="P650" t="b">
        <v>1</v>
      </c>
      <c r="Q650">
        <v>6.8</v>
      </c>
      <c r="R650" t="b">
        <v>1</v>
      </c>
      <c r="S650" t="s">
        <v>65</v>
      </c>
      <c r="T650">
        <v>32.1</v>
      </c>
      <c r="U650">
        <v>74.55</v>
      </c>
      <c r="V650" t="b">
        <v>1</v>
      </c>
      <c r="W650" t="s">
        <v>41</v>
      </c>
      <c r="AE650" t="str">
        <f t="shared" si="70"/>
        <v>No</v>
      </c>
      <c r="AF650" t="str">
        <f t="shared" si="71"/>
        <v>Low</v>
      </c>
      <c r="AG650" t="str">
        <f t="shared" si="72"/>
        <v>No</v>
      </c>
      <c r="AH650" t="str">
        <f t="shared" si="73"/>
        <v>Cross-referenced Multiple AIs</v>
      </c>
      <c r="AJ650" t="str">
        <f t="shared" si="74"/>
        <v>Moderate Trust</v>
      </c>
      <c r="AL650">
        <f t="shared" si="75"/>
        <v>74.599999999999994</v>
      </c>
      <c r="AM650" t="str">
        <f t="shared" si="76"/>
        <v>Bachelors</v>
      </c>
    </row>
    <row r="651" spans="1:39" x14ac:dyDescent="0.25">
      <c r="A651" t="s">
        <v>74</v>
      </c>
      <c r="B651" t="s">
        <v>60</v>
      </c>
      <c r="C651">
        <v>59.17</v>
      </c>
      <c r="D651">
        <v>604</v>
      </c>
      <c r="E651" t="b">
        <v>1</v>
      </c>
      <c r="F651" t="b">
        <v>0</v>
      </c>
      <c r="G651" t="b">
        <v>0</v>
      </c>
      <c r="H651" t="s">
        <v>34</v>
      </c>
      <c r="I651" t="s">
        <v>63</v>
      </c>
      <c r="J651" t="s">
        <v>27</v>
      </c>
      <c r="K651" t="s">
        <v>28</v>
      </c>
      <c r="L651" t="s">
        <v>69</v>
      </c>
      <c r="M651" t="s">
        <v>46</v>
      </c>
      <c r="N651" t="s">
        <v>39</v>
      </c>
      <c r="O651" t="b">
        <v>0</v>
      </c>
      <c r="P651" t="b">
        <v>0</v>
      </c>
      <c r="Q651">
        <v>8</v>
      </c>
      <c r="R651" t="b">
        <v>0</v>
      </c>
      <c r="T651">
        <v>0</v>
      </c>
      <c r="U651">
        <v>63.38</v>
      </c>
      <c r="V651" t="b">
        <v>1</v>
      </c>
      <c r="W651" t="s">
        <v>58</v>
      </c>
      <c r="AE651" t="str">
        <f t="shared" si="70"/>
        <v>No</v>
      </c>
      <c r="AF651" t="str">
        <f t="shared" si="71"/>
        <v>High</v>
      </c>
      <c r="AG651" t="str">
        <f t="shared" si="72"/>
        <v>No</v>
      </c>
      <c r="AH651" t="str">
        <f t="shared" si="73"/>
        <v>Unknown</v>
      </c>
      <c r="AJ651" t="str">
        <f t="shared" si="74"/>
        <v>High Trust</v>
      </c>
      <c r="AL651">
        <f t="shared" si="75"/>
        <v>63.4</v>
      </c>
      <c r="AM651" t="str">
        <f t="shared" si="76"/>
        <v>Bachelors</v>
      </c>
    </row>
    <row r="652" spans="1:39" x14ac:dyDescent="0.25">
      <c r="A652" t="s">
        <v>61</v>
      </c>
      <c r="B652" t="s">
        <v>24</v>
      </c>
      <c r="C652">
        <v>91.96</v>
      </c>
      <c r="D652">
        <v>148</v>
      </c>
      <c r="E652" t="b">
        <v>1</v>
      </c>
      <c r="F652" t="b">
        <v>0</v>
      </c>
      <c r="G652" t="b">
        <v>0</v>
      </c>
      <c r="H652" t="s">
        <v>43</v>
      </c>
      <c r="I652" t="s">
        <v>57</v>
      </c>
      <c r="J652" t="s">
        <v>50</v>
      </c>
      <c r="K652" t="s">
        <v>46</v>
      </c>
      <c r="L652" t="s">
        <v>69</v>
      </c>
      <c r="M652" t="s">
        <v>28</v>
      </c>
      <c r="P652" t="b">
        <v>0</v>
      </c>
      <c r="Q652">
        <v>10</v>
      </c>
      <c r="R652" t="b">
        <v>0</v>
      </c>
      <c r="T652">
        <v>0</v>
      </c>
      <c r="U652">
        <v>90.13</v>
      </c>
      <c r="V652" t="b">
        <v>1</v>
      </c>
      <c r="W652" t="s">
        <v>58</v>
      </c>
      <c r="AE652" t="str">
        <f t="shared" si="70"/>
        <v>No</v>
      </c>
      <c r="AF652" t="str">
        <f t="shared" si="71"/>
        <v>Unknown</v>
      </c>
      <c r="AG652" t="str">
        <f t="shared" si="72"/>
        <v>No</v>
      </c>
      <c r="AH652" t="str">
        <f t="shared" si="73"/>
        <v>Unknown</v>
      </c>
      <c r="AJ652" t="str">
        <f t="shared" si="74"/>
        <v>High Trust</v>
      </c>
      <c r="AL652">
        <f t="shared" si="75"/>
        <v>90.1</v>
      </c>
      <c r="AM652" t="str">
        <f t="shared" si="76"/>
        <v>Professional</v>
      </c>
    </row>
    <row r="653" spans="1:39" x14ac:dyDescent="0.25">
      <c r="A653" t="s">
        <v>23</v>
      </c>
      <c r="B653" t="s">
        <v>71</v>
      </c>
      <c r="C653">
        <v>46.8</v>
      </c>
      <c r="D653">
        <v>192</v>
      </c>
      <c r="E653" t="b">
        <v>0</v>
      </c>
      <c r="F653" t="b">
        <v>1</v>
      </c>
      <c r="G653" t="b">
        <v>0</v>
      </c>
      <c r="H653" t="s">
        <v>25</v>
      </c>
      <c r="I653" t="s">
        <v>63</v>
      </c>
      <c r="J653" t="s">
        <v>36</v>
      </c>
      <c r="K653" t="s">
        <v>37</v>
      </c>
      <c r="L653" t="s">
        <v>29</v>
      </c>
      <c r="M653" t="s">
        <v>46</v>
      </c>
      <c r="O653" t="b">
        <v>0</v>
      </c>
      <c r="P653" t="b">
        <v>0</v>
      </c>
      <c r="Q653">
        <v>3.6</v>
      </c>
      <c r="R653" t="b">
        <v>1</v>
      </c>
      <c r="S653" t="s">
        <v>65</v>
      </c>
      <c r="T653">
        <v>15.1</v>
      </c>
      <c r="U653">
        <v>30.87</v>
      </c>
      <c r="V653" t="b">
        <v>1</v>
      </c>
      <c r="W653" t="s">
        <v>72</v>
      </c>
      <c r="AE653" t="str">
        <f t="shared" si="70"/>
        <v>Yes</v>
      </c>
      <c r="AF653" t="str">
        <f t="shared" si="71"/>
        <v>Unknown</v>
      </c>
      <c r="AG653" t="str">
        <f t="shared" si="72"/>
        <v>No</v>
      </c>
      <c r="AH653" t="str">
        <f t="shared" si="73"/>
        <v>Cross-referenced Multiple AIs</v>
      </c>
      <c r="AJ653" t="str">
        <f t="shared" si="74"/>
        <v>Moderate Trust</v>
      </c>
      <c r="AL653">
        <f t="shared" si="75"/>
        <v>30.9</v>
      </c>
      <c r="AM653" t="str">
        <f t="shared" si="76"/>
        <v>PhD</v>
      </c>
    </row>
    <row r="654" spans="1:39" x14ac:dyDescent="0.25">
      <c r="A654" t="s">
        <v>68</v>
      </c>
      <c r="B654" t="s">
        <v>33</v>
      </c>
      <c r="C654">
        <v>89.44</v>
      </c>
      <c r="D654">
        <v>66</v>
      </c>
      <c r="E654" t="b">
        <v>1</v>
      </c>
      <c r="F654" t="b">
        <v>1</v>
      </c>
      <c r="G654" t="b">
        <v>1</v>
      </c>
      <c r="H654" t="s">
        <v>25</v>
      </c>
      <c r="I654" t="s">
        <v>67</v>
      </c>
      <c r="J654" t="s">
        <v>27</v>
      </c>
      <c r="K654" t="s">
        <v>37</v>
      </c>
      <c r="L654" t="s">
        <v>37</v>
      </c>
      <c r="M654" t="s">
        <v>39</v>
      </c>
      <c r="N654" t="s">
        <v>46</v>
      </c>
      <c r="O654" t="b">
        <v>1</v>
      </c>
      <c r="P654" t="b">
        <v>1</v>
      </c>
      <c r="Q654">
        <v>10</v>
      </c>
      <c r="R654" t="b">
        <v>1</v>
      </c>
      <c r="S654" t="s">
        <v>52</v>
      </c>
      <c r="T654">
        <v>20.399999999999999</v>
      </c>
      <c r="U654">
        <v>83.57</v>
      </c>
      <c r="V654" t="b">
        <v>1</v>
      </c>
      <c r="W654" t="s">
        <v>31</v>
      </c>
      <c r="AE654" t="str">
        <f t="shared" si="70"/>
        <v>Yes</v>
      </c>
      <c r="AF654" t="str">
        <f t="shared" si="71"/>
        <v>Medium</v>
      </c>
      <c r="AG654" t="str">
        <f t="shared" si="72"/>
        <v>Yes</v>
      </c>
      <c r="AH654" t="str">
        <f t="shared" si="73"/>
        <v>Checked Official Source</v>
      </c>
      <c r="AJ654" t="str">
        <f t="shared" si="74"/>
        <v>High Trust</v>
      </c>
      <c r="AL654">
        <f t="shared" si="75"/>
        <v>83.6</v>
      </c>
      <c r="AM654" t="str">
        <f t="shared" si="76"/>
        <v>Bachelors</v>
      </c>
    </row>
    <row r="655" spans="1:39" x14ac:dyDescent="0.25">
      <c r="A655" t="s">
        <v>68</v>
      </c>
      <c r="B655" t="s">
        <v>59</v>
      </c>
      <c r="C655">
        <v>79.84</v>
      </c>
      <c r="D655">
        <v>381</v>
      </c>
      <c r="E655" t="b">
        <v>1</v>
      </c>
      <c r="F655" t="b">
        <v>1</v>
      </c>
      <c r="G655" t="b">
        <v>1</v>
      </c>
      <c r="H655" t="s">
        <v>34</v>
      </c>
      <c r="I655" t="s">
        <v>63</v>
      </c>
      <c r="J655" t="s">
        <v>36</v>
      </c>
      <c r="K655" t="s">
        <v>39</v>
      </c>
      <c r="L655" t="s">
        <v>29</v>
      </c>
      <c r="M655" t="s">
        <v>39</v>
      </c>
      <c r="N655" t="s">
        <v>46</v>
      </c>
      <c r="P655" t="b">
        <v>1</v>
      </c>
      <c r="Q655">
        <v>8.3000000000000007</v>
      </c>
      <c r="R655" t="b">
        <v>0</v>
      </c>
      <c r="T655">
        <v>0</v>
      </c>
      <c r="U655">
        <v>70.69</v>
      </c>
      <c r="V655" t="b">
        <v>1</v>
      </c>
      <c r="W655" t="s">
        <v>58</v>
      </c>
      <c r="AE655" t="str">
        <f t="shared" si="70"/>
        <v>Yes</v>
      </c>
      <c r="AF655" t="str">
        <f t="shared" si="71"/>
        <v>Medium</v>
      </c>
      <c r="AG655" t="str">
        <f t="shared" si="72"/>
        <v>No</v>
      </c>
      <c r="AH655" t="str">
        <f t="shared" si="73"/>
        <v>Unknown</v>
      </c>
      <c r="AJ655" t="str">
        <f t="shared" si="74"/>
        <v>High Trust</v>
      </c>
      <c r="AL655">
        <f t="shared" si="75"/>
        <v>70.7</v>
      </c>
      <c r="AM655" t="str">
        <f t="shared" si="76"/>
        <v>PhD</v>
      </c>
    </row>
    <row r="656" spans="1:39" x14ac:dyDescent="0.25">
      <c r="A656" t="s">
        <v>61</v>
      </c>
      <c r="B656" t="s">
        <v>71</v>
      </c>
      <c r="C656">
        <v>55.92</v>
      </c>
      <c r="D656">
        <v>602</v>
      </c>
      <c r="E656" t="b">
        <v>0</v>
      </c>
      <c r="F656" t="b">
        <v>0</v>
      </c>
      <c r="G656" t="b">
        <v>0</v>
      </c>
      <c r="H656" t="s">
        <v>25</v>
      </c>
      <c r="I656" t="s">
        <v>44</v>
      </c>
      <c r="J656" t="s">
        <v>45</v>
      </c>
      <c r="K656" t="s">
        <v>39</v>
      </c>
      <c r="L656" t="s">
        <v>29</v>
      </c>
      <c r="M656" t="s">
        <v>46</v>
      </c>
      <c r="N656" t="s">
        <v>46</v>
      </c>
      <c r="O656" t="b">
        <v>0</v>
      </c>
      <c r="P656" t="b">
        <v>0</v>
      </c>
      <c r="Q656">
        <v>4.4000000000000004</v>
      </c>
      <c r="R656" t="b">
        <v>0</v>
      </c>
      <c r="T656">
        <v>0</v>
      </c>
      <c r="U656">
        <v>31.19</v>
      </c>
      <c r="V656" t="b">
        <v>1</v>
      </c>
      <c r="W656" t="s">
        <v>41</v>
      </c>
      <c r="AE656" t="str">
        <f t="shared" si="70"/>
        <v>No</v>
      </c>
      <c r="AF656" t="str">
        <f t="shared" si="71"/>
        <v>Medium</v>
      </c>
      <c r="AG656" t="str">
        <f t="shared" si="72"/>
        <v>No</v>
      </c>
      <c r="AH656" t="str">
        <f t="shared" si="73"/>
        <v>Unknown</v>
      </c>
      <c r="AJ656" t="str">
        <f t="shared" si="74"/>
        <v>Moderate Trust</v>
      </c>
      <c r="AL656">
        <f t="shared" si="75"/>
        <v>31.2</v>
      </c>
      <c r="AM656" t="str">
        <f t="shared" si="76"/>
        <v>High School</v>
      </c>
    </row>
    <row r="657" spans="1:39" x14ac:dyDescent="0.25">
      <c r="A657" t="s">
        <v>23</v>
      </c>
      <c r="B657" t="s">
        <v>73</v>
      </c>
      <c r="C657">
        <v>57.18</v>
      </c>
      <c r="D657">
        <v>603</v>
      </c>
      <c r="E657" t="b">
        <v>0</v>
      </c>
      <c r="F657" t="b">
        <v>1</v>
      </c>
      <c r="G657" t="b">
        <v>1</v>
      </c>
      <c r="H657" t="s">
        <v>34</v>
      </c>
      <c r="I657" t="s">
        <v>44</v>
      </c>
      <c r="J657" t="s">
        <v>54</v>
      </c>
      <c r="K657" t="s">
        <v>46</v>
      </c>
      <c r="L657" t="s">
        <v>69</v>
      </c>
      <c r="M657" t="s">
        <v>28</v>
      </c>
      <c r="N657" t="s">
        <v>28</v>
      </c>
      <c r="P657" t="b">
        <v>1</v>
      </c>
      <c r="Q657">
        <v>7.5</v>
      </c>
      <c r="R657" t="b">
        <v>0</v>
      </c>
      <c r="T657">
        <v>0</v>
      </c>
      <c r="U657">
        <v>60.06</v>
      </c>
      <c r="V657" t="b">
        <v>1</v>
      </c>
      <c r="W657" t="s">
        <v>31</v>
      </c>
      <c r="AE657" t="str">
        <f t="shared" si="70"/>
        <v>Yes</v>
      </c>
      <c r="AF657" t="str">
        <f t="shared" si="71"/>
        <v>Low</v>
      </c>
      <c r="AG657" t="str">
        <f t="shared" si="72"/>
        <v>No</v>
      </c>
      <c r="AH657" t="str">
        <f t="shared" si="73"/>
        <v>Unknown</v>
      </c>
      <c r="AJ657" t="str">
        <f t="shared" si="74"/>
        <v>Moderate Trust</v>
      </c>
      <c r="AL657">
        <f t="shared" si="75"/>
        <v>60.1</v>
      </c>
      <c r="AM657" t="str">
        <f t="shared" si="76"/>
        <v>Masters</v>
      </c>
    </row>
    <row r="658" spans="1:39" x14ac:dyDescent="0.25">
      <c r="A658" t="s">
        <v>32</v>
      </c>
      <c r="B658" t="s">
        <v>70</v>
      </c>
      <c r="C658">
        <v>84.67</v>
      </c>
      <c r="D658">
        <v>664</v>
      </c>
      <c r="E658" t="b">
        <v>1</v>
      </c>
      <c r="F658" t="b">
        <v>1</v>
      </c>
      <c r="G658" t="b">
        <v>1</v>
      </c>
      <c r="H658" t="s">
        <v>25</v>
      </c>
      <c r="I658" t="s">
        <v>26</v>
      </c>
      <c r="J658" t="s">
        <v>45</v>
      </c>
      <c r="K658" t="s">
        <v>37</v>
      </c>
      <c r="L658" t="s">
        <v>69</v>
      </c>
      <c r="M658" t="s">
        <v>39</v>
      </c>
      <c r="N658" t="s">
        <v>46</v>
      </c>
      <c r="O658" t="b">
        <v>1</v>
      </c>
      <c r="P658" t="b">
        <v>0</v>
      </c>
      <c r="Q658">
        <v>10</v>
      </c>
      <c r="R658" t="b">
        <v>0</v>
      </c>
      <c r="T658">
        <v>0</v>
      </c>
      <c r="U658">
        <v>84.87</v>
      </c>
      <c r="V658" t="b">
        <v>1</v>
      </c>
      <c r="W658" t="s">
        <v>58</v>
      </c>
      <c r="AE658" t="str">
        <f t="shared" si="70"/>
        <v>Yes</v>
      </c>
      <c r="AF658" t="str">
        <f t="shared" si="71"/>
        <v>Medium</v>
      </c>
      <c r="AG658" t="str">
        <f t="shared" si="72"/>
        <v>Yes</v>
      </c>
      <c r="AH658" t="str">
        <f t="shared" si="73"/>
        <v>Unknown</v>
      </c>
      <c r="AJ658" t="str">
        <f t="shared" si="74"/>
        <v>High Trust</v>
      </c>
      <c r="AL658">
        <f t="shared" si="75"/>
        <v>84.9</v>
      </c>
      <c r="AM658" t="str">
        <f t="shared" si="76"/>
        <v>High School</v>
      </c>
    </row>
    <row r="659" spans="1:39" x14ac:dyDescent="0.25">
      <c r="A659" t="s">
        <v>68</v>
      </c>
      <c r="B659" t="s">
        <v>70</v>
      </c>
      <c r="C659">
        <v>85.75</v>
      </c>
      <c r="D659">
        <v>728</v>
      </c>
      <c r="E659" t="b">
        <v>0</v>
      </c>
      <c r="F659" t="b">
        <v>0</v>
      </c>
      <c r="G659" t="b">
        <v>0</v>
      </c>
      <c r="H659" t="s">
        <v>53</v>
      </c>
      <c r="I659" t="s">
        <v>44</v>
      </c>
      <c r="J659" t="s">
        <v>54</v>
      </c>
      <c r="K659" t="s">
        <v>28</v>
      </c>
      <c r="L659" t="s">
        <v>29</v>
      </c>
      <c r="M659" t="s">
        <v>46</v>
      </c>
      <c r="N659" t="s">
        <v>46</v>
      </c>
      <c r="O659" t="b">
        <v>1</v>
      </c>
      <c r="P659" t="b">
        <v>0</v>
      </c>
      <c r="Q659">
        <v>10</v>
      </c>
      <c r="R659" t="b">
        <v>1</v>
      </c>
      <c r="S659" t="s">
        <v>55</v>
      </c>
      <c r="T659">
        <v>44</v>
      </c>
      <c r="U659">
        <v>97.23</v>
      </c>
      <c r="V659" t="b">
        <v>1</v>
      </c>
      <c r="W659" t="s">
        <v>31</v>
      </c>
      <c r="AE659" t="str">
        <f t="shared" si="70"/>
        <v>No</v>
      </c>
      <c r="AF659" t="str">
        <f t="shared" si="71"/>
        <v>Medium</v>
      </c>
      <c r="AG659" t="str">
        <f t="shared" si="72"/>
        <v>Yes</v>
      </c>
      <c r="AH659" t="str">
        <f t="shared" si="73"/>
        <v>Academic Paper</v>
      </c>
      <c r="AJ659" t="str">
        <f t="shared" si="74"/>
        <v>High Trust</v>
      </c>
      <c r="AL659">
        <f t="shared" si="75"/>
        <v>97.2</v>
      </c>
      <c r="AM659" t="str">
        <f t="shared" si="76"/>
        <v>Masters</v>
      </c>
    </row>
    <row r="660" spans="1:39" x14ac:dyDescent="0.25">
      <c r="A660" t="s">
        <v>68</v>
      </c>
      <c r="B660" t="s">
        <v>62</v>
      </c>
      <c r="C660">
        <v>50.03</v>
      </c>
      <c r="D660">
        <v>309</v>
      </c>
      <c r="E660" t="b">
        <v>0</v>
      </c>
      <c r="F660" t="b">
        <v>0</v>
      </c>
      <c r="G660" t="b">
        <v>1</v>
      </c>
      <c r="H660" t="s">
        <v>43</v>
      </c>
      <c r="I660" t="s">
        <v>44</v>
      </c>
      <c r="J660" t="s">
        <v>36</v>
      </c>
      <c r="K660" t="s">
        <v>39</v>
      </c>
      <c r="L660" t="s">
        <v>37</v>
      </c>
      <c r="M660" t="s">
        <v>47</v>
      </c>
      <c r="N660" t="s">
        <v>39</v>
      </c>
      <c r="O660" t="b">
        <v>1</v>
      </c>
      <c r="P660" t="b">
        <v>1</v>
      </c>
      <c r="Q660">
        <v>5.6</v>
      </c>
      <c r="R660" t="b">
        <v>1</v>
      </c>
      <c r="S660" t="s">
        <v>40</v>
      </c>
      <c r="T660">
        <v>35.200000000000003</v>
      </c>
      <c r="U660">
        <v>57.39</v>
      </c>
      <c r="V660" t="b">
        <v>1</v>
      </c>
      <c r="W660" t="s">
        <v>41</v>
      </c>
      <c r="AE660" t="str">
        <f t="shared" si="70"/>
        <v>No</v>
      </c>
      <c r="AF660" t="str">
        <f t="shared" si="71"/>
        <v>High</v>
      </c>
      <c r="AG660" t="str">
        <f t="shared" si="72"/>
        <v>Yes</v>
      </c>
      <c r="AH660" t="str">
        <f t="shared" si="73"/>
        <v>Asked Expert</v>
      </c>
      <c r="AJ660" t="str">
        <f t="shared" si="74"/>
        <v>Moderate Trust</v>
      </c>
      <c r="AL660">
        <f t="shared" si="75"/>
        <v>57.4</v>
      </c>
      <c r="AM660" t="str">
        <f t="shared" si="76"/>
        <v>PhD</v>
      </c>
    </row>
    <row r="661" spans="1:39" x14ac:dyDescent="0.25">
      <c r="A661" t="s">
        <v>61</v>
      </c>
      <c r="B661" t="s">
        <v>59</v>
      </c>
      <c r="C661">
        <v>87.78</v>
      </c>
      <c r="D661">
        <v>443</v>
      </c>
      <c r="E661" t="b">
        <v>0</v>
      </c>
      <c r="F661" t="b">
        <v>1</v>
      </c>
      <c r="G661" t="b">
        <v>0</v>
      </c>
      <c r="H661" t="s">
        <v>53</v>
      </c>
      <c r="I661" t="s">
        <v>57</v>
      </c>
      <c r="J661" t="s">
        <v>36</v>
      </c>
      <c r="K661" t="s">
        <v>46</v>
      </c>
      <c r="L661" t="s">
        <v>37</v>
      </c>
      <c r="M661" t="s">
        <v>28</v>
      </c>
      <c r="O661" t="b">
        <v>0</v>
      </c>
      <c r="P661" t="b">
        <v>1</v>
      </c>
      <c r="Q661">
        <v>7.6</v>
      </c>
      <c r="R661" t="b">
        <v>1</v>
      </c>
      <c r="S661" t="s">
        <v>55</v>
      </c>
      <c r="T661">
        <v>42.5</v>
      </c>
      <c r="U661">
        <v>100</v>
      </c>
      <c r="V661" t="b">
        <v>0</v>
      </c>
      <c r="W661" t="s">
        <v>41</v>
      </c>
      <c r="AE661" t="str">
        <f t="shared" si="70"/>
        <v>Yes</v>
      </c>
      <c r="AF661" t="str">
        <f t="shared" si="71"/>
        <v>Unknown</v>
      </c>
      <c r="AG661" t="str">
        <f t="shared" si="72"/>
        <v>No</v>
      </c>
      <c r="AH661" t="str">
        <f t="shared" si="73"/>
        <v>Academic Paper</v>
      </c>
      <c r="AJ661" t="str">
        <f t="shared" si="74"/>
        <v>Moderate Trust</v>
      </c>
      <c r="AL661">
        <f t="shared" si="75"/>
        <v>100</v>
      </c>
      <c r="AM661" t="str">
        <f t="shared" si="76"/>
        <v>PhD</v>
      </c>
    </row>
    <row r="662" spans="1:39" x14ac:dyDescent="0.25">
      <c r="A662" t="s">
        <v>32</v>
      </c>
      <c r="B662" t="s">
        <v>62</v>
      </c>
      <c r="C662">
        <v>65.77</v>
      </c>
      <c r="D662">
        <v>559</v>
      </c>
      <c r="E662" t="b">
        <v>0</v>
      </c>
      <c r="F662" t="b">
        <v>0</v>
      </c>
      <c r="G662" t="b">
        <v>0</v>
      </c>
      <c r="H662" t="s">
        <v>34</v>
      </c>
      <c r="I662" t="s">
        <v>44</v>
      </c>
      <c r="J662" t="s">
        <v>27</v>
      </c>
      <c r="K662" t="s">
        <v>37</v>
      </c>
      <c r="L662" t="s">
        <v>51</v>
      </c>
      <c r="M662" t="s">
        <v>46</v>
      </c>
      <c r="N662" t="s">
        <v>28</v>
      </c>
      <c r="O662" t="b">
        <v>0</v>
      </c>
      <c r="P662" t="b">
        <v>1</v>
      </c>
      <c r="Q662">
        <v>5.9</v>
      </c>
      <c r="R662" t="b">
        <v>1</v>
      </c>
      <c r="S662" t="s">
        <v>65</v>
      </c>
      <c r="T662">
        <v>3.9</v>
      </c>
      <c r="U662">
        <v>78.56</v>
      </c>
      <c r="V662" t="b">
        <v>1</v>
      </c>
      <c r="W662" t="s">
        <v>41</v>
      </c>
      <c r="AE662" t="str">
        <f t="shared" si="70"/>
        <v>No</v>
      </c>
      <c r="AF662" t="str">
        <f t="shared" si="71"/>
        <v>Low</v>
      </c>
      <c r="AG662" t="str">
        <f t="shared" si="72"/>
        <v>No</v>
      </c>
      <c r="AH662" t="str">
        <f t="shared" si="73"/>
        <v>Cross-referenced Multiple AIs</v>
      </c>
      <c r="AJ662" t="str">
        <f t="shared" si="74"/>
        <v>Moderate Trust</v>
      </c>
      <c r="AL662">
        <f t="shared" si="75"/>
        <v>78.599999999999994</v>
      </c>
      <c r="AM662" t="str">
        <f t="shared" si="76"/>
        <v>Bachelors</v>
      </c>
    </row>
    <row r="663" spans="1:39" x14ac:dyDescent="0.25">
      <c r="A663" t="s">
        <v>32</v>
      </c>
      <c r="B663" t="s">
        <v>62</v>
      </c>
      <c r="C663">
        <v>57.21</v>
      </c>
      <c r="D663">
        <v>641</v>
      </c>
      <c r="E663" t="b">
        <v>1</v>
      </c>
      <c r="F663" t="b">
        <v>1</v>
      </c>
      <c r="G663" t="b">
        <v>1</v>
      </c>
      <c r="H663" t="s">
        <v>53</v>
      </c>
      <c r="I663" t="s">
        <v>57</v>
      </c>
      <c r="J663" t="s">
        <v>50</v>
      </c>
      <c r="K663" t="s">
        <v>46</v>
      </c>
      <c r="L663" t="s">
        <v>37</v>
      </c>
      <c r="M663" t="s">
        <v>47</v>
      </c>
      <c r="N663" t="s">
        <v>39</v>
      </c>
      <c r="P663" t="b">
        <v>1</v>
      </c>
      <c r="Q663">
        <v>5.2</v>
      </c>
      <c r="R663" t="b">
        <v>1</v>
      </c>
      <c r="S663" t="s">
        <v>64</v>
      </c>
      <c r="T663">
        <v>34.6</v>
      </c>
      <c r="U663">
        <v>59.12</v>
      </c>
      <c r="V663" t="b">
        <v>1</v>
      </c>
      <c r="W663" t="s">
        <v>41</v>
      </c>
      <c r="AE663" t="str">
        <f t="shared" si="70"/>
        <v>Yes</v>
      </c>
      <c r="AF663" t="str">
        <f t="shared" si="71"/>
        <v>High</v>
      </c>
      <c r="AG663" t="str">
        <f t="shared" si="72"/>
        <v>No</v>
      </c>
      <c r="AH663" t="str">
        <f t="shared" si="73"/>
        <v>Personal Testing</v>
      </c>
      <c r="AJ663" t="str">
        <f t="shared" si="74"/>
        <v>Moderate Trust</v>
      </c>
      <c r="AL663">
        <f t="shared" si="75"/>
        <v>59.1</v>
      </c>
      <c r="AM663" t="str">
        <f t="shared" si="76"/>
        <v>Professional</v>
      </c>
    </row>
    <row r="664" spans="1:39" x14ac:dyDescent="0.25">
      <c r="A664" t="s">
        <v>61</v>
      </c>
      <c r="B664" t="s">
        <v>49</v>
      </c>
      <c r="C664">
        <v>73.56</v>
      </c>
      <c r="D664">
        <v>556</v>
      </c>
      <c r="E664" t="b">
        <v>1</v>
      </c>
      <c r="F664" t="b">
        <v>0</v>
      </c>
      <c r="G664" t="b">
        <v>0</v>
      </c>
      <c r="H664" t="s">
        <v>34</v>
      </c>
      <c r="I664" t="s">
        <v>63</v>
      </c>
      <c r="J664" t="s">
        <v>27</v>
      </c>
      <c r="K664" t="s">
        <v>28</v>
      </c>
      <c r="L664" t="s">
        <v>29</v>
      </c>
      <c r="M664" t="s">
        <v>28</v>
      </c>
      <c r="N664" t="s">
        <v>46</v>
      </c>
      <c r="P664" t="b">
        <v>0</v>
      </c>
      <c r="Q664">
        <v>9.5</v>
      </c>
      <c r="R664" t="b">
        <v>1</v>
      </c>
      <c r="S664" t="s">
        <v>75</v>
      </c>
      <c r="T664">
        <v>26.5</v>
      </c>
      <c r="U664">
        <v>87.03</v>
      </c>
      <c r="V664" t="b">
        <v>1</v>
      </c>
      <c r="W664" t="s">
        <v>31</v>
      </c>
      <c r="AE664" t="str">
        <f t="shared" si="70"/>
        <v>No</v>
      </c>
      <c r="AF664" t="str">
        <f t="shared" si="71"/>
        <v>Medium</v>
      </c>
      <c r="AG664" t="str">
        <f t="shared" si="72"/>
        <v>No</v>
      </c>
      <c r="AH664" t="str">
        <f t="shared" si="73"/>
        <v>Asked Colleague</v>
      </c>
      <c r="AJ664" t="str">
        <f t="shared" si="74"/>
        <v>High Trust</v>
      </c>
      <c r="AL664">
        <f t="shared" si="75"/>
        <v>87</v>
      </c>
      <c r="AM664" t="str">
        <f t="shared" si="76"/>
        <v>Bachelors</v>
      </c>
    </row>
    <row r="665" spans="1:39" x14ac:dyDescent="0.25">
      <c r="A665" t="s">
        <v>68</v>
      </c>
      <c r="B665" t="s">
        <v>60</v>
      </c>
      <c r="C665">
        <v>48.51</v>
      </c>
      <c r="D665">
        <v>71</v>
      </c>
      <c r="E665" t="b">
        <v>1</v>
      </c>
      <c r="F665" t="b">
        <v>1</v>
      </c>
      <c r="G665" t="b">
        <v>0</v>
      </c>
      <c r="H665" t="s">
        <v>34</v>
      </c>
      <c r="I665" t="s">
        <v>35</v>
      </c>
      <c r="J665" t="s">
        <v>45</v>
      </c>
      <c r="K665" t="s">
        <v>39</v>
      </c>
      <c r="L665" t="s">
        <v>38</v>
      </c>
      <c r="M665" t="s">
        <v>39</v>
      </c>
      <c r="N665" t="s">
        <v>39</v>
      </c>
      <c r="O665" t="b">
        <v>1</v>
      </c>
      <c r="P665" t="b">
        <v>1</v>
      </c>
      <c r="Q665">
        <v>7.9</v>
      </c>
      <c r="R665" t="b">
        <v>1</v>
      </c>
      <c r="S665" t="s">
        <v>30</v>
      </c>
      <c r="T665">
        <v>8.1999999999999993</v>
      </c>
      <c r="U665">
        <v>40.53</v>
      </c>
      <c r="V665" t="b">
        <v>0</v>
      </c>
      <c r="W665" t="s">
        <v>41</v>
      </c>
      <c r="AE665" t="str">
        <f t="shared" si="70"/>
        <v>Yes</v>
      </c>
      <c r="AF665" t="str">
        <f t="shared" si="71"/>
        <v>High</v>
      </c>
      <c r="AG665" t="str">
        <f t="shared" si="72"/>
        <v>Yes</v>
      </c>
      <c r="AH665" t="str">
        <f t="shared" si="73"/>
        <v>Google Search</v>
      </c>
      <c r="AJ665" t="str">
        <f t="shared" si="74"/>
        <v>Moderate Trust</v>
      </c>
      <c r="AL665">
        <f t="shared" si="75"/>
        <v>40.5</v>
      </c>
      <c r="AM665" t="str">
        <f t="shared" si="76"/>
        <v>High School</v>
      </c>
    </row>
    <row r="666" spans="1:39" x14ac:dyDescent="0.25">
      <c r="A666" t="s">
        <v>68</v>
      </c>
      <c r="B666" t="s">
        <v>24</v>
      </c>
      <c r="C666">
        <v>94.38</v>
      </c>
      <c r="D666">
        <v>427</v>
      </c>
      <c r="E666" t="b">
        <v>1</v>
      </c>
      <c r="F666" t="b">
        <v>1</v>
      </c>
      <c r="G666" t="b">
        <v>0</v>
      </c>
      <c r="H666" t="s">
        <v>25</v>
      </c>
      <c r="I666" t="s">
        <v>35</v>
      </c>
      <c r="J666" t="s">
        <v>36</v>
      </c>
      <c r="K666" t="s">
        <v>37</v>
      </c>
      <c r="L666" t="s">
        <v>69</v>
      </c>
      <c r="M666" t="s">
        <v>28</v>
      </c>
      <c r="N666" t="s">
        <v>39</v>
      </c>
      <c r="O666" t="b">
        <v>1</v>
      </c>
      <c r="P666" t="b">
        <v>0</v>
      </c>
      <c r="Q666">
        <v>10</v>
      </c>
      <c r="R666" t="b">
        <v>1</v>
      </c>
      <c r="S666" t="s">
        <v>65</v>
      </c>
      <c r="T666">
        <v>22.9</v>
      </c>
      <c r="U666">
        <v>83.39</v>
      </c>
      <c r="V666" t="b">
        <v>1</v>
      </c>
      <c r="W666" t="s">
        <v>31</v>
      </c>
      <c r="AE666" t="str">
        <f t="shared" si="70"/>
        <v>Yes</v>
      </c>
      <c r="AF666" t="str">
        <f t="shared" si="71"/>
        <v>High</v>
      </c>
      <c r="AG666" t="str">
        <f t="shared" si="72"/>
        <v>Yes</v>
      </c>
      <c r="AH666" t="str">
        <f t="shared" si="73"/>
        <v>Cross-referenced Multiple AIs</v>
      </c>
      <c r="AJ666" t="str">
        <f t="shared" si="74"/>
        <v>High Trust</v>
      </c>
      <c r="AL666">
        <f t="shared" si="75"/>
        <v>83.4</v>
      </c>
      <c r="AM666" t="str">
        <f t="shared" si="76"/>
        <v>PhD</v>
      </c>
    </row>
    <row r="667" spans="1:39" x14ac:dyDescent="0.25">
      <c r="A667" t="s">
        <v>23</v>
      </c>
      <c r="B667" t="s">
        <v>70</v>
      </c>
      <c r="C667">
        <v>83.83</v>
      </c>
      <c r="D667">
        <v>448</v>
      </c>
      <c r="E667" t="b">
        <v>1</v>
      </c>
      <c r="F667" t="b">
        <v>1</v>
      </c>
      <c r="G667" t="b">
        <v>0</v>
      </c>
      <c r="H667" t="s">
        <v>53</v>
      </c>
      <c r="I667" t="s">
        <v>63</v>
      </c>
      <c r="J667" t="s">
        <v>27</v>
      </c>
      <c r="K667" t="s">
        <v>46</v>
      </c>
      <c r="L667" t="s">
        <v>51</v>
      </c>
      <c r="M667" t="s">
        <v>46</v>
      </c>
      <c r="N667" t="s">
        <v>28</v>
      </c>
      <c r="O667" t="b">
        <v>0</v>
      </c>
      <c r="P667" t="b">
        <v>1</v>
      </c>
      <c r="Q667">
        <v>8.6</v>
      </c>
      <c r="R667" t="b">
        <v>0</v>
      </c>
      <c r="T667">
        <v>0</v>
      </c>
      <c r="U667">
        <v>69.52</v>
      </c>
      <c r="V667" t="b">
        <v>1</v>
      </c>
      <c r="W667" t="s">
        <v>58</v>
      </c>
      <c r="AE667" t="str">
        <f t="shared" si="70"/>
        <v>Yes</v>
      </c>
      <c r="AF667" t="str">
        <f t="shared" si="71"/>
        <v>Low</v>
      </c>
      <c r="AG667" t="str">
        <f t="shared" si="72"/>
        <v>No</v>
      </c>
      <c r="AH667" t="str">
        <f t="shared" si="73"/>
        <v>Unknown</v>
      </c>
      <c r="AJ667" t="str">
        <f t="shared" si="74"/>
        <v>High Trust</v>
      </c>
      <c r="AL667">
        <f t="shared" si="75"/>
        <v>69.5</v>
      </c>
      <c r="AM667" t="str">
        <f t="shared" si="76"/>
        <v>Bachelors</v>
      </c>
    </row>
    <row r="668" spans="1:39" x14ac:dyDescent="0.25">
      <c r="A668" t="s">
        <v>23</v>
      </c>
      <c r="B668" t="s">
        <v>60</v>
      </c>
      <c r="C668">
        <v>59.1</v>
      </c>
      <c r="D668">
        <v>237</v>
      </c>
      <c r="E668" t="b">
        <v>1</v>
      </c>
      <c r="F668" t="b">
        <v>0</v>
      </c>
      <c r="G668" t="b">
        <v>0</v>
      </c>
      <c r="H668" t="s">
        <v>53</v>
      </c>
      <c r="I668" t="s">
        <v>63</v>
      </c>
      <c r="J668" t="s">
        <v>27</v>
      </c>
      <c r="K668" t="s">
        <v>28</v>
      </c>
      <c r="L668" t="s">
        <v>29</v>
      </c>
      <c r="M668" t="s">
        <v>46</v>
      </c>
      <c r="N668" t="s">
        <v>39</v>
      </c>
      <c r="O668" t="b">
        <v>1</v>
      </c>
      <c r="P668" t="b">
        <v>1</v>
      </c>
      <c r="Q668">
        <v>9.1999999999999993</v>
      </c>
      <c r="R668" t="b">
        <v>0</v>
      </c>
      <c r="T668">
        <v>0</v>
      </c>
      <c r="U668">
        <v>67.41</v>
      </c>
      <c r="V668" t="b">
        <v>0</v>
      </c>
      <c r="W668" t="s">
        <v>58</v>
      </c>
      <c r="AE668" t="str">
        <f t="shared" si="70"/>
        <v>No</v>
      </c>
      <c r="AF668" t="str">
        <f t="shared" si="71"/>
        <v>High</v>
      </c>
      <c r="AG668" t="str">
        <f t="shared" si="72"/>
        <v>Yes</v>
      </c>
      <c r="AH668" t="str">
        <f t="shared" si="73"/>
        <v>Unknown</v>
      </c>
      <c r="AJ668" t="str">
        <f t="shared" si="74"/>
        <v>High Trust</v>
      </c>
      <c r="AL668">
        <f t="shared" si="75"/>
        <v>67.400000000000006</v>
      </c>
      <c r="AM668" t="str">
        <f t="shared" si="76"/>
        <v>Bachelors</v>
      </c>
    </row>
    <row r="669" spans="1:39" x14ac:dyDescent="0.25">
      <c r="A669" t="s">
        <v>74</v>
      </c>
      <c r="B669" t="s">
        <v>73</v>
      </c>
      <c r="C669">
        <v>64.489999999999995</v>
      </c>
      <c r="D669">
        <v>203</v>
      </c>
      <c r="E669" t="b">
        <v>0</v>
      </c>
      <c r="F669" t="b">
        <v>1</v>
      </c>
      <c r="G669" t="b">
        <v>0</v>
      </c>
      <c r="H669" t="s">
        <v>25</v>
      </c>
      <c r="I669" t="s">
        <v>35</v>
      </c>
      <c r="J669" t="s">
        <v>50</v>
      </c>
      <c r="K669" t="s">
        <v>28</v>
      </c>
      <c r="L669" t="s">
        <v>51</v>
      </c>
      <c r="M669" t="s">
        <v>47</v>
      </c>
      <c r="P669" t="b">
        <v>0</v>
      </c>
      <c r="Q669">
        <v>5.3</v>
      </c>
      <c r="R669" t="b">
        <v>1</v>
      </c>
      <c r="S669" t="s">
        <v>64</v>
      </c>
      <c r="T669">
        <v>27.4</v>
      </c>
      <c r="U669">
        <v>57.8</v>
      </c>
      <c r="V669" t="b">
        <v>1</v>
      </c>
      <c r="W669" t="s">
        <v>41</v>
      </c>
      <c r="AE669" t="str">
        <f t="shared" si="70"/>
        <v>Yes</v>
      </c>
      <c r="AF669" t="str">
        <f t="shared" si="71"/>
        <v>Unknown</v>
      </c>
      <c r="AG669" t="str">
        <f t="shared" si="72"/>
        <v>No</v>
      </c>
      <c r="AH669" t="str">
        <f t="shared" si="73"/>
        <v>Personal Testing</v>
      </c>
      <c r="AJ669" t="str">
        <f t="shared" si="74"/>
        <v>Moderate Trust</v>
      </c>
      <c r="AL669">
        <f t="shared" si="75"/>
        <v>57.8</v>
      </c>
      <c r="AM669" t="str">
        <f t="shared" si="76"/>
        <v>Professional</v>
      </c>
    </row>
    <row r="670" spans="1:39" x14ac:dyDescent="0.25">
      <c r="A670" t="s">
        <v>61</v>
      </c>
      <c r="B670" t="s">
        <v>66</v>
      </c>
      <c r="C670">
        <v>63.52</v>
      </c>
      <c r="D670">
        <v>491</v>
      </c>
      <c r="E670" t="b">
        <v>0</v>
      </c>
      <c r="F670" t="b">
        <v>0</v>
      </c>
      <c r="G670" t="b">
        <v>0</v>
      </c>
      <c r="H670" t="s">
        <v>53</v>
      </c>
      <c r="I670" t="s">
        <v>67</v>
      </c>
      <c r="J670" t="s">
        <v>45</v>
      </c>
      <c r="K670" t="s">
        <v>28</v>
      </c>
      <c r="L670" t="s">
        <v>51</v>
      </c>
      <c r="M670" t="s">
        <v>47</v>
      </c>
      <c r="N670" t="s">
        <v>28</v>
      </c>
      <c r="P670" t="b">
        <v>1</v>
      </c>
      <c r="Q670">
        <v>6.2</v>
      </c>
      <c r="R670" t="b">
        <v>1</v>
      </c>
      <c r="S670" t="s">
        <v>30</v>
      </c>
      <c r="T670">
        <v>8.8000000000000007</v>
      </c>
      <c r="U670">
        <v>39.71</v>
      </c>
      <c r="V670" t="b">
        <v>0</v>
      </c>
      <c r="W670" t="s">
        <v>41</v>
      </c>
      <c r="AE670" t="str">
        <f t="shared" si="70"/>
        <v>No</v>
      </c>
      <c r="AF670" t="str">
        <f t="shared" si="71"/>
        <v>Low</v>
      </c>
      <c r="AG670" t="str">
        <f t="shared" si="72"/>
        <v>No</v>
      </c>
      <c r="AH670" t="str">
        <f t="shared" si="73"/>
        <v>Google Search</v>
      </c>
      <c r="AJ670" t="str">
        <f t="shared" si="74"/>
        <v>Moderate Trust</v>
      </c>
      <c r="AL670">
        <f t="shared" si="75"/>
        <v>39.700000000000003</v>
      </c>
      <c r="AM670" t="str">
        <f t="shared" si="76"/>
        <v>High School</v>
      </c>
    </row>
    <row r="671" spans="1:39" x14ac:dyDescent="0.25">
      <c r="A671" t="s">
        <v>23</v>
      </c>
      <c r="B671" t="s">
        <v>49</v>
      </c>
      <c r="C671">
        <v>75.25</v>
      </c>
      <c r="D671">
        <v>66</v>
      </c>
      <c r="E671" t="b">
        <v>0</v>
      </c>
      <c r="F671" t="b">
        <v>1</v>
      </c>
      <c r="G671" t="b">
        <v>0</v>
      </c>
      <c r="H671" t="s">
        <v>53</v>
      </c>
      <c r="I671" t="s">
        <v>63</v>
      </c>
      <c r="J671" t="s">
        <v>27</v>
      </c>
      <c r="K671" t="s">
        <v>28</v>
      </c>
      <c r="L671" t="s">
        <v>69</v>
      </c>
      <c r="M671" t="s">
        <v>28</v>
      </c>
      <c r="N671" t="s">
        <v>28</v>
      </c>
      <c r="O671" t="b">
        <v>0</v>
      </c>
      <c r="P671" t="b">
        <v>1</v>
      </c>
      <c r="Q671">
        <v>8.3000000000000007</v>
      </c>
      <c r="R671" t="b">
        <v>0</v>
      </c>
      <c r="T671">
        <v>0</v>
      </c>
      <c r="U671">
        <v>73.459999999999994</v>
      </c>
      <c r="V671" t="b">
        <v>1</v>
      </c>
      <c r="W671" t="s">
        <v>58</v>
      </c>
      <c r="AE671" t="str">
        <f t="shared" si="70"/>
        <v>Yes</v>
      </c>
      <c r="AF671" t="str">
        <f t="shared" si="71"/>
        <v>Low</v>
      </c>
      <c r="AG671" t="str">
        <f t="shared" si="72"/>
        <v>No</v>
      </c>
      <c r="AH671" t="str">
        <f t="shared" si="73"/>
        <v>Unknown</v>
      </c>
      <c r="AJ671" t="str">
        <f t="shared" si="74"/>
        <v>High Trust</v>
      </c>
      <c r="AL671">
        <f t="shared" si="75"/>
        <v>73.5</v>
      </c>
      <c r="AM671" t="str">
        <f t="shared" si="76"/>
        <v>Bachelors</v>
      </c>
    </row>
    <row r="672" spans="1:39" x14ac:dyDescent="0.25">
      <c r="A672" t="s">
        <v>61</v>
      </c>
      <c r="B672" t="s">
        <v>49</v>
      </c>
      <c r="C672">
        <v>76.41</v>
      </c>
      <c r="D672">
        <v>199</v>
      </c>
      <c r="E672" t="b">
        <v>1</v>
      </c>
      <c r="F672" t="b">
        <v>1</v>
      </c>
      <c r="G672" t="b">
        <v>0</v>
      </c>
      <c r="H672" t="s">
        <v>34</v>
      </c>
      <c r="I672" t="s">
        <v>35</v>
      </c>
      <c r="J672" t="s">
        <v>45</v>
      </c>
      <c r="K672" t="s">
        <v>46</v>
      </c>
      <c r="L672" t="s">
        <v>29</v>
      </c>
      <c r="M672" t="s">
        <v>39</v>
      </c>
      <c r="O672" t="b">
        <v>0</v>
      </c>
      <c r="P672" t="b">
        <v>1</v>
      </c>
      <c r="Q672">
        <v>7.6</v>
      </c>
      <c r="R672" t="b">
        <v>1</v>
      </c>
      <c r="S672" t="s">
        <v>40</v>
      </c>
      <c r="T672">
        <v>23.3</v>
      </c>
      <c r="U672">
        <v>74.900000000000006</v>
      </c>
      <c r="V672" t="b">
        <v>1</v>
      </c>
      <c r="W672" t="s">
        <v>41</v>
      </c>
      <c r="AE672" t="str">
        <f t="shared" si="70"/>
        <v>Yes</v>
      </c>
      <c r="AF672" t="str">
        <f t="shared" si="71"/>
        <v>Unknown</v>
      </c>
      <c r="AG672" t="str">
        <f t="shared" si="72"/>
        <v>No</v>
      </c>
      <c r="AH672" t="str">
        <f t="shared" si="73"/>
        <v>Asked Expert</v>
      </c>
      <c r="AJ672" t="str">
        <f t="shared" si="74"/>
        <v>Moderate Trust</v>
      </c>
      <c r="AL672">
        <f t="shared" si="75"/>
        <v>74.900000000000006</v>
      </c>
      <c r="AM672" t="str">
        <f t="shared" si="76"/>
        <v>High School</v>
      </c>
    </row>
    <row r="673" spans="1:39" x14ac:dyDescent="0.25">
      <c r="A673" t="s">
        <v>61</v>
      </c>
      <c r="B673" t="s">
        <v>62</v>
      </c>
      <c r="C673">
        <v>54.3</v>
      </c>
      <c r="D673">
        <v>423</v>
      </c>
      <c r="E673" t="b">
        <v>0</v>
      </c>
      <c r="F673" t="b">
        <v>1</v>
      </c>
      <c r="G673" t="b">
        <v>0</v>
      </c>
      <c r="H673" t="s">
        <v>53</v>
      </c>
      <c r="I673" t="s">
        <v>67</v>
      </c>
      <c r="J673" t="s">
        <v>36</v>
      </c>
      <c r="K673" t="s">
        <v>37</v>
      </c>
      <c r="L673" t="s">
        <v>69</v>
      </c>
      <c r="M673" t="s">
        <v>28</v>
      </c>
      <c r="N673" t="s">
        <v>28</v>
      </c>
      <c r="O673" t="b">
        <v>1</v>
      </c>
      <c r="P673" t="b">
        <v>0</v>
      </c>
      <c r="Q673">
        <v>7.7</v>
      </c>
      <c r="R673" t="b">
        <v>1</v>
      </c>
      <c r="S673" t="s">
        <v>30</v>
      </c>
      <c r="T673">
        <v>43.2</v>
      </c>
      <c r="U673">
        <v>61.44</v>
      </c>
      <c r="V673" t="b">
        <v>1</v>
      </c>
      <c r="W673" t="s">
        <v>41</v>
      </c>
      <c r="AE673" t="str">
        <f t="shared" si="70"/>
        <v>Yes</v>
      </c>
      <c r="AF673" t="str">
        <f t="shared" si="71"/>
        <v>Low</v>
      </c>
      <c r="AG673" t="str">
        <f t="shared" si="72"/>
        <v>Yes</v>
      </c>
      <c r="AH673" t="str">
        <f t="shared" si="73"/>
        <v>Google Search</v>
      </c>
      <c r="AJ673" t="str">
        <f t="shared" si="74"/>
        <v>Moderate Trust</v>
      </c>
      <c r="AL673">
        <f t="shared" si="75"/>
        <v>61.4</v>
      </c>
      <c r="AM673" t="str">
        <f t="shared" si="76"/>
        <v>PhD</v>
      </c>
    </row>
    <row r="674" spans="1:39" x14ac:dyDescent="0.25">
      <c r="A674" t="s">
        <v>74</v>
      </c>
      <c r="B674" t="s">
        <v>59</v>
      </c>
      <c r="C674">
        <v>94.42</v>
      </c>
      <c r="D674">
        <v>684</v>
      </c>
      <c r="E674" t="b">
        <v>1</v>
      </c>
      <c r="F674" t="b">
        <v>1</v>
      </c>
      <c r="G674" t="b">
        <v>0</v>
      </c>
      <c r="H674" t="s">
        <v>53</v>
      </c>
      <c r="I674" t="s">
        <v>67</v>
      </c>
      <c r="J674" t="s">
        <v>54</v>
      </c>
      <c r="K674" t="s">
        <v>39</v>
      </c>
      <c r="L674" t="s">
        <v>37</v>
      </c>
      <c r="M674" t="s">
        <v>39</v>
      </c>
      <c r="P674" t="b">
        <v>1</v>
      </c>
      <c r="Q674">
        <v>9.6999999999999993</v>
      </c>
      <c r="R674" t="b">
        <v>1</v>
      </c>
      <c r="S674" t="s">
        <v>65</v>
      </c>
      <c r="T674">
        <v>38.200000000000003</v>
      </c>
      <c r="U674">
        <v>83.9</v>
      </c>
      <c r="V674" t="b">
        <v>1</v>
      </c>
      <c r="W674" t="s">
        <v>31</v>
      </c>
      <c r="AE674" t="str">
        <f t="shared" si="70"/>
        <v>Yes</v>
      </c>
      <c r="AF674" t="str">
        <f t="shared" si="71"/>
        <v>Unknown</v>
      </c>
      <c r="AG674" t="str">
        <f t="shared" si="72"/>
        <v>No</v>
      </c>
      <c r="AH674" t="str">
        <f t="shared" si="73"/>
        <v>Cross-referenced Multiple AIs</v>
      </c>
      <c r="AJ674" t="str">
        <f t="shared" si="74"/>
        <v>High Trust</v>
      </c>
      <c r="AL674">
        <f t="shared" si="75"/>
        <v>83.9</v>
      </c>
      <c r="AM674" t="str">
        <f t="shared" si="76"/>
        <v>Masters</v>
      </c>
    </row>
    <row r="675" spans="1:39" x14ac:dyDescent="0.25">
      <c r="A675" t="s">
        <v>32</v>
      </c>
      <c r="B675" t="s">
        <v>42</v>
      </c>
      <c r="C675">
        <v>76.98</v>
      </c>
      <c r="D675">
        <v>507</v>
      </c>
      <c r="E675" t="b">
        <v>1</v>
      </c>
      <c r="F675" t="b">
        <v>0</v>
      </c>
      <c r="G675" t="b">
        <v>0</v>
      </c>
      <c r="H675" t="s">
        <v>43</v>
      </c>
      <c r="I675" t="s">
        <v>44</v>
      </c>
      <c r="J675" t="s">
        <v>36</v>
      </c>
      <c r="K675" t="s">
        <v>46</v>
      </c>
      <c r="L675" t="s">
        <v>37</v>
      </c>
      <c r="M675" t="s">
        <v>28</v>
      </c>
      <c r="N675" t="s">
        <v>46</v>
      </c>
      <c r="O675" t="b">
        <v>1</v>
      </c>
      <c r="P675" t="b">
        <v>0</v>
      </c>
      <c r="Q675">
        <v>10</v>
      </c>
      <c r="R675" t="b">
        <v>1</v>
      </c>
      <c r="S675" t="s">
        <v>75</v>
      </c>
      <c r="T675">
        <v>5</v>
      </c>
      <c r="U675">
        <v>64.540000000000006</v>
      </c>
      <c r="V675" t="b">
        <v>0</v>
      </c>
      <c r="W675" t="s">
        <v>31</v>
      </c>
      <c r="AE675" t="str">
        <f t="shared" si="70"/>
        <v>No</v>
      </c>
      <c r="AF675" t="str">
        <f t="shared" si="71"/>
        <v>Medium</v>
      </c>
      <c r="AG675" t="str">
        <f t="shared" si="72"/>
        <v>Yes</v>
      </c>
      <c r="AH675" t="str">
        <f t="shared" si="73"/>
        <v>Asked Colleague</v>
      </c>
      <c r="AJ675" t="str">
        <f t="shared" si="74"/>
        <v>High Trust</v>
      </c>
      <c r="AL675">
        <f t="shared" si="75"/>
        <v>64.5</v>
      </c>
      <c r="AM675" t="str">
        <f t="shared" si="76"/>
        <v>PhD</v>
      </c>
    </row>
    <row r="676" spans="1:39" x14ac:dyDescent="0.25">
      <c r="A676" t="s">
        <v>61</v>
      </c>
      <c r="B676" t="s">
        <v>76</v>
      </c>
      <c r="C676">
        <v>89.04</v>
      </c>
      <c r="D676">
        <v>435</v>
      </c>
      <c r="E676" t="b">
        <v>1</v>
      </c>
      <c r="F676" t="b">
        <v>0</v>
      </c>
      <c r="G676" t="b">
        <v>0</v>
      </c>
      <c r="H676" t="s">
        <v>25</v>
      </c>
      <c r="I676" t="s">
        <v>67</v>
      </c>
      <c r="J676" t="s">
        <v>36</v>
      </c>
      <c r="K676" t="s">
        <v>37</v>
      </c>
      <c r="L676" t="s">
        <v>29</v>
      </c>
      <c r="M676" t="s">
        <v>28</v>
      </c>
      <c r="N676" t="s">
        <v>28</v>
      </c>
      <c r="O676" t="b">
        <v>0</v>
      </c>
      <c r="P676" t="b">
        <v>0</v>
      </c>
      <c r="Q676">
        <v>9.8000000000000007</v>
      </c>
      <c r="R676" t="b">
        <v>0</v>
      </c>
      <c r="T676">
        <v>0</v>
      </c>
      <c r="U676">
        <v>94.1</v>
      </c>
      <c r="V676" t="b">
        <v>1</v>
      </c>
      <c r="W676" t="s">
        <v>58</v>
      </c>
      <c r="AE676" t="str">
        <f t="shared" si="70"/>
        <v>No</v>
      </c>
      <c r="AF676" t="str">
        <f t="shared" si="71"/>
        <v>Low</v>
      </c>
      <c r="AG676" t="str">
        <f t="shared" si="72"/>
        <v>No</v>
      </c>
      <c r="AH676" t="str">
        <f t="shared" si="73"/>
        <v>Unknown</v>
      </c>
      <c r="AJ676" t="str">
        <f t="shared" si="74"/>
        <v>High Trust</v>
      </c>
      <c r="AL676">
        <f t="shared" si="75"/>
        <v>94.1</v>
      </c>
      <c r="AM676" t="str">
        <f t="shared" si="76"/>
        <v>PhD</v>
      </c>
    </row>
    <row r="677" spans="1:39" x14ac:dyDescent="0.25">
      <c r="A677" t="s">
        <v>68</v>
      </c>
      <c r="B677" t="s">
        <v>42</v>
      </c>
      <c r="C677">
        <v>81.95</v>
      </c>
      <c r="D677">
        <v>323</v>
      </c>
      <c r="E677" t="b">
        <v>0</v>
      </c>
      <c r="F677" t="b">
        <v>1</v>
      </c>
      <c r="G677" t="b">
        <v>0</v>
      </c>
      <c r="H677" t="s">
        <v>53</v>
      </c>
      <c r="I677" t="s">
        <v>67</v>
      </c>
      <c r="J677" t="s">
        <v>45</v>
      </c>
      <c r="K677" t="s">
        <v>46</v>
      </c>
      <c r="L677" t="s">
        <v>69</v>
      </c>
      <c r="M677" t="s">
        <v>39</v>
      </c>
      <c r="N677" t="s">
        <v>28</v>
      </c>
      <c r="O677" t="b">
        <v>0</v>
      </c>
      <c r="P677" t="b">
        <v>0</v>
      </c>
      <c r="Q677">
        <v>7.4</v>
      </c>
      <c r="R677" t="b">
        <v>0</v>
      </c>
      <c r="T677">
        <v>0</v>
      </c>
      <c r="U677">
        <v>71.739999999999995</v>
      </c>
      <c r="V677" t="b">
        <v>1</v>
      </c>
      <c r="W677" t="s">
        <v>31</v>
      </c>
      <c r="AE677" t="str">
        <f t="shared" si="70"/>
        <v>Yes</v>
      </c>
      <c r="AF677" t="str">
        <f t="shared" si="71"/>
        <v>Low</v>
      </c>
      <c r="AG677" t="str">
        <f t="shared" si="72"/>
        <v>No</v>
      </c>
      <c r="AH677" t="str">
        <f t="shared" si="73"/>
        <v>Unknown</v>
      </c>
      <c r="AJ677" t="str">
        <f t="shared" si="74"/>
        <v>Moderate Trust</v>
      </c>
      <c r="AL677">
        <f t="shared" si="75"/>
        <v>71.7</v>
      </c>
      <c r="AM677" t="str">
        <f t="shared" si="76"/>
        <v>High School</v>
      </c>
    </row>
    <row r="678" spans="1:39" x14ac:dyDescent="0.25">
      <c r="A678" t="s">
        <v>56</v>
      </c>
      <c r="B678" t="s">
        <v>59</v>
      </c>
      <c r="C678">
        <v>77.349999999999994</v>
      </c>
      <c r="D678">
        <v>749</v>
      </c>
      <c r="E678" t="b">
        <v>0</v>
      </c>
      <c r="F678" t="b">
        <v>1</v>
      </c>
      <c r="G678" t="b">
        <v>1</v>
      </c>
      <c r="H678" t="s">
        <v>53</v>
      </c>
      <c r="I678" t="s">
        <v>26</v>
      </c>
      <c r="J678" t="s">
        <v>36</v>
      </c>
      <c r="K678" t="s">
        <v>37</v>
      </c>
      <c r="L678" t="s">
        <v>69</v>
      </c>
      <c r="M678" t="s">
        <v>39</v>
      </c>
      <c r="N678" t="s">
        <v>39</v>
      </c>
      <c r="P678" t="b">
        <v>1</v>
      </c>
      <c r="Q678">
        <v>7</v>
      </c>
      <c r="R678" t="b">
        <v>1</v>
      </c>
      <c r="S678" t="s">
        <v>30</v>
      </c>
      <c r="T678">
        <v>40.6</v>
      </c>
      <c r="U678">
        <v>80.989999999999995</v>
      </c>
      <c r="V678" t="b">
        <v>1</v>
      </c>
      <c r="W678" t="s">
        <v>41</v>
      </c>
      <c r="AE678" t="str">
        <f t="shared" si="70"/>
        <v>Yes</v>
      </c>
      <c r="AF678" t="str">
        <f t="shared" si="71"/>
        <v>High</v>
      </c>
      <c r="AG678" t="str">
        <f t="shared" si="72"/>
        <v>No</v>
      </c>
      <c r="AH678" t="str">
        <f t="shared" si="73"/>
        <v>Google Search</v>
      </c>
      <c r="AJ678" t="str">
        <f t="shared" si="74"/>
        <v>Moderate Trust</v>
      </c>
      <c r="AL678">
        <f t="shared" si="75"/>
        <v>81</v>
      </c>
      <c r="AM678" t="str">
        <f t="shared" si="76"/>
        <v>PhD</v>
      </c>
    </row>
    <row r="679" spans="1:39" x14ac:dyDescent="0.25">
      <c r="A679" t="s">
        <v>23</v>
      </c>
      <c r="B679" t="s">
        <v>70</v>
      </c>
      <c r="C679">
        <v>94.64</v>
      </c>
      <c r="D679">
        <v>520</v>
      </c>
      <c r="E679" t="b">
        <v>1</v>
      </c>
      <c r="F679" t="b">
        <v>1</v>
      </c>
      <c r="G679" t="b">
        <v>0</v>
      </c>
      <c r="H679" t="s">
        <v>53</v>
      </c>
      <c r="I679" t="s">
        <v>44</v>
      </c>
      <c r="J679" t="s">
        <v>54</v>
      </c>
      <c r="K679" t="s">
        <v>28</v>
      </c>
      <c r="L679" t="s">
        <v>38</v>
      </c>
      <c r="M679" t="s">
        <v>39</v>
      </c>
      <c r="N679" t="s">
        <v>28</v>
      </c>
      <c r="O679" t="b">
        <v>0</v>
      </c>
      <c r="P679" t="b">
        <v>0</v>
      </c>
      <c r="Q679">
        <v>10</v>
      </c>
      <c r="R679" t="b">
        <v>1</v>
      </c>
      <c r="S679" t="s">
        <v>40</v>
      </c>
      <c r="T679">
        <v>31.8</v>
      </c>
      <c r="U679">
        <v>96.59</v>
      </c>
      <c r="V679" t="b">
        <v>1</v>
      </c>
      <c r="W679" t="s">
        <v>31</v>
      </c>
      <c r="AE679" t="str">
        <f t="shared" si="70"/>
        <v>Yes</v>
      </c>
      <c r="AF679" t="str">
        <f t="shared" si="71"/>
        <v>Low</v>
      </c>
      <c r="AG679" t="str">
        <f t="shared" si="72"/>
        <v>No</v>
      </c>
      <c r="AH679" t="str">
        <f t="shared" si="73"/>
        <v>Asked Expert</v>
      </c>
      <c r="AJ679" t="str">
        <f t="shared" si="74"/>
        <v>High Trust</v>
      </c>
      <c r="AL679">
        <f t="shared" si="75"/>
        <v>96.6</v>
      </c>
      <c r="AM679" t="str">
        <f t="shared" si="76"/>
        <v>Masters</v>
      </c>
    </row>
    <row r="680" spans="1:39" x14ac:dyDescent="0.25">
      <c r="A680" t="s">
        <v>56</v>
      </c>
      <c r="B680" t="s">
        <v>42</v>
      </c>
      <c r="C680">
        <v>66.47</v>
      </c>
      <c r="D680">
        <v>293</v>
      </c>
      <c r="E680" t="b">
        <v>0</v>
      </c>
      <c r="F680" t="b">
        <v>1</v>
      </c>
      <c r="G680" t="b">
        <v>1</v>
      </c>
      <c r="H680" t="s">
        <v>25</v>
      </c>
      <c r="I680" t="s">
        <v>44</v>
      </c>
      <c r="J680" t="s">
        <v>36</v>
      </c>
      <c r="K680" t="s">
        <v>28</v>
      </c>
      <c r="L680" t="s">
        <v>69</v>
      </c>
      <c r="M680" t="s">
        <v>28</v>
      </c>
      <c r="P680" t="b">
        <v>0</v>
      </c>
      <c r="Q680">
        <v>8.1</v>
      </c>
      <c r="R680" t="b">
        <v>1</v>
      </c>
      <c r="S680" t="s">
        <v>65</v>
      </c>
      <c r="T680">
        <v>31.5</v>
      </c>
      <c r="U680">
        <v>78.87</v>
      </c>
      <c r="V680" t="b">
        <v>1</v>
      </c>
      <c r="W680" t="s">
        <v>31</v>
      </c>
      <c r="AE680" t="str">
        <f t="shared" si="70"/>
        <v>Yes</v>
      </c>
      <c r="AF680" t="str">
        <f t="shared" si="71"/>
        <v>Unknown</v>
      </c>
      <c r="AG680" t="str">
        <f t="shared" si="72"/>
        <v>No</v>
      </c>
      <c r="AH680" t="str">
        <f t="shared" si="73"/>
        <v>Cross-referenced Multiple AIs</v>
      </c>
      <c r="AJ680" t="str">
        <f t="shared" si="74"/>
        <v>High Trust</v>
      </c>
      <c r="AL680">
        <f t="shared" si="75"/>
        <v>78.900000000000006</v>
      </c>
      <c r="AM680" t="str">
        <f t="shared" si="76"/>
        <v>PhD</v>
      </c>
    </row>
    <row r="681" spans="1:39" x14ac:dyDescent="0.25">
      <c r="A681" t="s">
        <v>23</v>
      </c>
      <c r="B681" t="s">
        <v>33</v>
      </c>
      <c r="C681">
        <v>87.27</v>
      </c>
      <c r="D681">
        <v>165</v>
      </c>
      <c r="E681" t="b">
        <v>0</v>
      </c>
      <c r="F681" t="b">
        <v>1</v>
      </c>
      <c r="G681" t="b">
        <v>0</v>
      </c>
      <c r="H681" t="s">
        <v>53</v>
      </c>
      <c r="I681" t="s">
        <v>44</v>
      </c>
      <c r="J681" t="s">
        <v>27</v>
      </c>
      <c r="K681" t="s">
        <v>37</v>
      </c>
      <c r="L681" t="s">
        <v>37</v>
      </c>
      <c r="M681" t="s">
        <v>46</v>
      </c>
      <c r="N681" t="s">
        <v>39</v>
      </c>
      <c r="O681" t="b">
        <v>1</v>
      </c>
      <c r="P681" t="b">
        <v>0</v>
      </c>
      <c r="Q681">
        <v>9.3000000000000007</v>
      </c>
      <c r="R681" t="b">
        <v>0</v>
      </c>
      <c r="T681">
        <v>0</v>
      </c>
      <c r="U681">
        <v>81.11</v>
      </c>
      <c r="V681" t="b">
        <v>1</v>
      </c>
      <c r="W681" t="s">
        <v>58</v>
      </c>
      <c r="AE681" t="str">
        <f t="shared" si="70"/>
        <v>Yes</v>
      </c>
      <c r="AF681" t="str">
        <f t="shared" si="71"/>
        <v>High</v>
      </c>
      <c r="AG681" t="str">
        <f t="shared" si="72"/>
        <v>Yes</v>
      </c>
      <c r="AH681" t="str">
        <f t="shared" si="73"/>
        <v>Unknown</v>
      </c>
      <c r="AJ681" t="str">
        <f t="shared" si="74"/>
        <v>High Trust</v>
      </c>
      <c r="AL681">
        <f t="shared" si="75"/>
        <v>81.099999999999994</v>
      </c>
      <c r="AM681" t="str">
        <f t="shared" si="76"/>
        <v>Bachelors</v>
      </c>
    </row>
    <row r="682" spans="1:39" x14ac:dyDescent="0.25">
      <c r="A682" t="s">
        <v>68</v>
      </c>
      <c r="B682" t="s">
        <v>76</v>
      </c>
      <c r="C682">
        <v>72.67</v>
      </c>
      <c r="D682">
        <v>470</v>
      </c>
      <c r="E682" t="b">
        <v>1</v>
      </c>
      <c r="F682" t="b">
        <v>1</v>
      </c>
      <c r="G682" t="b">
        <v>1</v>
      </c>
      <c r="H682" t="s">
        <v>43</v>
      </c>
      <c r="I682" t="s">
        <v>35</v>
      </c>
      <c r="J682" t="s">
        <v>27</v>
      </c>
      <c r="K682" t="s">
        <v>46</v>
      </c>
      <c r="L682" t="s">
        <v>29</v>
      </c>
      <c r="M682" t="s">
        <v>47</v>
      </c>
      <c r="N682" t="s">
        <v>46</v>
      </c>
      <c r="O682" t="b">
        <v>0</v>
      </c>
      <c r="P682" t="b">
        <v>1</v>
      </c>
      <c r="Q682">
        <v>6.7</v>
      </c>
      <c r="R682" t="b">
        <v>1</v>
      </c>
      <c r="S682" t="s">
        <v>55</v>
      </c>
      <c r="T682">
        <v>36.4</v>
      </c>
      <c r="U682">
        <v>78.790000000000006</v>
      </c>
      <c r="V682" t="b">
        <v>1</v>
      </c>
      <c r="W682" t="s">
        <v>41</v>
      </c>
      <c r="AE682" t="str">
        <f t="shared" si="70"/>
        <v>Yes</v>
      </c>
      <c r="AF682" t="str">
        <f t="shared" si="71"/>
        <v>Medium</v>
      </c>
      <c r="AG682" t="str">
        <f t="shared" si="72"/>
        <v>No</v>
      </c>
      <c r="AH682" t="str">
        <f t="shared" si="73"/>
        <v>Academic Paper</v>
      </c>
      <c r="AJ682" t="str">
        <f t="shared" si="74"/>
        <v>Moderate Trust</v>
      </c>
      <c r="AL682">
        <f t="shared" si="75"/>
        <v>78.8</v>
      </c>
      <c r="AM682" t="str">
        <f t="shared" si="76"/>
        <v>Bachelors</v>
      </c>
    </row>
    <row r="683" spans="1:39" x14ac:dyDescent="0.25">
      <c r="A683" t="s">
        <v>23</v>
      </c>
      <c r="B683" t="s">
        <v>62</v>
      </c>
      <c r="C683">
        <v>73.040000000000006</v>
      </c>
      <c r="D683">
        <v>624</v>
      </c>
      <c r="E683" t="b">
        <v>0</v>
      </c>
      <c r="F683" t="b">
        <v>0</v>
      </c>
      <c r="G683" t="b">
        <v>0</v>
      </c>
      <c r="H683" t="s">
        <v>53</v>
      </c>
      <c r="I683" t="s">
        <v>67</v>
      </c>
      <c r="J683" t="s">
        <v>54</v>
      </c>
      <c r="K683" t="s">
        <v>39</v>
      </c>
      <c r="L683" t="s">
        <v>38</v>
      </c>
      <c r="M683" t="s">
        <v>47</v>
      </c>
      <c r="N683" t="s">
        <v>39</v>
      </c>
      <c r="O683" t="b">
        <v>1</v>
      </c>
      <c r="P683" t="b">
        <v>0</v>
      </c>
      <c r="Q683">
        <v>8.6</v>
      </c>
      <c r="R683" t="b">
        <v>1</v>
      </c>
      <c r="S683" t="s">
        <v>55</v>
      </c>
      <c r="T683">
        <v>29.1</v>
      </c>
      <c r="U683">
        <v>78.02</v>
      </c>
      <c r="V683" t="b">
        <v>1</v>
      </c>
      <c r="W683" t="s">
        <v>31</v>
      </c>
      <c r="AE683" t="str">
        <f t="shared" si="70"/>
        <v>No</v>
      </c>
      <c r="AF683" t="str">
        <f t="shared" si="71"/>
        <v>High</v>
      </c>
      <c r="AG683" t="str">
        <f t="shared" si="72"/>
        <v>Yes</v>
      </c>
      <c r="AH683" t="str">
        <f t="shared" si="73"/>
        <v>Academic Paper</v>
      </c>
      <c r="AJ683" t="str">
        <f t="shared" si="74"/>
        <v>High Trust</v>
      </c>
      <c r="AL683">
        <f t="shared" si="75"/>
        <v>78</v>
      </c>
      <c r="AM683" t="str">
        <f t="shared" si="76"/>
        <v>Masters</v>
      </c>
    </row>
    <row r="684" spans="1:39" x14ac:dyDescent="0.25">
      <c r="A684" t="s">
        <v>68</v>
      </c>
      <c r="B684" t="s">
        <v>71</v>
      </c>
      <c r="C684">
        <v>58.32</v>
      </c>
      <c r="D684">
        <v>725</v>
      </c>
      <c r="E684" t="b">
        <v>0</v>
      </c>
      <c r="F684" t="b">
        <v>1</v>
      </c>
      <c r="G684" t="b">
        <v>0</v>
      </c>
      <c r="H684" t="s">
        <v>25</v>
      </c>
      <c r="I684" t="s">
        <v>44</v>
      </c>
      <c r="J684" t="s">
        <v>36</v>
      </c>
      <c r="K684" t="s">
        <v>28</v>
      </c>
      <c r="L684" t="s">
        <v>38</v>
      </c>
      <c r="M684" t="s">
        <v>28</v>
      </c>
      <c r="N684" t="s">
        <v>46</v>
      </c>
      <c r="P684" t="b">
        <v>0</v>
      </c>
      <c r="Q684">
        <v>7.8</v>
      </c>
      <c r="R684" t="b">
        <v>1</v>
      </c>
      <c r="S684" t="s">
        <v>52</v>
      </c>
      <c r="T684">
        <v>25.5</v>
      </c>
      <c r="U684">
        <v>60.13</v>
      </c>
      <c r="V684" t="b">
        <v>1</v>
      </c>
      <c r="W684" t="s">
        <v>41</v>
      </c>
      <c r="AE684" t="str">
        <f t="shared" si="70"/>
        <v>Yes</v>
      </c>
      <c r="AF684" t="str">
        <f t="shared" si="71"/>
        <v>Medium</v>
      </c>
      <c r="AG684" t="str">
        <f t="shared" si="72"/>
        <v>No</v>
      </c>
      <c r="AH684" t="str">
        <f t="shared" si="73"/>
        <v>Checked Official Source</v>
      </c>
      <c r="AJ684" t="str">
        <f t="shared" si="74"/>
        <v>Moderate Trust</v>
      </c>
      <c r="AL684">
        <f t="shared" si="75"/>
        <v>60.1</v>
      </c>
      <c r="AM684" t="str">
        <f t="shared" si="76"/>
        <v>PhD</v>
      </c>
    </row>
    <row r="685" spans="1:39" x14ac:dyDescent="0.25">
      <c r="A685" t="s">
        <v>23</v>
      </c>
      <c r="B685" t="s">
        <v>76</v>
      </c>
      <c r="C685">
        <v>78.83</v>
      </c>
      <c r="D685">
        <v>274</v>
      </c>
      <c r="E685" t="b">
        <v>1</v>
      </c>
      <c r="F685" t="b">
        <v>0</v>
      </c>
      <c r="G685" t="b">
        <v>0</v>
      </c>
      <c r="H685" t="s">
        <v>25</v>
      </c>
      <c r="I685" t="s">
        <v>57</v>
      </c>
      <c r="J685" t="s">
        <v>36</v>
      </c>
      <c r="K685" t="s">
        <v>28</v>
      </c>
      <c r="L685" t="s">
        <v>69</v>
      </c>
      <c r="M685" t="s">
        <v>46</v>
      </c>
      <c r="N685" t="s">
        <v>28</v>
      </c>
      <c r="P685" t="b">
        <v>1</v>
      </c>
      <c r="Q685">
        <v>10</v>
      </c>
      <c r="R685" t="b">
        <v>1</v>
      </c>
      <c r="S685" t="s">
        <v>52</v>
      </c>
      <c r="T685">
        <v>7.8</v>
      </c>
      <c r="U685">
        <v>92.34</v>
      </c>
      <c r="V685" t="b">
        <v>1</v>
      </c>
      <c r="W685" t="s">
        <v>31</v>
      </c>
      <c r="AE685" t="str">
        <f t="shared" si="70"/>
        <v>No</v>
      </c>
      <c r="AF685" t="str">
        <f t="shared" si="71"/>
        <v>Low</v>
      </c>
      <c r="AG685" t="str">
        <f t="shared" si="72"/>
        <v>No</v>
      </c>
      <c r="AH685" t="str">
        <f t="shared" si="73"/>
        <v>Checked Official Source</v>
      </c>
      <c r="AJ685" t="str">
        <f t="shared" si="74"/>
        <v>High Trust</v>
      </c>
      <c r="AL685">
        <f t="shared" si="75"/>
        <v>92.3</v>
      </c>
      <c r="AM685" t="str">
        <f t="shared" si="76"/>
        <v>PhD</v>
      </c>
    </row>
    <row r="686" spans="1:39" x14ac:dyDescent="0.25">
      <c r="A686" t="s">
        <v>61</v>
      </c>
      <c r="B686" t="s">
        <v>62</v>
      </c>
      <c r="C686">
        <v>73.959999999999994</v>
      </c>
      <c r="D686">
        <v>80</v>
      </c>
      <c r="E686" t="b">
        <v>0</v>
      </c>
      <c r="F686" t="b">
        <v>1</v>
      </c>
      <c r="G686" t="b">
        <v>0</v>
      </c>
      <c r="H686" t="s">
        <v>34</v>
      </c>
      <c r="I686" t="s">
        <v>57</v>
      </c>
      <c r="J686" t="s">
        <v>50</v>
      </c>
      <c r="K686" t="s">
        <v>37</v>
      </c>
      <c r="L686" t="s">
        <v>69</v>
      </c>
      <c r="M686" t="s">
        <v>46</v>
      </c>
      <c r="O686" t="b">
        <v>0</v>
      </c>
      <c r="P686" t="b">
        <v>1</v>
      </c>
      <c r="Q686">
        <v>6.8</v>
      </c>
      <c r="R686" t="b">
        <v>1</v>
      </c>
      <c r="S686" t="s">
        <v>40</v>
      </c>
      <c r="T686">
        <v>11.4</v>
      </c>
      <c r="U686">
        <v>68.239999999999995</v>
      </c>
      <c r="V686" t="b">
        <v>1</v>
      </c>
      <c r="W686" t="s">
        <v>41</v>
      </c>
      <c r="AE686" t="str">
        <f t="shared" si="70"/>
        <v>Yes</v>
      </c>
      <c r="AF686" t="str">
        <f t="shared" si="71"/>
        <v>Unknown</v>
      </c>
      <c r="AG686" t="str">
        <f t="shared" si="72"/>
        <v>No</v>
      </c>
      <c r="AH686" t="str">
        <f t="shared" si="73"/>
        <v>Asked Expert</v>
      </c>
      <c r="AJ686" t="str">
        <f t="shared" si="74"/>
        <v>Moderate Trust</v>
      </c>
      <c r="AL686">
        <f t="shared" si="75"/>
        <v>68.2</v>
      </c>
      <c r="AM686" t="str">
        <f t="shared" si="76"/>
        <v>Professional</v>
      </c>
    </row>
    <row r="687" spans="1:39" x14ac:dyDescent="0.25">
      <c r="A687" t="s">
        <v>23</v>
      </c>
      <c r="B687" t="s">
        <v>24</v>
      </c>
      <c r="C687">
        <v>92.28</v>
      </c>
      <c r="D687">
        <v>572</v>
      </c>
      <c r="E687" t="b">
        <v>1</v>
      </c>
      <c r="F687" t="b">
        <v>0</v>
      </c>
      <c r="G687" t="b">
        <v>0</v>
      </c>
      <c r="H687" t="s">
        <v>43</v>
      </c>
      <c r="I687" t="s">
        <v>26</v>
      </c>
      <c r="J687" t="s">
        <v>27</v>
      </c>
      <c r="K687" t="s">
        <v>28</v>
      </c>
      <c r="L687" t="s">
        <v>37</v>
      </c>
      <c r="M687" t="s">
        <v>28</v>
      </c>
      <c r="N687" t="s">
        <v>28</v>
      </c>
      <c r="O687" t="b">
        <v>0</v>
      </c>
      <c r="P687" t="b">
        <v>1</v>
      </c>
      <c r="Q687">
        <v>10</v>
      </c>
      <c r="R687" t="b">
        <v>1</v>
      </c>
      <c r="S687" t="s">
        <v>40</v>
      </c>
      <c r="T687">
        <v>27.6</v>
      </c>
      <c r="U687">
        <v>81.33</v>
      </c>
      <c r="V687" t="b">
        <v>1</v>
      </c>
      <c r="W687" t="s">
        <v>31</v>
      </c>
      <c r="AE687" t="str">
        <f t="shared" si="70"/>
        <v>No</v>
      </c>
      <c r="AF687" t="str">
        <f t="shared" si="71"/>
        <v>Low</v>
      </c>
      <c r="AG687" t="str">
        <f t="shared" si="72"/>
        <v>No</v>
      </c>
      <c r="AH687" t="str">
        <f t="shared" si="73"/>
        <v>Asked Expert</v>
      </c>
      <c r="AJ687" t="str">
        <f t="shared" si="74"/>
        <v>High Trust</v>
      </c>
      <c r="AL687">
        <f t="shared" si="75"/>
        <v>81.3</v>
      </c>
      <c r="AM687" t="str">
        <f t="shared" si="76"/>
        <v>Bachelors</v>
      </c>
    </row>
    <row r="688" spans="1:39" x14ac:dyDescent="0.25">
      <c r="A688" t="s">
        <v>56</v>
      </c>
      <c r="B688" t="s">
        <v>60</v>
      </c>
      <c r="C688">
        <v>59.05</v>
      </c>
      <c r="D688">
        <v>497</v>
      </c>
      <c r="E688" t="b">
        <v>1</v>
      </c>
      <c r="F688" t="b">
        <v>0</v>
      </c>
      <c r="G688" t="b">
        <v>1</v>
      </c>
      <c r="H688" t="s">
        <v>43</v>
      </c>
      <c r="I688" t="s">
        <v>26</v>
      </c>
      <c r="J688" t="s">
        <v>36</v>
      </c>
      <c r="K688" t="s">
        <v>46</v>
      </c>
      <c r="L688" t="s">
        <v>51</v>
      </c>
      <c r="M688" t="s">
        <v>47</v>
      </c>
      <c r="N688" t="s">
        <v>28</v>
      </c>
      <c r="O688" t="b">
        <v>1</v>
      </c>
      <c r="P688" t="b">
        <v>0</v>
      </c>
      <c r="Q688">
        <v>8.6</v>
      </c>
      <c r="R688" t="b">
        <v>1</v>
      </c>
      <c r="S688" t="s">
        <v>40</v>
      </c>
      <c r="T688">
        <v>23.2</v>
      </c>
      <c r="U688">
        <v>66</v>
      </c>
      <c r="V688" t="b">
        <v>0</v>
      </c>
      <c r="W688" t="s">
        <v>31</v>
      </c>
      <c r="AE688" t="str">
        <f t="shared" si="70"/>
        <v>No</v>
      </c>
      <c r="AF688" t="str">
        <f t="shared" si="71"/>
        <v>Low</v>
      </c>
      <c r="AG688" t="str">
        <f t="shared" si="72"/>
        <v>Yes</v>
      </c>
      <c r="AH688" t="str">
        <f t="shared" si="73"/>
        <v>Asked Expert</v>
      </c>
      <c r="AJ688" t="str">
        <f t="shared" si="74"/>
        <v>High Trust</v>
      </c>
      <c r="AL688">
        <f t="shared" si="75"/>
        <v>66</v>
      </c>
      <c r="AM688" t="str">
        <f t="shared" si="76"/>
        <v>PhD</v>
      </c>
    </row>
    <row r="689" spans="1:39" x14ac:dyDescent="0.25">
      <c r="A689" t="s">
        <v>68</v>
      </c>
      <c r="B689" t="s">
        <v>59</v>
      </c>
      <c r="C689">
        <v>87.61</v>
      </c>
      <c r="D689">
        <v>797</v>
      </c>
      <c r="E689" t="b">
        <v>0</v>
      </c>
      <c r="F689" t="b">
        <v>0</v>
      </c>
      <c r="G689" t="b">
        <v>1</v>
      </c>
      <c r="H689" t="s">
        <v>25</v>
      </c>
      <c r="I689" t="s">
        <v>44</v>
      </c>
      <c r="J689" t="s">
        <v>36</v>
      </c>
      <c r="K689" t="s">
        <v>37</v>
      </c>
      <c r="L689" t="s">
        <v>51</v>
      </c>
      <c r="M689" t="s">
        <v>28</v>
      </c>
      <c r="N689" t="s">
        <v>39</v>
      </c>
      <c r="O689" t="b">
        <v>0</v>
      </c>
      <c r="P689" t="b">
        <v>0</v>
      </c>
      <c r="Q689">
        <v>8.1999999999999993</v>
      </c>
      <c r="R689" t="b">
        <v>1</v>
      </c>
      <c r="S689" t="s">
        <v>75</v>
      </c>
      <c r="T689">
        <v>22.1</v>
      </c>
      <c r="U689">
        <v>84.05</v>
      </c>
      <c r="V689" t="b">
        <v>1</v>
      </c>
      <c r="W689" t="s">
        <v>31</v>
      </c>
      <c r="AE689" t="str">
        <f t="shared" si="70"/>
        <v>No</v>
      </c>
      <c r="AF689" t="str">
        <f t="shared" si="71"/>
        <v>High</v>
      </c>
      <c r="AG689" t="str">
        <f t="shared" si="72"/>
        <v>No</v>
      </c>
      <c r="AH689" t="str">
        <f t="shared" si="73"/>
        <v>Asked Colleague</v>
      </c>
      <c r="AJ689" t="str">
        <f t="shared" si="74"/>
        <v>High Trust</v>
      </c>
      <c r="AL689">
        <f t="shared" si="75"/>
        <v>84.1</v>
      </c>
      <c r="AM689" t="str">
        <f t="shared" si="76"/>
        <v>PhD</v>
      </c>
    </row>
    <row r="690" spans="1:39" x14ac:dyDescent="0.25">
      <c r="A690" t="s">
        <v>23</v>
      </c>
      <c r="B690" t="s">
        <v>60</v>
      </c>
      <c r="C690">
        <v>47.18</v>
      </c>
      <c r="D690">
        <v>149</v>
      </c>
      <c r="E690" t="b">
        <v>1</v>
      </c>
      <c r="F690" t="b">
        <v>1</v>
      </c>
      <c r="G690" t="b">
        <v>1</v>
      </c>
      <c r="H690" t="s">
        <v>25</v>
      </c>
      <c r="I690" t="s">
        <v>57</v>
      </c>
      <c r="J690" t="s">
        <v>50</v>
      </c>
      <c r="K690" t="s">
        <v>46</v>
      </c>
      <c r="L690" t="s">
        <v>69</v>
      </c>
      <c r="M690" t="s">
        <v>47</v>
      </c>
      <c r="N690" t="s">
        <v>28</v>
      </c>
      <c r="P690" t="b">
        <v>1</v>
      </c>
      <c r="Q690">
        <v>6.2</v>
      </c>
      <c r="R690" t="b">
        <v>1</v>
      </c>
      <c r="S690" t="s">
        <v>30</v>
      </c>
      <c r="T690">
        <v>18.3</v>
      </c>
      <c r="U690">
        <v>45.65</v>
      </c>
      <c r="V690" t="b">
        <v>1</v>
      </c>
      <c r="W690" t="s">
        <v>41</v>
      </c>
      <c r="AE690" t="str">
        <f t="shared" si="70"/>
        <v>Yes</v>
      </c>
      <c r="AF690" t="str">
        <f t="shared" si="71"/>
        <v>Low</v>
      </c>
      <c r="AG690" t="str">
        <f t="shared" si="72"/>
        <v>No</v>
      </c>
      <c r="AH690" t="str">
        <f t="shared" si="73"/>
        <v>Google Search</v>
      </c>
      <c r="AJ690" t="str">
        <f t="shared" si="74"/>
        <v>Low Trust</v>
      </c>
      <c r="AL690">
        <f t="shared" si="75"/>
        <v>45.7</v>
      </c>
      <c r="AM690" t="str">
        <f t="shared" si="76"/>
        <v>Professional</v>
      </c>
    </row>
    <row r="691" spans="1:39" x14ac:dyDescent="0.25">
      <c r="A691" t="s">
        <v>56</v>
      </c>
      <c r="B691" t="s">
        <v>71</v>
      </c>
      <c r="C691">
        <v>41.25</v>
      </c>
      <c r="D691">
        <v>675</v>
      </c>
      <c r="E691" t="b">
        <v>1</v>
      </c>
      <c r="F691" t="b">
        <v>1</v>
      </c>
      <c r="G691" t="b">
        <v>1</v>
      </c>
      <c r="H691" t="s">
        <v>25</v>
      </c>
      <c r="I691" t="s">
        <v>63</v>
      </c>
      <c r="J691" t="s">
        <v>27</v>
      </c>
      <c r="K691" t="s">
        <v>37</v>
      </c>
      <c r="L691" t="s">
        <v>37</v>
      </c>
      <c r="M691" t="s">
        <v>28</v>
      </c>
      <c r="N691" t="s">
        <v>28</v>
      </c>
      <c r="O691" t="b">
        <v>0</v>
      </c>
      <c r="P691" t="b">
        <v>1</v>
      </c>
      <c r="Q691">
        <v>4</v>
      </c>
      <c r="R691" t="b">
        <v>1</v>
      </c>
      <c r="S691" t="s">
        <v>48</v>
      </c>
      <c r="T691">
        <v>26.5</v>
      </c>
      <c r="U691">
        <v>33.020000000000003</v>
      </c>
      <c r="V691" t="b">
        <v>1</v>
      </c>
      <c r="W691" t="s">
        <v>72</v>
      </c>
      <c r="AE691" t="str">
        <f t="shared" si="70"/>
        <v>Yes</v>
      </c>
      <c r="AF691" t="str">
        <f t="shared" si="71"/>
        <v>Low</v>
      </c>
      <c r="AG691" t="str">
        <f t="shared" si="72"/>
        <v>No</v>
      </c>
      <c r="AH691" t="str">
        <f t="shared" si="73"/>
        <v>Consulted Documentation</v>
      </c>
      <c r="AJ691" t="str">
        <f t="shared" si="74"/>
        <v>Moderate Trust</v>
      </c>
      <c r="AL691">
        <f t="shared" si="75"/>
        <v>33</v>
      </c>
      <c r="AM691" t="str">
        <f t="shared" si="76"/>
        <v>Bachelors</v>
      </c>
    </row>
    <row r="692" spans="1:39" x14ac:dyDescent="0.25">
      <c r="A692" t="s">
        <v>68</v>
      </c>
      <c r="B692" t="s">
        <v>66</v>
      </c>
      <c r="C692">
        <v>74.08</v>
      </c>
      <c r="D692">
        <v>303</v>
      </c>
      <c r="E692" t="b">
        <v>1</v>
      </c>
      <c r="F692" t="b">
        <v>0</v>
      </c>
      <c r="G692" t="b">
        <v>1</v>
      </c>
      <c r="H692" t="s">
        <v>34</v>
      </c>
      <c r="I692" t="s">
        <v>35</v>
      </c>
      <c r="J692" t="s">
        <v>27</v>
      </c>
      <c r="K692" t="s">
        <v>39</v>
      </c>
      <c r="L692" t="s">
        <v>51</v>
      </c>
      <c r="M692" t="s">
        <v>47</v>
      </c>
      <c r="N692" t="s">
        <v>39</v>
      </c>
      <c r="O692" t="b">
        <v>0</v>
      </c>
      <c r="P692" t="b">
        <v>0</v>
      </c>
      <c r="Q692">
        <v>6.1</v>
      </c>
      <c r="R692" t="b">
        <v>1</v>
      </c>
      <c r="S692" t="s">
        <v>64</v>
      </c>
      <c r="T692">
        <v>14.5</v>
      </c>
      <c r="U692">
        <v>73.05</v>
      </c>
      <c r="V692" t="b">
        <v>1</v>
      </c>
      <c r="W692" t="s">
        <v>41</v>
      </c>
      <c r="AE692" t="str">
        <f t="shared" si="70"/>
        <v>No</v>
      </c>
      <c r="AF692" t="str">
        <f t="shared" si="71"/>
        <v>High</v>
      </c>
      <c r="AG692" t="str">
        <f t="shared" si="72"/>
        <v>No</v>
      </c>
      <c r="AH692" t="str">
        <f t="shared" si="73"/>
        <v>Personal Testing</v>
      </c>
      <c r="AJ692" t="str">
        <f t="shared" si="74"/>
        <v>Moderate Trust</v>
      </c>
      <c r="AL692">
        <f t="shared" si="75"/>
        <v>73.099999999999994</v>
      </c>
      <c r="AM692" t="str">
        <f t="shared" si="76"/>
        <v>Bachelors</v>
      </c>
    </row>
    <row r="693" spans="1:39" x14ac:dyDescent="0.25">
      <c r="A693" t="s">
        <v>56</v>
      </c>
      <c r="B693" t="s">
        <v>42</v>
      </c>
      <c r="C693">
        <v>79.89</v>
      </c>
      <c r="D693">
        <v>650</v>
      </c>
      <c r="E693" t="b">
        <v>1</v>
      </c>
      <c r="F693" t="b">
        <v>0</v>
      </c>
      <c r="G693" t="b">
        <v>1</v>
      </c>
      <c r="H693" t="s">
        <v>53</v>
      </c>
      <c r="I693" t="s">
        <v>44</v>
      </c>
      <c r="J693" t="s">
        <v>54</v>
      </c>
      <c r="K693" t="s">
        <v>39</v>
      </c>
      <c r="L693" t="s">
        <v>51</v>
      </c>
      <c r="M693" t="s">
        <v>46</v>
      </c>
      <c r="N693" t="s">
        <v>28</v>
      </c>
      <c r="P693" t="b">
        <v>1</v>
      </c>
      <c r="Q693">
        <v>8.9</v>
      </c>
      <c r="R693" t="b">
        <v>0</v>
      </c>
      <c r="T693">
        <v>0</v>
      </c>
      <c r="U693">
        <v>90.06</v>
      </c>
      <c r="V693" t="b">
        <v>1</v>
      </c>
      <c r="W693" t="s">
        <v>58</v>
      </c>
      <c r="AE693" t="str">
        <f t="shared" si="70"/>
        <v>No</v>
      </c>
      <c r="AF693" t="str">
        <f t="shared" si="71"/>
        <v>Low</v>
      </c>
      <c r="AG693" t="str">
        <f t="shared" si="72"/>
        <v>No</v>
      </c>
      <c r="AH693" t="str">
        <f t="shared" si="73"/>
        <v>Unknown</v>
      </c>
      <c r="AJ693" t="str">
        <f t="shared" si="74"/>
        <v>High Trust</v>
      </c>
      <c r="AL693">
        <f t="shared" si="75"/>
        <v>90.1</v>
      </c>
      <c r="AM693" t="str">
        <f t="shared" si="76"/>
        <v>Masters</v>
      </c>
    </row>
    <row r="694" spans="1:39" x14ac:dyDescent="0.25">
      <c r="A694" t="s">
        <v>61</v>
      </c>
      <c r="B694" t="s">
        <v>62</v>
      </c>
      <c r="C694">
        <v>60.67</v>
      </c>
      <c r="D694">
        <v>410</v>
      </c>
      <c r="E694" t="b">
        <v>0</v>
      </c>
      <c r="F694" t="b">
        <v>0</v>
      </c>
      <c r="G694" t="b">
        <v>0</v>
      </c>
      <c r="H694" t="s">
        <v>53</v>
      </c>
      <c r="I694" t="s">
        <v>44</v>
      </c>
      <c r="J694" t="s">
        <v>54</v>
      </c>
      <c r="K694" t="s">
        <v>37</v>
      </c>
      <c r="L694" t="s">
        <v>51</v>
      </c>
      <c r="M694" t="s">
        <v>39</v>
      </c>
      <c r="N694" t="s">
        <v>28</v>
      </c>
      <c r="P694" t="b">
        <v>0</v>
      </c>
      <c r="Q694">
        <v>5.6</v>
      </c>
      <c r="R694" t="b">
        <v>1</v>
      </c>
      <c r="S694" t="s">
        <v>55</v>
      </c>
      <c r="T694">
        <v>38.200000000000003</v>
      </c>
      <c r="U694">
        <v>66.680000000000007</v>
      </c>
      <c r="V694" t="b">
        <v>1</v>
      </c>
      <c r="W694" t="s">
        <v>41</v>
      </c>
      <c r="AE694" t="str">
        <f t="shared" si="70"/>
        <v>No</v>
      </c>
      <c r="AF694" t="str">
        <f t="shared" si="71"/>
        <v>Low</v>
      </c>
      <c r="AG694" t="str">
        <f t="shared" si="72"/>
        <v>No</v>
      </c>
      <c r="AH694" t="str">
        <f t="shared" si="73"/>
        <v>Academic Paper</v>
      </c>
      <c r="AJ694" t="str">
        <f t="shared" si="74"/>
        <v>Moderate Trust</v>
      </c>
      <c r="AL694">
        <f t="shared" si="75"/>
        <v>66.7</v>
      </c>
      <c r="AM694" t="str">
        <f t="shared" si="76"/>
        <v>Masters</v>
      </c>
    </row>
    <row r="695" spans="1:39" x14ac:dyDescent="0.25">
      <c r="A695" t="s">
        <v>56</v>
      </c>
      <c r="B695" t="s">
        <v>76</v>
      </c>
      <c r="C695">
        <v>70.41</v>
      </c>
      <c r="D695">
        <v>420</v>
      </c>
      <c r="E695" t="b">
        <v>1</v>
      </c>
      <c r="F695" t="b">
        <v>0</v>
      </c>
      <c r="G695" t="b">
        <v>0</v>
      </c>
      <c r="H695" t="s">
        <v>25</v>
      </c>
      <c r="I695" t="s">
        <v>26</v>
      </c>
      <c r="J695" t="s">
        <v>45</v>
      </c>
      <c r="K695" t="s">
        <v>37</v>
      </c>
      <c r="L695" t="s">
        <v>69</v>
      </c>
      <c r="M695" t="s">
        <v>46</v>
      </c>
      <c r="N695" t="s">
        <v>28</v>
      </c>
      <c r="O695" t="b">
        <v>0</v>
      </c>
      <c r="P695" t="b">
        <v>1</v>
      </c>
      <c r="Q695">
        <v>7.8</v>
      </c>
      <c r="R695" t="b">
        <v>1</v>
      </c>
      <c r="S695" t="s">
        <v>64</v>
      </c>
      <c r="T695">
        <v>15.5</v>
      </c>
      <c r="U695">
        <v>58.65</v>
      </c>
      <c r="V695" t="b">
        <v>1</v>
      </c>
      <c r="W695" t="s">
        <v>41</v>
      </c>
      <c r="AE695" t="str">
        <f t="shared" si="70"/>
        <v>No</v>
      </c>
      <c r="AF695" t="str">
        <f t="shared" si="71"/>
        <v>Low</v>
      </c>
      <c r="AG695" t="str">
        <f t="shared" si="72"/>
        <v>No</v>
      </c>
      <c r="AH695" t="str">
        <f t="shared" si="73"/>
        <v>Personal Testing</v>
      </c>
      <c r="AJ695" t="str">
        <f t="shared" si="74"/>
        <v>Moderate Trust</v>
      </c>
      <c r="AL695">
        <f t="shared" si="75"/>
        <v>58.7</v>
      </c>
      <c r="AM695" t="str">
        <f t="shared" si="76"/>
        <v>High School</v>
      </c>
    </row>
    <row r="696" spans="1:39" x14ac:dyDescent="0.25">
      <c r="A696" t="s">
        <v>68</v>
      </c>
      <c r="B696" t="s">
        <v>66</v>
      </c>
      <c r="C696">
        <v>63.23</v>
      </c>
      <c r="D696">
        <v>80</v>
      </c>
      <c r="E696" t="b">
        <v>1</v>
      </c>
      <c r="F696" t="b">
        <v>0</v>
      </c>
      <c r="G696" t="b">
        <v>0</v>
      </c>
      <c r="H696" t="s">
        <v>53</v>
      </c>
      <c r="I696" t="s">
        <v>26</v>
      </c>
      <c r="J696" t="s">
        <v>50</v>
      </c>
      <c r="K696" t="s">
        <v>28</v>
      </c>
      <c r="L696" t="s">
        <v>29</v>
      </c>
      <c r="M696" t="s">
        <v>39</v>
      </c>
      <c r="N696" t="s">
        <v>39</v>
      </c>
      <c r="P696" t="b">
        <v>0</v>
      </c>
      <c r="Q696">
        <v>7.9</v>
      </c>
      <c r="R696" t="b">
        <v>0</v>
      </c>
      <c r="T696">
        <v>0</v>
      </c>
      <c r="U696">
        <v>46.12</v>
      </c>
      <c r="V696" t="b">
        <v>0</v>
      </c>
      <c r="W696" t="s">
        <v>31</v>
      </c>
      <c r="AE696" t="str">
        <f t="shared" si="70"/>
        <v>No</v>
      </c>
      <c r="AF696" t="str">
        <f t="shared" si="71"/>
        <v>High</v>
      </c>
      <c r="AG696" t="str">
        <f t="shared" si="72"/>
        <v>No</v>
      </c>
      <c r="AH696" t="str">
        <f t="shared" si="73"/>
        <v>Unknown</v>
      </c>
      <c r="AJ696" t="str">
        <f t="shared" si="74"/>
        <v>Moderate Trust</v>
      </c>
      <c r="AL696">
        <f t="shared" si="75"/>
        <v>46.1</v>
      </c>
      <c r="AM696" t="str">
        <f t="shared" si="76"/>
        <v>Professional</v>
      </c>
    </row>
    <row r="697" spans="1:39" x14ac:dyDescent="0.25">
      <c r="A697" t="s">
        <v>56</v>
      </c>
      <c r="B697" t="s">
        <v>73</v>
      </c>
      <c r="C697">
        <v>45.79</v>
      </c>
      <c r="D697">
        <v>359</v>
      </c>
      <c r="E697" t="b">
        <v>0</v>
      </c>
      <c r="F697" t="b">
        <v>0</v>
      </c>
      <c r="G697" t="b">
        <v>0</v>
      </c>
      <c r="H697" t="s">
        <v>34</v>
      </c>
      <c r="I697" t="s">
        <v>35</v>
      </c>
      <c r="J697" t="s">
        <v>50</v>
      </c>
      <c r="K697" t="s">
        <v>46</v>
      </c>
      <c r="L697" t="s">
        <v>37</v>
      </c>
      <c r="M697" t="s">
        <v>46</v>
      </c>
      <c r="N697" t="s">
        <v>46</v>
      </c>
      <c r="P697" t="b">
        <v>1</v>
      </c>
      <c r="Q697">
        <v>5</v>
      </c>
      <c r="R697" t="b">
        <v>1</v>
      </c>
      <c r="S697" t="s">
        <v>52</v>
      </c>
      <c r="T697">
        <v>14</v>
      </c>
      <c r="U697">
        <v>40.119999999999997</v>
      </c>
      <c r="V697" t="b">
        <v>1</v>
      </c>
      <c r="W697" t="s">
        <v>41</v>
      </c>
      <c r="AE697" t="str">
        <f t="shared" si="70"/>
        <v>No</v>
      </c>
      <c r="AF697" t="str">
        <f t="shared" si="71"/>
        <v>Medium</v>
      </c>
      <c r="AG697" t="str">
        <f t="shared" si="72"/>
        <v>No</v>
      </c>
      <c r="AH697" t="str">
        <f t="shared" si="73"/>
        <v>Checked Official Source</v>
      </c>
      <c r="AJ697" t="str">
        <f t="shared" si="74"/>
        <v>Moderate Trust</v>
      </c>
      <c r="AL697">
        <f t="shared" si="75"/>
        <v>40.1</v>
      </c>
      <c r="AM697" t="str">
        <f t="shared" si="76"/>
        <v>Professional</v>
      </c>
    </row>
    <row r="698" spans="1:39" x14ac:dyDescent="0.25">
      <c r="A698" t="s">
        <v>56</v>
      </c>
      <c r="B698" t="s">
        <v>42</v>
      </c>
      <c r="C698">
        <v>68.069999999999993</v>
      </c>
      <c r="D698">
        <v>529</v>
      </c>
      <c r="E698" t="b">
        <v>0</v>
      </c>
      <c r="F698" t="b">
        <v>1</v>
      </c>
      <c r="G698" t="b">
        <v>1</v>
      </c>
      <c r="H698" t="s">
        <v>53</v>
      </c>
      <c r="I698" t="s">
        <v>35</v>
      </c>
      <c r="J698" t="s">
        <v>45</v>
      </c>
      <c r="K698" t="s">
        <v>39</v>
      </c>
      <c r="L698" t="s">
        <v>51</v>
      </c>
      <c r="M698" t="s">
        <v>47</v>
      </c>
      <c r="N698" t="s">
        <v>46</v>
      </c>
      <c r="O698" t="b">
        <v>1</v>
      </c>
      <c r="P698" t="b">
        <v>1</v>
      </c>
      <c r="Q698">
        <v>7.2</v>
      </c>
      <c r="R698" t="b">
        <v>0</v>
      </c>
      <c r="T698">
        <v>0</v>
      </c>
      <c r="U698">
        <v>75.760000000000005</v>
      </c>
      <c r="V698" t="b">
        <v>1</v>
      </c>
      <c r="W698" t="s">
        <v>31</v>
      </c>
      <c r="AE698" t="str">
        <f t="shared" si="70"/>
        <v>Yes</v>
      </c>
      <c r="AF698" t="str">
        <f t="shared" si="71"/>
        <v>Medium</v>
      </c>
      <c r="AG698" t="str">
        <f t="shared" si="72"/>
        <v>Yes</v>
      </c>
      <c r="AH698" t="str">
        <f t="shared" si="73"/>
        <v>Unknown</v>
      </c>
      <c r="AJ698" t="str">
        <f t="shared" si="74"/>
        <v>Moderate Trust</v>
      </c>
      <c r="AL698">
        <f t="shared" si="75"/>
        <v>75.8</v>
      </c>
      <c r="AM698" t="str">
        <f t="shared" si="76"/>
        <v>High School</v>
      </c>
    </row>
    <row r="699" spans="1:39" x14ac:dyDescent="0.25">
      <c r="A699" t="s">
        <v>23</v>
      </c>
      <c r="B699" t="s">
        <v>59</v>
      </c>
      <c r="C699">
        <v>89.29</v>
      </c>
      <c r="D699">
        <v>265</v>
      </c>
      <c r="E699" t="b">
        <v>0</v>
      </c>
      <c r="F699" t="b">
        <v>0</v>
      </c>
      <c r="G699" t="b">
        <v>0</v>
      </c>
      <c r="H699" t="s">
        <v>53</v>
      </c>
      <c r="I699" t="s">
        <v>44</v>
      </c>
      <c r="J699" t="s">
        <v>54</v>
      </c>
      <c r="K699" t="s">
        <v>37</v>
      </c>
      <c r="L699" t="s">
        <v>69</v>
      </c>
      <c r="M699" t="s">
        <v>47</v>
      </c>
      <c r="N699" t="s">
        <v>46</v>
      </c>
      <c r="P699" t="b">
        <v>0</v>
      </c>
      <c r="Q699">
        <v>9.1</v>
      </c>
      <c r="R699" t="b">
        <v>0</v>
      </c>
      <c r="T699">
        <v>0</v>
      </c>
      <c r="U699">
        <v>79.64</v>
      </c>
      <c r="V699" t="b">
        <v>1</v>
      </c>
      <c r="W699" t="s">
        <v>58</v>
      </c>
      <c r="AE699" t="str">
        <f t="shared" si="70"/>
        <v>No</v>
      </c>
      <c r="AF699" t="str">
        <f t="shared" si="71"/>
        <v>Medium</v>
      </c>
      <c r="AG699" t="str">
        <f t="shared" si="72"/>
        <v>No</v>
      </c>
      <c r="AH699" t="str">
        <f t="shared" si="73"/>
        <v>Unknown</v>
      </c>
      <c r="AJ699" t="str">
        <f t="shared" si="74"/>
        <v>High Trust</v>
      </c>
      <c r="AL699">
        <f t="shared" si="75"/>
        <v>79.599999999999994</v>
      </c>
      <c r="AM699" t="str">
        <f t="shared" si="76"/>
        <v>Masters</v>
      </c>
    </row>
    <row r="700" spans="1:39" x14ac:dyDescent="0.25">
      <c r="A700" t="s">
        <v>56</v>
      </c>
      <c r="B700" t="s">
        <v>42</v>
      </c>
      <c r="C700">
        <v>80.59</v>
      </c>
      <c r="D700">
        <v>666</v>
      </c>
      <c r="E700" t="b">
        <v>0</v>
      </c>
      <c r="F700" t="b">
        <v>1</v>
      </c>
      <c r="G700" t="b">
        <v>0</v>
      </c>
      <c r="H700" t="s">
        <v>25</v>
      </c>
      <c r="I700" t="s">
        <v>26</v>
      </c>
      <c r="J700" t="s">
        <v>54</v>
      </c>
      <c r="K700" t="s">
        <v>37</v>
      </c>
      <c r="L700" t="s">
        <v>38</v>
      </c>
      <c r="M700" t="s">
        <v>46</v>
      </c>
      <c r="O700" t="b">
        <v>0</v>
      </c>
      <c r="P700" t="b">
        <v>1</v>
      </c>
      <c r="Q700">
        <v>7.6</v>
      </c>
      <c r="R700" t="b">
        <v>1</v>
      </c>
      <c r="S700" t="s">
        <v>65</v>
      </c>
      <c r="T700">
        <v>14.1</v>
      </c>
      <c r="U700">
        <v>83</v>
      </c>
      <c r="V700" t="b">
        <v>1</v>
      </c>
      <c r="W700" t="s">
        <v>41</v>
      </c>
      <c r="AE700" t="str">
        <f t="shared" si="70"/>
        <v>Yes</v>
      </c>
      <c r="AF700" t="str">
        <f t="shared" si="71"/>
        <v>Unknown</v>
      </c>
      <c r="AG700" t="str">
        <f t="shared" si="72"/>
        <v>No</v>
      </c>
      <c r="AH700" t="str">
        <f t="shared" si="73"/>
        <v>Cross-referenced Multiple AIs</v>
      </c>
      <c r="AJ700" t="str">
        <f t="shared" si="74"/>
        <v>Moderate Trust</v>
      </c>
      <c r="AL700">
        <f t="shared" si="75"/>
        <v>83</v>
      </c>
      <c r="AM700" t="str">
        <f t="shared" si="76"/>
        <v>Masters</v>
      </c>
    </row>
    <row r="701" spans="1:39" x14ac:dyDescent="0.25">
      <c r="A701" t="s">
        <v>74</v>
      </c>
      <c r="B701" t="s">
        <v>71</v>
      </c>
      <c r="C701">
        <v>48.91</v>
      </c>
      <c r="D701">
        <v>542</v>
      </c>
      <c r="E701" t="b">
        <v>1</v>
      </c>
      <c r="F701" t="b">
        <v>0</v>
      </c>
      <c r="G701" t="b">
        <v>0</v>
      </c>
      <c r="H701" t="s">
        <v>43</v>
      </c>
      <c r="I701" t="s">
        <v>35</v>
      </c>
      <c r="J701" t="s">
        <v>50</v>
      </c>
      <c r="K701" t="s">
        <v>46</v>
      </c>
      <c r="L701" t="s">
        <v>69</v>
      </c>
      <c r="M701" t="s">
        <v>28</v>
      </c>
      <c r="N701" t="s">
        <v>46</v>
      </c>
      <c r="P701" t="b">
        <v>1</v>
      </c>
      <c r="Q701">
        <v>8.1</v>
      </c>
      <c r="R701" t="b">
        <v>0</v>
      </c>
      <c r="T701">
        <v>0</v>
      </c>
      <c r="U701">
        <v>26.43</v>
      </c>
      <c r="V701" t="b">
        <v>0</v>
      </c>
      <c r="W701" t="s">
        <v>58</v>
      </c>
      <c r="AE701" t="str">
        <f t="shared" si="70"/>
        <v>No</v>
      </c>
      <c r="AF701" t="str">
        <f t="shared" si="71"/>
        <v>Medium</v>
      </c>
      <c r="AG701" t="str">
        <f t="shared" si="72"/>
        <v>No</v>
      </c>
      <c r="AH701" t="str">
        <f t="shared" si="73"/>
        <v>Unknown</v>
      </c>
      <c r="AJ701" t="str">
        <f t="shared" si="74"/>
        <v>High Trust</v>
      </c>
      <c r="AL701">
        <f t="shared" si="75"/>
        <v>26.4</v>
      </c>
      <c r="AM701" t="str">
        <f t="shared" si="76"/>
        <v>Professional</v>
      </c>
    </row>
    <row r="702" spans="1:39" x14ac:dyDescent="0.25">
      <c r="A702" t="s">
        <v>74</v>
      </c>
      <c r="B702" t="s">
        <v>76</v>
      </c>
      <c r="C702">
        <v>71.400000000000006</v>
      </c>
      <c r="D702">
        <v>601</v>
      </c>
      <c r="E702" t="b">
        <v>0</v>
      </c>
      <c r="F702" t="b">
        <v>0</v>
      </c>
      <c r="G702" t="b">
        <v>1</v>
      </c>
      <c r="H702" t="s">
        <v>43</v>
      </c>
      <c r="I702" t="s">
        <v>26</v>
      </c>
      <c r="J702" t="s">
        <v>27</v>
      </c>
      <c r="K702" t="s">
        <v>46</v>
      </c>
      <c r="L702" t="s">
        <v>51</v>
      </c>
      <c r="M702" t="s">
        <v>39</v>
      </c>
      <c r="N702" t="s">
        <v>28</v>
      </c>
      <c r="O702" t="b">
        <v>1</v>
      </c>
      <c r="P702" t="b">
        <v>1</v>
      </c>
      <c r="Q702">
        <v>9.1</v>
      </c>
      <c r="R702" t="b">
        <v>0</v>
      </c>
      <c r="T702">
        <v>0</v>
      </c>
      <c r="U702">
        <v>69.83</v>
      </c>
      <c r="V702" t="b">
        <v>0</v>
      </c>
      <c r="W702" t="s">
        <v>58</v>
      </c>
      <c r="AE702" t="str">
        <f t="shared" si="70"/>
        <v>No</v>
      </c>
      <c r="AF702" t="str">
        <f t="shared" si="71"/>
        <v>Low</v>
      </c>
      <c r="AG702" t="str">
        <f t="shared" si="72"/>
        <v>Yes</v>
      </c>
      <c r="AH702" t="str">
        <f t="shared" si="73"/>
        <v>Unknown</v>
      </c>
      <c r="AJ702" t="str">
        <f t="shared" si="74"/>
        <v>High Trust</v>
      </c>
      <c r="AL702">
        <f t="shared" si="75"/>
        <v>69.8</v>
      </c>
      <c r="AM702" t="str">
        <f t="shared" si="76"/>
        <v>Bachelors</v>
      </c>
    </row>
    <row r="703" spans="1:39" x14ac:dyDescent="0.25">
      <c r="A703" t="s">
        <v>61</v>
      </c>
      <c r="B703" t="s">
        <v>60</v>
      </c>
      <c r="C703">
        <v>54.93</v>
      </c>
      <c r="D703">
        <v>228</v>
      </c>
      <c r="E703" t="b">
        <v>0</v>
      </c>
      <c r="F703" t="b">
        <v>1</v>
      </c>
      <c r="G703" t="b">
        <v>1</v>
      </c>
      <c r="H703" t="s">
        <v>34</v>
      </c>
      <c r="I703" t="s">
        <v>67</v>
      </c>
      <c r="J703" t="s">
        <v>50</v>
      </c>
      <c r="K703" t="s">
        <v>46</v>
      </c>
      <c r="L703" t="s">
        <v>69</v>
      </c>
      <c r="M703" t="s">
        <v>28</v>
      </c>
      <c r="N703" t="s">
        <v>28</v>
      </c>
      <c r="O703" t="b">
        <v>0</v>
      </c>
      <c r="P703" t="b">
        <v>0</v>
      </c>
      <c r="Q703">
        <v>6</v>
      </c>
      <c r="R703" t="b">
        <v>1</v>
      </c>
      <c r="S703" t="s">
        <v>65</v>
      </c>
      <c r="T703">
        <v>3</v>
      </c>
      <c r="U703">
        <v>61.09</v>
      </c>
      <c r="V703" t="b">
        <v>1</v>
      </c>
      <c r="W703" t="s">
        <v>41</v>
      </c>
      <c r="AE703" t="str">
        <f t="shared" si="70"/>
        <v>Yes</v>
      </c>
      <c r="AF703" t="str">
        <f t="shared" si="71"/>
        <v>Low</v>
      </c>
      <c r="AG703" t="str">
        <f t="shared" si="72"/>
        <v>No</v>
      </c>
      <c r="AH703" t="str">
        <f t="shared" si="73"/>
        <v>Cross-referenced Multiple AIs</v>
      </c>
      <c r="AJ703" t="str">
        <f t="shared" si="74"/>
        <v>Low Trust</v>
      </c>
      <c r="AL703">
        <f t="shared" si="75"/>
        <v>61.1</v>
      </c>
      <c r="AM703" t="str">
        <f t="shared" si="76"/>
        <v>Professional</v>
      </c>
    </row>
    <row r="704" spans="1:39" x14ac:dyDescent="0.25">
      <c r="A704" t="s">
        <v>56</v>
      </c>
      <c r="B704" t="s">
        <v>60</v>
      </c>
      <c r="C704">
        <v>50.73</v>
      </c>
      <c r="D704">
        <v>559</v>
      </c>
      <c r="E704" t="b">
        <v>0</v>
      </c>
      <c r="F704" t="b">
        <v>0</v>
      </c>
      <c r="G704" t="b">
        <v>0</v>
      </c>
      <c r="H704" t="s">
        <v>53</v>
      </c>
      <c r="I704" t="s">
        <v>44</v>
      </c>
      <c r="J704" t="s">
        <v>54</v>
      </c>
      <c r="K704" t="s">
        <v>37</v>
      </c>
      <c r="L704" t="s">
        <v>69</v>
      </c>
      <c r="M704" t="s">
        <v>47</v>
      </c>
      <c r="N704" t="s">
        <v>28</v>
      </c>
      <c r="P704" t="b">
        <v>1</v>
      </c>
      <c r="Q704">
        <v>4.8</v>
      </c>
      <c r="R704" t="b">
        <v>1</v>
      </c>
      <c r="S704" t="s">
        <v>40</v>
      </c>
      <c r="T704">
        <v>21.6</v>
      </c>
      <c r="U704">
        <v>54.21</v>
      </c>
      <c r="V704" t="b">
        <v>1</v>
      </c>
      <c r="W704" t="s">
        <v>72</v>
      </c>
      <c r="AE704" t="str">
        <f t="shared" si="70"/>
        <v>No</v>
      </c>
      <c r="AF704" t="str">
        <f t="shared" si="71"/>
        <v>Low</v>
      </c>
      <c r="AG704" t="str">
        <f t="shared" si="72"/>
        <v>No</v>
      </c>
      <c r="AH704" t="str">
        <f t="shared" si="73"/>
        <v>Asked Expert</v>
      </c>
      <c r="AJ704" t="str">
        <f t="shared" si="74"/>
        <v>Moderate Trust</v>
      </c>
      <c r="AL704">
        <f t="shared" si="75"/>
        <v>54.2</v>
      </c>
      <c r="AM704" t="str">
        <f t="shared" si="76"/>
        <v>Masters</v>
      </c>
    </row>
    <row r="705" spans="1:39" x14ac:dyDescent="0.25">
      <c r="A705" t="s">
        <v>23</v>
      </c>
      <c r="B705" t="s">
        <v>62</v>
      </c>
      <c r="C705">
        <v>58.62</v>
      </c>
      <c r="D705">
        <v>95</v>
      </c>
      <c r="E705" t="b">
        <v>0</v>
      </c>
      <c r="F705" t="b">
        <v>0</v>
      </c>
      <c r="G705" t="b">
        <v>0</v>
      </c>
      <c r="H705" t="s">
        <v>34</v>
      </c>
      <c r="I705" t="s">
        <v>26</v>
      </c>
      <c r="J705" t="s">
        <v>36</v>
      </c>
      <c r="K705" t="s">
        <v>28</v>
      </c>
      <c r="L705" t="s">
        <v>38</v>
      </c>
      <c r="M705" t="s">
        <v>39</v>
      </c>
      <c r="N705" t="s">
        <v>28</v>
      </c>
      <c r="O705" t="b">
        <v>1</v>
      </c>
      <c r="P705" t="b">
        <v>0</v>
      </c>
      <c r="Q705">
        <v>8.5</v>
      </c>
      <c r="R705" t="b">
        <v>1</v>
      </c>
      <c r="S705" t="s">
        <v>40</v>
      </c>
      <c r="T705">
        <v>39.799999999999997</v>
      </c>
      <c r="U705">
        <v>58.38</v>
      </c>
      <c r="V705" t="b">
        <v>0</v>
      </c>
      <c r="W705" t="s">
        <v>31</v>
      </c>
      <c r="AE705" t="str">
        <f t="shared" si="70"/>
        <v>No</v>
      </c>
      <c r="AF705" t="str">
        <f t="shared" si="71"/>
        <v>Low</v>
      </c>
      <c r="AG705" t="str">
        <f t="shared" si="72"/>
        <v>Yes</v>
      </c>
      <c r="AH705" t="str">
        <f t="shared" si="73"/>
        <v>Asked Expert</v>
      </c>
      <c r="AJ705" t="str">
        <f t="shared" si="74"/>
        <v>High Trust</v>
      </c>
      <c r="AL705">
        <f t="shared" si="75"/>
        <v>58.4</v>
      </c>
      <c r="AM705" t="str">
        <f t="shared" si="76"/>
        <v>PhD</v>
      </c>
    </row>
    <row r="706" spans="1:39" x14ac:dyDescent="0.25">
      <c r="A706" t="s">
        <v>74</v>
      </c>
      <c r="B706" t="s">
        <v>33</v>
      </c>
      <c r="C706">
        <v>80.290000000000006</v>
      </c>
      <c r="D706">
        <v>487</v>
      </c>
      <c r="E706" t="b">
        <v>1</v>
      </c>
      <c r="F706" t="b">
        <v>1</v>
      </c>
      <c r="G706" t="b">
        <v>1</v>
      </c>
      <c r="H706" t="s">
        <v>25</v>
      </c>
      <c r="I706" t="s">
        <v>67</v>
      </c>
      <c r="J706" t="s">
        <v>27</v>
      </c>
      <c r="K706" t="s">
        <v>37</v>
      </c>
      <c r="L706" t="s">
        <v>51</v>
      </c>
      <c r="M706" t="s">
        <v>46</v>
      </c>
      <c r="N706" t="s">
        <v>28</v>
      </c>
      <c r="P706" t="b">
        <v>0</v>
      </c>
      <c r="Q706">
        <v>8.1</v>
      </c>
      <c r="R706" t="b">
        <v>0</v>
      </c>
      <c r="T706">
        <v>0</v>
      </c>
      <c r="U706">
        <v>80.239999999999995</v>
      </c>
      <c r="V706" t="b">
        <v>1</v>
      </c>
      <c r="W706" t="s">
        <v>58</v>
      </c>
      <c r="AE706" t="str">
        <f t="shared" si="70"/>
        <v>Yes</v>
      </c>
      <c r="AF706" t="str">
        <f t="shared" si="71"/>
        <v>Low</v>
      </c>
      <c r="AG706" t="str">
        <f t="shared" si="72"/>
        <v>No</v>
      </c>
      <c r="AH706" t="str">
        <f t="shared" si="73"/>
        <v>Unknown</v>
      </c>
      <c r="AJ706" t="str">
        <f t="shared" si="74"/>
        <v>High Trust</v>
      </c>
      <c r="AL706">
        <f t="shared" si="75"/>
        <v>80.2</v>
      </c>
      <c r="AM706" t="str">
        <f t="shared" si="76"/>
        <v>Bachelors</v>
      </c>
    </row>
    <row r="707" spans="1:39" x14ac:dyDescent="0.25">
      <c r="A707" t="s">
        <v>56</v>
      </c>
      <c r="B707" t="s">
        <v>60</v>
      </c>
      <c r="C707">
        <v>41.85</v>
      </c>
      <c r="D707">
        <v>650</v>
      </c>
      <c r="E707" t="b">
        <v>0</v>
      </c>
      <c r="F707" t="b">
        <v>0</v>
      </c>
      <c r="G707" t="b">
        <v>1</v>
      </c>
      <c r="H707" t="s">
        <v>25</v>
      </c>
      <c r="I707" t="s">
        <v>67</v>
      </c>
      <c r="J707" t="s">
        <v>50</v>
      </c>
      <c r="K707" t="s">
        <v>46</v>
      </c>
      <c r="L707" t="s">
        <v>38</v>
      </c>
      <c r="M707" t="s">
        <v>39</v>
      </c>
      <c r="N707" t="s">
        <v>39</v>
      </c>
      <c r="O707" t="b">
        <v>0</v>
      </c>
      <c r="P707" t="b">
        <v>0</v>
      </c>
      <c r="Q707">
        <v>4</v>
      </c>
      <c r="R707" t="b">
        <v>1</v>
      </c>
      <c r="S707" t="s">
        <v>48</v>
      </c>
      <c r="T707">
        <v>24.4</v>
      </c>
      <c r="U707">
        <v>39.549999999999997</v>
      </c>
      <c r="V707" t="b">
        <v>1</v>
      </c>
      <c r="W707" t="s">
        <v>72</v>
      </c>
      <c r="AE707" t="str">
        <f t="shared" ref="AE707:AE770" si="77">IF(F707=TRUE,"Yes","No")</f>
        <v>No</v>
      </c>
      <c r="AF707" t="str">
        <f t="shared" ref="AF707:AF770" si="78">IF(ISBLANK(N707),"Unknown",N707)</f>
        <v>High</v>
      </c>
      <c r="AG707" t="str">
        <f t="shared" ref="AG707:AG770" si="79">IF(O707=TRUE,"Yes","No")</f>
        <v>No</v>
      </c>
      <c r="AH707" t="str">
        <f t="shared" ref="AH707:AH770" si="80">IF(ISBLANK(S707),"Unknown",S707)</f>
        <v>Consulted Documentation</v>
      </c>
      <c r="AJ707" t="str">
        <f t="shared" ref="AJ707:AJ770" si="81">IF(Q707&gt;=8,"High Trust",
IF(Q708&gt;=5,"Moderate Trust","Low Trust"))</f>
        <v>Moderate Trust</v>
      </c>
      <c r="AL707">
        <f t="shared" ref="AL707:AL770" si="82">ROUND(U707,1)</f>
        <v>39.6</v>
      </c>
      <c r="AM707" t="str">
        <f t="shared" ref="AM707:AM770" si="83">TRIM(J707)</f>
        <v>Professional</v>
      </c>
    </row>
    <row r="708" spans="1:39" x14ac:dyDescent="0.25">
      <c r="A708" t="s">
        <v>68</v>
      </c>
      <c r="B708" t="s">
        <v>60</v>
      </c>
      <c r="C708">
        <v>53.92</v>
      </c>
      <c r="D708">
        <v>442</v>
      </c>
      <c r="E708" t="b">
        <v>1</v>
      </c>
      <c r="F708" t="b">
        <v>0</v>
      </c>
      <c r="G708" t="b">
        <v>0</v>
      </c>
      <c r="H708" t="s">
        <v>25</v>
      </c>
      <c r="I708" t="s">
        <v>63</v>
      </c>
      <c r="J708" t="s">
        <v>36</v>
      </c>
      <c r="K708" t="s">
        <v>39</v>
      </c>
      <c r="L708" t="s">
        <v>37</v>
      </c>
      <c r="M708" t="s">
        <v>28</v>
      </c>
      <c r="P708" t="b">
        <v>0</v>
      </c>
      <c r="Q708">
        <v>6.8</v>
      </c>
      <c r="R708" t="b">
        <v>1</v>
      </c>
      <c r="S708" t="s">
        <v>40</v>
      </c>
      <c r="T708">
        <v>22.8</v>
      </c>
      <c r="U708">
        <v>41.98</v>
      </c>
      <c r="V708" t="b">
        <v>0</v>
      </c>
      <c r="W708" t="s">
        <v>41</v>
      </c>
      <c r="AE708" t="str">
        <f t="shared" si="77"/>
        <v>No</v>
      </c>
      <c r="AF708" t="str">
        <f t="shared" si="78"/>
        <v>Unknown</v>
      </c>
      <c r="AG708" t="str">
        <f t="shared" si="79"/>
        <v>No</v>
      </c>
      <c r="AH708" t="str">
        <f t="shared" si="80"/>
        <v>Asked Expert</v>
      </c>
      <c r="AJ708" t="str">
        <f t="shared" si="81"/>
        <v>Low Trust</v>
      </c>
      <c r="AL708">
        <f t="shared" si="82"/>
        <v>42</v>
      </c>
      <c r="AM708" t="str">
        <f t="shared" si="83"/>
        <v>PhD</v>
      </c>
    </row>
    <row r="709" spans="1:39" x14ac:dyDescent="0.25">
      <c r="A709" t="s">
        <v>32</v>
      </c>
      <c r="B709" t="s">
        <v>62</v>
      </c>
      <c r="C709">
        <v>59.75</v>
      </c>
      <c r="D709">
        <v>287</v>
      </c>
      <c r="E709" t="b">
        <v>0</v>
      </c>
      <c r="F709" t="b">
        <v>0</v>
      </c>
      <c r="G709" t="b">
        <v>0</v>
      </c>
      <c r="H709" t="s">
        <v>34</v>
      </c>
      <c r="I709" t="s">
        <v>67</v>
      </c>
      <c r="J709" t="s">
        <v>36</v>
      </c>
      <c r="K709" t="s">
        <v>46</v>
      </c>
      <c r="L709" t="s">
        <v>51</v>
      </c>
      <c r="M709" t="s">
        <v>39</v>
      </c>
      <c r="N709" t="s">
        <v>46</v>
      </c>
      <c r="O709" t="b">
        <v>0</v>
      </c>
      <c r="P709" t="b">
        <v>1</v>
      </c>
      <c r="Q709">
        <v>4.9000000000000004</v>
      </c>
      <c r="R709" t="b">
        <v>1</v>
      </c>
      <c r="S709" t="s">
        <v>48</v>
      </c>
      <c r="T709">
        <v>3.4</v>
      </c>
      <c r="U709">
        <v>50.96</v>
      </c>
      <c r="V709" t="b">
        <v>1</v>
      </c>
      <c r="W709" t="s">
        <v>72</v>
      </c>
      <c r="AE709" t="str">
        <f t="shared" si="77"/>
        <v>No</v>
      </c>
      <c r="AF709" t="str">
        <f t="shared" si="78"/>
        <v>Medium</v>
      </c>
      <c r="AG709" t="str">
        <f t="shared" si="79"/>
        <v>No</v>
      </c>
      <c r="AH709" t="str">
        <f t="shared" si="80"/>
        <v>Consulted Documentation</v>
      </c>
      <c r="AJ709" t="str">
        <f t="shared" si="81"/>
        <v>Moderate Trust</v>
      </c>
      <c r="AL709">
        <f t="shared" si="82"/>
        <v>51</v>
      </c>
      <c r="AM709" t="str">
        <f t="shared" si="83"/>
        <v>PhD</v>
      </c>
    </row>
    <row r="710" spans="1:39" x14ac:dyDescent="0.25">
      <c r="A710" t="s">
        <v>74</v>
      </c>
      <c r="B710" t="s">
        <v>49</v>
      </c>
      <c r="C710">
        <v>79.95</v>
      </c>
      <c r="D710">
        <v>137</v>
      </c>
      <c r="E710" t="b">
        <v>1</v>
      </c>
      <c r="F710" t="b">
        <v>0</v>
      </c>
      <c r="G710" t="b">
        <v>0</v>
      </c>
      <c r="H710" t="s">
        <v>43</v>
      </c>
      <c r="I710" t="s">
        <v>44</v>
      </c>
      <c r="J710" t="s">
        <v>45</v>
      </c>
      <c r="K710" t="s">
        <v>37</v>
      </c>
      <c r="L710" t="s">
        <v>37</v>
      </c>
      <c r="M710" t="s">
        <v>47</v>
      </c>
      <c r="N710" t="s">
        <v>28</v>
      </c>
      <c r="O710" t="b">
        <v>1</v>
      </c>
      <c r="P710" t="b">
        <v>0</v>
      </c>
      <c r="Q710">
        <v>10</v>
      </c>
      <c r="R710" t="b">
        <v>1</v>
      </c>
      <c r="S710" t="s">
        <v>55</v>
      </c>
      <c r="T710">
        <v>8.6999999999999993</v>
      </c>
      <c r="U710">
        <v>73.489999999999995</v>
      </c>
      <c r="V710" t="b">
        <v>0</v>
      </c>
      <c r="W710" t="s">
        <v>31</v>
      </c>
      <c r="AE710" t="str">
        <f t="shared" si="77"/>
        <v>No</v>
      </c>
      <c r="AF710" t="str">
        <f t="shared" si="78"/>
        <v>Low</v>
      </c>
      <c r="AG710" t="str">
        <f t="shared" si="79"/>
        <v>Yes</v>
      </c>
      <c r="AH710" t="str">
        <f t="shared" si="80"/>
        <v>Academic Paper</v>
      </c>
      <c r="AJ710" t="str">
        <f t="shared" si="81"/>
        <v>High Trust</v>
      </c>
      <c r="AL710">
        <f t="shared" si="82"/>
        <v>73.5</v>
      </c>
      <c r="AM710" t="str">
        <f t="shared" si="83"/>
        <v>High School</v>
      </c>
    </row>
    <row r="711" spans="1:39" x14ac:dyDescent="0.25">
      <c r="A711" t="s">
        <v>56</v>
      </c>
      <c r="B711" t="s">
        <v>59</v>
      </c>
      <c r="C711">
        <v>90.5</v>
      </c>
      <c r="D711">
        <v>224</v>
      </c>
      <c r="E711" t="b">
        <v>1</v>
      </c>
      <c r="F711" t="b">
        <v>1</v>
      </c>
      <c r="G711" t="b">
        <v>1</v>
      </c>
      <c r="H711" t="s">
        <v>53</v>
      </c>
      <c r="I711" t="s">
        <v>44</v>
      </c>
      <c r="J711" t="s">
        <v>27</v>
      </c>
      <c r="K711" t="s">
        <v>28</v>
      </c>
      <c r="L711" t="s">
        <v>37</v>
      </c>
      <c r="M711" t="s">
        <v>28</v>
      </c>
      <c r="N711" t="s">
        <v>39</v>
      </c>
      <c r="O711" t="b">
        <v>0</v>
      </c>
      <c r="P711" t="b">
        <v>0</v>
      </c>
      <c r="Q711">
        <v>9.6999999999999993</v>
      </c>
      <c r="R711" t="b">
        <v>0</v>
      </c>
      <c r="T711">
        <v>0</v>
      </c>
      <c r="U711">
        <v>99.46</v>
      </c>
      <c r="V711" t="b">
        <v>1</v>
      </c>
      <c r="W711" t="s">
        <v>58</v>
      </c>
      <c r="AE711" t="str">
        <f t="shared" si="77"/>
        <v>Yes</v>
      </c>
      <c r="AF711" t="str">
        <f t="shared" si="78"/>
        <v>High</v>
      </c>
      <c r="AG711" t="str">
        <f t="shared" si="79"/>
        <v>No</v>
      </c>
      <c r="AH711" t="str">
        <f t="shared" si="80"/>
        <v>Unknown</v>
      </c>
      <c r="AJ711" t="str">
        <f t="shared" si="81"/>
        <v>High Trust</v>
      </c>
      <c r="AL711">
        <f t="shared" si="82"/>
        <v>99.5</v>
      </c>
      <c r="AM711" t="str">
        <f t="shared" si="83"/>
        <v>Bachelors</v>
      </c>
    </row>
    <row r="712" spans="1:39" x14ac:dyDescent="0.25">
      <c r="A712" t="s">
        <v>32</v>
      </c>
      <c r="B712" t="s">
        <v>66</v>
      </c>
      <c r="C712">
        <v>57.98</v>
      </c>
      <c r="D712">
        <v>170</v>
      </c>
      <c r="E712" t="b">
        <v>0</v>
      </c>
      <c r="F712" t="b">
        <v>1</v>
      </c>
      <c r="G712" t="b">
        <v>0</v>
      </c>
      <c r="H712" t="s">
        <v>34</v>
      </c>
      <c r="I712" t="s">
        <v>26</v>
      </c>
      <c r="J712" t="s">
        <v>54</v>
      </c>
      <c r="K712" t="s">
        <v>46</v>
      </c>
      <c r="L712" t="s">
        <v>29</v>
      </c>
      <c r="M712" t="s">
        <v>47</v>
      </c>
      <c r="P712" t="b">
        <v>0</v>
      </c>
      <c r="Q712">
        <v>5</v>
      </c>
      <c r="R712" t="b">
        <v>1</v>
      </c>
      <c r="S712" t="s">
        <v>55</v>
      </c>
      <c r="T712">
        <v>43.7</v>
      </c>
      <c r="U712">
        <v>35.369999999999997</v>
      </c>
      <c r="V712" t="b">
        <v>1</v>
      </c>
      <c r="W712" t="s">
        <v>41</v>
      </c>
      <c r="AE712" t="str">
        <f t="shared" si="77"/>
        <v>Yes</v>
      </c>
      <c r="AF712" t="str">
        <f t="shared" si="78"/>
        <v>Unknown</v>
      </c>
      <c r="AG712" t="str">
        <f t="shared" si="79"/>
        <v>No</v>
      </c>
      <c r="AH712" t="str">
        <f t="shared" si="80"/>
        <v>Academic Paper</v>
      </c>
      <c r="AJ712" t="str">
        <f t="shared" si="81"/>
        <v>Moderate Trust</v>
      </c>
      <c r="AL712">
        <f t="shared" si="82"/>
        <v>35.4</v>
      </c>
      <c r="AM712" t="str">
        <f t="shared" si="83"/>
        <v>Masters</v>
      </c>
    </row>
    <row r="713" spans="1:39" x14ac:dyDescent="0.25">
      <c r="A713" t="s">
        <v>23</v>
      </c>
      <c r="B713" t="s">
        <v>59</v>
      </c>
      <c r="C713">
        <v>90.1</v>
      </c>
      <c r="D713">
        <v>246</v>
      </c>
      <c r="E713" t="b">
        <v>0</v>
      </c>
      <c r="F713" t="b">
        <v>1</v>
      </c>
      <c r="G713" t="b">
        <v>1</v>
      </c>
      <c r="H713" t="s">
        <v>34</v>
      </c>
      <c r="I713" t="s">
        <v>44</v>
      </c>
      <c r="J713" t="s">
        <v>50</v>
      </c>
      <c r="K713" t="s">
        <v>46</v>
      </c>
      <c r="L713" t="s">
        <v>37</v>
      </c>
      <c r="M713" t="s">
        <v>47</v>
      </c>
      <c r="N713" t="s">
        <v>28</v>
      </c>
      <c r="O713" t="b">
        <v>0</v>
      </c>
      <c r="P713" t="b">
        <v>1</v>
      </c>
      <c r="Q713">
        <v>7.8</v>
      </c>
      <c r="R713" t="b">
        <v>1</v>
      </c>
      <c r="S713" t="s">
        <v>52</v>
      </c>
      <c r="T713">
        <v>24.5</v>
      </c>
      <c r="U713">
        <v>80.92</v>
      </c>
      <c r="V713" t="b">
        <v>1</v>
      </c>
      <c r="W713" t="s">
        <v>41</v>
      </c>
      <c r="AE713" t="str">
        <f t="shared" si="77"/>
        <v>Yes</v>
      </c>
      <c r="AF713" t="str">
        <f t="shared" si="78"/>
        <v>Low</v>
      </c>
      <c r="AG713" t="str">
        <f t="shared" si="79"/>
        <v>No</v>
      </c>
      <c r="AH713" t="str">
        <f t="shared" si="80"/>
        <v>Checked Official Source</v>
      </c>
      <c r="AJ713" t="str">
        <f t="shared" si="81"/>
        <v>Moderate Trust</v>
      </c>
      <c r="AL713">
        <f t="shared" si="82"/>
        <v>80.900000000000006</v>
      </c>
      <c r="AM713" t="str">
        <f t="shared" si="83"/>
        <v>Professional</v>
      </c>
    </row>
    <row r="714" spans="1:39" x14ac:dyDescent="0.25">
      <c r="A714" t="s">
        <v>61</v>
      </c>
      <c r="B714" t="s">
        <v>71</v>
      </c>
      <c r="C714">
        <v>47.49</v>
      </c>
      <c r="D714">
        <v>299</v>
      </c>
      <c r="E714" t="b">
        <v>0</v>
      </c>
      <c r="F714" t="b">
        <v>0</v>
      </c>
      <c r="G714" t="b">
        <v>0</v>
      </c>
      <c r="H714" t="s">
        <v>53</v>
      </c>
      <c r="I714" t="s">
        <v>26</v>
      </c>
      <c r="J714" t="s">
        <v>45</v>
      </c>
      <c r="K714" t="s">
        <v>39</v>
      </c>
      <c r="L714" t="s">
        <v>37</v>
      </c>
      <c r="M714" t="s">
        <v>39</v>
      </c>
      <c r="N714" t="s">
        <v>39</v>
      </c>
      <c r="O714" t="b">
        <v>1</v>
      </c>
      <c r="P714" t="b">
        <v>0</v>
      </c>
      <c r="Q714">
        <v>6</v>
      </c>
      <c r="R714" t="b">
        <v>0</v>
      </c>
      <c r="T714">
        <v>0</v>
      </c>
      <c r="U714">
        <v>35.72</v>
      </c>
      <c r="V714" t="b">
        <v>0</v>
      </c>
      <c r="W714" t="s">
        <v>31</v>
      </c>
      <c r="AE714" t="str">
        <f t="shared" si="77"/>
        <v>No</v>
      </c>
      <c r="AF714" t="str">
        <f t="shared" si="78"/>
        <v>High</v>
      </c>
      <c r="AG714" t="str">
        <f t="shared" si="79"/>
        <v>Yes</v>
      </c>
      <c r="AH714" t="str">
        <f t="shared" si="80"/>
        <v>Unknown</v>
      </c>
      <c r="AJ714" t="str">
        <f t="shared" si="81"/>
        <v>Moderate Trust</v>
      </c>
      <c r="AL714">
        <f t="shared" si="82"/>
        <v>35.700000000000003</v>
      </c>
      <c r="AM714" t="str">
        <f t="shared" si="83"/>
        <v>High School</v>
      </c>
    </row>
    <row r="715" spans="1:39" x14ac:dyDescent="0.25">
      <c r="A715" t="s">
        <v>23</v>
      </c>
      <c r="B715" t="s">
        <v>66</v>
      </c>
      <c r="C715">
        <v>73.040000000000006</v>
      </c>
      <c r="D715">
        <v>753</v>
      </c>
      <c r="E715" t="b">
        <v>1</v>
      </c>
      <c r="F715" t="b">
        <v>1</v>
      </c>
      <c r="G715" t="b">
        <v>0</v>
      </c>
      <c r="H715" t="s">
        <v>53</v>
      </c>
      <c r="I715" t="s">
        <v>57</v>
      </c>
      <c r="J715" t="s">
        <v>50</v>
      </c>
      <c r="K715" t="s">
        <v>46</v>
      </c>
      <c r="L715" t="s">
        <v>29</v>
      </c>
      <c r="M715" t="s">
        <v>47</v>
      </c>
      <c r="N715" t="s">
        <v>39</v>
      </c>
      <c r="P715" t="b">
        <v>0</v>
      </c>
      <c r="Q715">
        <v>8.3000000000000007</v>
      </c>
      <c r="R715" t="b">
        <v>0</v>
      </c>
      <c r="T715">
        <v>0</v>
      </c>
      <c r="U715">
        <v>62.39</v>
      </c>
      <c r="V715" t="b">
        <v>0</v>
      </c>
      <c r="W715" t="s">
        <v>58</v>
      </c>
      <c r="AE715" t="str">
        <f t="shared" si="77"/>
        <v>Yes</v>
      </c>
      <c r="AF715" t="str">
        <f t="shared" si="78"/>
        <v>High</v>
      </c>
      <c r="AG715" t="str">
        <f t="shared" si="79"/>
        <v>No</v>
      </c>
      <c r="AH715" t="str">
        <f t="shared" si="80"/>
        <v>Unknown</v>
      </c>
      <c r="AJ715" t="str">
        <f t="shared" si="81"/>
        <v>High Trust</v>
      </c>
      <c r="AL715">
        <f t="shared" si="82"/>
        <v>62.4</v>
      </c>
      <c r="AM715" t="str">
        <f t="shared" si="83"/>
        <v>Professional</v>
      </c>
    </row>
    <row r="716" spans="1:39" x14ac:dyDescent="0.25">
      <c r="A716" t="s">
        <v>68</v>
      </c>
      <c r="B716" t="s">
        <v>62</v>
      </c>
      <c r="C716">
        <v>67.319999999999993</v>
      </c>
      <c r="D716">
        <v>71</v>
      </c>
      <c r="E716" t="b">
        <v>1</v>
      </c>
      <c r="F716" t="b">
        <v>1</v>
      </c>
      <c r="G716" t="b">
        <v>0</v>
      </c>
      <c r="H716" t="s">
        <v>34</v>
      </c>
      <c r="I716" t="s">
        <v>67</v>
      </c>
      <c r="J716" t="s">
        <v>27</v>
      </c>
      <c r="K716" t="s">
        <v>37</v>
      </c>
      <c r="L716" t="s">
        <v>37</v>
      </c>
      <c r="M716" t="s">
        <v>28</v>
      </c>
      <c r="N716" t="s">
        <v>46</v>
      </c>
      <c r="O716" t="b">
        <v>1</v>
      </c>
      <c r="P716" t="b">
        <v>1</v>
      </c>
      <c r="Q716">
        <v>10</v>
      </c>
      <c r="R716" t="b">
        <v>1</v>
      </c>
      <c r="S716" t="s">
        <v>55</v>
      </c>
      <c r="T716">
        <v>19.3</v>
      </c>
      <c r="U716">
        <v>56.44</v>
      </c>
      <c r="V716" t="b">
        <v>0</v>
      </c>
      <c r="W716" t="s">
        <v>31</v>
      </c>
      <c r="AE716" t="str">
        <f t="shared" si="77"/>
        <v>Yes</v>
      </c>
      <c r="AF716" t="str">
        <f t="shared" si="78"/>
        <v>Medium</v>
      </c>
      <c r="AG716" t="str">
        <f t="shared" si="79"/>
        <v>Yes</v>
      </c>
      <c r="AH716" t="str">
        <f t="shared" si="80"/>
        <v>Academic Paper</v>
      </c>
      <c r="AJ716" t="str">
        <f t="shared" si="81"/>
        <v>High Trust</v>
      </c>
      <c r="AL716">
        <f t="shared" si="82"/>
        <v>56.4</v>
      </c>
      <c r="AM716" t="str">
        <f t="shared" si="83"/>
        <v>Bachelors</v>
      </c>
    </row>
    <row r="717" spans="1:39" x14ac:dyDescent="0.25">
      <c r="A717" t="s">
        <v>32</v>
      </c>
      <c r="B717" t="s">
        <v>70</v>
      </c>
      <c r="C717">
        <v>81.569999999999993</v>
      </c>
      <c r="D717">
        <v>447</v>
      </c>
      <c r="E717" t="b">
        <v>0</v>
      </c>
      <c r="F717" t="b">
        <v>1</v>
      </c>
      <c r="G717" t="b">
        <v>0</v>
      </c>
      <c r="H717" t="s">
        <v>43</v>
      </c>
      <c r="I717" t="s">
        <v>63</v>
      </c>
      <c r="J717" t="s">
        <v>50</v>
      </c>
      <c r="K717" t="s">
        <v>37</v>
      </c>
      <c r="L717" t="s">
        <v>51</v>
      </c>
      <c r="M717" t="s">
        <v>28</v>
      </c>
      <c r="N717" t="s">
        <v>39</v>
      </c>
      <c r="O717" t="b">
        <v>0</v>
      </c>
      <c r="P717" t="b">
        <v>0</v>
      </c>
      <c r="Q717">
        <v>6.9</v>
      </c>
      <c r="R717" t="b">
        <v>1</v>
      </c>
      <c r="S717" t="s">
        <v>52</v>
      </c>
      <c r="T717">
        <v>32.5</v>
      </c>
      <c r="U717">
        <v>74.67</v>
      </c>
      <c r="V717" t="b">
        <v>1</v>
      </c>
      <c r="W717" t="s">
        <v>41</v>
      </c>
      <c r="AE717" t="str">
        <f t="shared" si="77"/>
        <v>Yes</v>
      </c>
      <c r="AF717" t="str">
        <f t="shared" si="78"/>
        <v>High</v>
      </c>
      <c r="AG717" t="str">
        <f t="shared" si="79"/>
        <v>No</v>
      </c>
      <c r="AH717" t="str">
        <f t="shared" si="80"/>
        <v>Checked Official Source</v>
      </c>
      <c r="AJ717" t="str">
        <f t="shared" si="81"/>
        <v>Moderate Trust</v>
      </c>
      <c r="AL717">
        <f t="shared" si="82"/>
        <v>74.7</v>
      </c>
      <c r="AM717" t="str">
        <f t="shared" si="83"/>
        <v>Professional</v>
      </c>
    </row>
    <row r="718" spans="1:39" x14ac:dyDescent="0.25">
      <c r="A718" t="s">
        <v>23</v>
      </c>
      <c r="B718" t="s">
        <v>62</v>
      </c>
      <c r="C718">
        <v>58.83</v>
      </c>
      <c r="D718">
        <v>724</v>
      </c>
      <c r="E718" t="b">
        <v>0</v>
      </c>
      <c r="F718" t="b">
        <v>1</v>
      </c>
      <c r="G718" t="b">
        <v>1</v>
      </c>
      <c r="H718" t="s">
        <v>53</v>
      </c>
      <c r="I718" t="s">
        <v>35</v>
      </c>
      <c r="J718" t="s">
        <v>54</v>
      </c>
      <c r="K718" t="s">
        <v>37</v>
      </c>
      <c r="L718" t="s">
        <v>37</v>
      </c>
      <c r="M718" t="s">
        <v>39</v>
      </c>
      <c r="N718" t="s">
        <v>46</v>
      </c>
      <c r="O718" t="b">
        <v>1</v>
      </c>
      <c r="P718" t="b">
        <v>0</v>
      </c>
      <c r="Q718">
        <v>6.4</v>
      </c>
      <c r="R718" t="b">
        <v>1</v>
      </c>
      <c r="S718" t="s">
        <v>64</v>
      </c>
      <c r="T718">
        <v>11.3</v>
      </c>
      <c r="U718">
        <v>46.25</v>
      </c>
      <c r="V718" t="b">
        <v>1</v>
      </c>
      <c r="W718" t="s">
        <v>41</v>
      </c>
      <c r="AE718" t="str">
        <f t="shared" si="77"/>
        <v>Yes</v>
      </c>
      <c r="AF718" t="str">
        <f t="shared" si="78"/>
        <v>Medium</v>
      </c>
      <c r="AG718" t="str">
        <f t="shared" si="79"/>
        <v>Yes</v>
      </c>
      <c r="AH718" t="str">
        <f t="shared" si="80"/>
        <v>Personal Testing</v>
      </c>
      <c r="AJ718" t="str">
        <f t="shared" si="81"/>
        <v>Moderate Trust</v>
      </c>
      <c r="AL718">
        <f t="shared" si="82"/>
        <v>46.3</v>
      </c>
      <c r="AM718" t="str">
        <f t="shared" si="83"/>
        <v>Masters</v>
      </c>
    </row>
    <row r="719" spans="1:39" x14ac:dyDescent="0.25">
      <c r="A719" t="s">
        <v>32</v>
      </c>
      <c r="B719" t="s">
        <v>49</v>
      </c>
      <c r="C719">
        <v>79.31</v>
      </c>
      <c r="D719">
        <v>694</v>
      </c>
      <c r="E719" t="b">
        <v>0</v>
      </c>
      <c r="F719" t="b">
        <v>0</v>
      </c>
      <c r="G719" t="b">
        <v>1</v>
      </c>
      <c r="H719" t="s">
        <v>25</v>
      </c>
      <c r="I719" t="s">
        <v>26</v>
      </c>
      <c r="J719" t="s">
        <v>45</v>
      </c>
      <c r="K719" t="s">
        <v>28</v>
      </c>
      <c r="L719" t="s">
        <v>38</v>
      </c>
      <c r="M719" t="s">
        <v>39</v>
      </c>
      <c r="O719" t="b">
        <v>0</v>
      </c>
      <c r="P719" t="b">
        <v>0</v>
      </c>
      <c r="Q719">
        <v>7.5</v>
      </c>
      <c r="R719" t="b">
        <v>0</v>
      </c>
      <c r="T719">
        <v>0</v>
      </c>
      <c r="U719">
        <v>76.55</v>
      </c>
      <c r="V719" t="b">
        <v>1</v>
      </c>
      <c r="W719" t="s">
        <v>31</v>
      </c>
      <c r="AE719" t="str">
        <f t="shared" si="77"/>
        <v>No</v>
      </c>
      <c r="AF719" t="str">
        <f t="shared" si="78"/>
        <v>Unknown</v>
      </c>
      <c r="AG719" t="str">
        <f t="shared" si="79"/>
        <v>No</v>
      </c>
      <c r="AH719" t="str">
        <f t="shared" si="80"/>
        <v>Unknown</v>
      </c>
      <c r="AJ719" t="str">
        <f t="shared" si="81"/>
        <v>Moderate Trust</v>
      </c>
      <c r="AL719">
        <f t="shared" si="82"/>
        <v>76.599999999999994</v>
      </c>
      <c r="AM719" t="str">
        <f t="shared" si="83"/>
        <v>High School</v>
      </c>
    </row>
    <row r="720" spans="1:39" x14ac:dyDescent="0.25">
      <c r="A720" t="s">
        <v>32</v>
      </c>
      <c r="B720" t="s">
        <v>24</v>
      </c>
      <c r="C720">
        <v>93.96</v>
      </c>
      <c r="D720">
        <v>660</v>
      </c>
      <c r="E720" t="b">
        <v>0</v>
      </c>
      <c r="F720" t="b">
        <v>0</v>
      </c>
      <c r="G720" t="b">
        <v>0</v>
      </c>
      <c r="H720" t="s">
        <v>25</v>
      </c>
      <c r="I720" t="s">
        <v>67</v>
      </c>
      <c r="J720" t="s">
        <v>54</v>
      </c>
      <c r="K720" t="s">
        <v>39</v>
      </c>
      <c r="L720" t="s">
        <v>29</v>
      </c>
      <c r="M720" t="s">
        <v>28</v>
      </c>
      <c r="N720" t="s">
        <v>46</v>
      </c>
      <c r="O720" t="b">
        <v>1</v>
      </c>
      <c r="P720" t="b">
        <v>0</v>
      </c>
      <c r="Q720">
        <v>10</v>
      </c>
      <c r="R720" t="b">
        <v>1</v>
      </c>
      <c r="S720" t="s">
        <v>75</v>
      </c>
      <c r="T720">
        <v>44.8</v>
      </c>
      <c r="U720">
        <v>92.88</v>
      </c>
      <c r="V720" t="b">
        <v>1</v>
      </c>
      <c r="W720" t="s">
        <v>31</v>
      </c>
      <c r="AE720" t="str">
        <f t="shared" si="77"/>
        <v>No</v>
      </c>
      <c r="AF720" t="str">
        <f t="shared" si="78"/>
        <v>Medium</v>
      </c>
      <c r="AG720" t="str">
        <f t="shared" si="79"/>
        <v>Yes</v>
      </c>
      <c r="AH720" t="str">
        <f t="shared" si="80"/>
        <v>Asked Colleague</v>
      </c>
      <c r="AJ720" t="str">
        <f t="shared" si="81"/>
        <v>High Trust</v>
      </c>
      <c r="AL720">
        <f t="shared" si="82"/>
        <v>92.9</v>
      </c>
      <c r="AM720" t="str">
        <f t="shared" si="83"/>
        <v>Masters</v>
      </c>
    </row>
    <row r="721" spans="1:39" x14ac:dyDescent="0.25">
      <c r="A721" t="s">
        <v>68</v>
      </c>
      <c r="B721" t="s">
        <v>33</v>
      </c>
      <c r="C721">
        <v>87.86</v>
      </c>
      <c r="D721">
        <v>543</v>
      </c>
      <c r="E721" t="b">
        <v>1</v>
      </c>
      <c r="F721" t="b">
        <v>1</v>
      </c>
      <c r="G721" t="b">
        <v>1</v>
      </c>
      <c r="H721" t="s">
        <v>25</v>
      </c>
      <c r="I721" t="s">
        <v>67</v>
      </c>
      <c r="J721" t="s">
        <v>27</v>
      </c>
      <c r="K721" t="s">
        <v>28</v>
      </c>
      <c r="L721" t="s">
        <v>38</v>
      </c>
      <c r="M721" t="s">
        <v>39</v>
      </c>
      <c r="N721" t="s">
        <v>28</v>
      </c>
      <c r="O721" t="b">
        <v>0</v>
      </c>
      <c r="P721" t="b">
        <v>0</v>
      </c>
      <c r="Q721">
        <v>9.6999999999999993</v>
      </c>
      <c r="R721" t="b">
        <v>1</v>
      </c>
      <c r="S721" t="s">
        <v>75</v>
      </c>
      <c r="T721">
        <v>28.2</v>
      </c>
      <c r="U721">
        <v>73.33</v>
      </c>
      <c r="V721" t="b">
        <v>0</v>
      </c>
      <c r="W721" t="s">
        <v>31</v>
      </c>
      <c r="AE721" t="str">
        <f t="shared" si="77"/>
        <v>Yes</v>
      </c>
      <c r="AF721" t="str">
        <f t="shared" si="78"/>
        <v>Low</v>
      </c>
      <c r="AG721" t="str">
        <f t="shared" si="79"/>
        <v>No</v>
      </c>
      <c r="AH721" t="str">
        <f t="shared" si="80"/>
        <v>Asked Colleague</v>
      </c>
      <c r="AJ721" t="str">
        <f t="shared" si="81"/>
        <v>High Trust</v>
      </c>
      <c r="AL721">
        <f t="shared" si="82"/>
        <v>73.3</v>
      </c>
      <c r="AM721" t="str">
        <f t="shared" si="83"/>
        <v>Bachelors</v>
      </c>
    </row>
    <row r="722" spans="1:39" x14ac:dyDescent="0.25">
      <c r="A722" t="s">
        <v>32</v>
      </c>
      <c r="B722" t="s">
        <v>70</v>
      </c>
      <c r="C722">
        <v>86.02</v>
      </c>
      <c r="D722">
        <v>665</v>
      </c>
      <c r="E722" t="b">
        <v>1</v>
      </c>
      <c r="F722" t="b">
        <v>0</v>
      </c>
      <c r="G722" t="b">
        <v>1</v>
      </c>
      <c r="H722" t="s">
        <v>25</v>
      </c>
      <c r="I722" t="s">
        <v>57</v>
      </c>
      <c r="J722" t="s">
        <v>27</v>
      </c>
      <c r="K722" t="s">
        <v>37</v>
      </c>
      <c r="L722" t="s">
        <v>38</v>
      </c>
      <c r="M722" t="s">
        <v>28</v>
      </c>
      <c r="O722" t="b">
        <v>0</v>
      </c>
      <c r="P722" t="b">
        <v>0</v>
      </c>
      <c r="Q722">
        <v>9.6</v>
      </c>
      <c r="R722" t="b">
        <v>0</v>
      </c>
      <c r="T722">
        <v>0</v>
      </c>
      <c r="U722">
        <v>100</v>
      </c>
      <c r="V722" t="b">
        <v>1</v>
      </c>
      <c r="W722" t="s">
        <v>58</v>
      </c>
      <c r="AE722" t="str">
        <f t="shared" si="77"/>
        <v>No</v>
      </c>
      <c r="AF722" t="str">
        <f t="shared" si="78"/>
        <v>Unknown</v>
      </c>
      <c r="AG722" t="str">
        <f t="shared" si="79"/>
        <v>No</v>
      </c>
      <c r="AH722" t="str">
        <f t="shared" si="80"/>
        <v>Unknown</v>
      </c>
      <c r="AJ722" t="str">
        <f t="shared" si="81"/>
        <v>High Trust</v>
      </c>
      <c r="AL722">
        <f t="shared" si="82"/>
        <v>100</v>
      </c>
      <c r="AM722" t="str">
        <f t="shared" si="83"/>
        <v>Bachelors</v>
      </c>
    </row>
    <row r="723" spans="1:39" x14ac:dyDescent="0.25">
      <c r="A723" t="s">
        <v>23</v>
      </c>
      <c r="B723" t="s">
        <v>70</v>
      </c>
      <c r="C723">
        <v>83.02</v>
      </c>
      <c r="D723">
        <v>770</v>
      </c>
      <c r="E723" t="b">
        <v>0</v>
      </c>
      <c r="F723" t="b">
        <v>1</v>
      </c>
      <c r="G723" t="b">
        <v>0</v>
      </c>
      <c r="H723" t="s">
        <v>34</v>
      </c>
      <c r="I723" t="s">
        <v>63</v>
      </c>
      <c r="J723" t="s">
        <v>27</v>
      </c>
      <c r="K723" t="s">
        <v>37</v>
      </c>
      <c r="L723" t="s">
        <v>29</v>
      </c>
      <c r="M723" t="s">
        <v>28</v>
      </c>
      <c r="N723" t="s">
        <v>28</v>
      </c>
      <c r="O723" t="b">
        <v>1</v>
      </c>
      <c r="P723" t="b">
        <v>0</v>
      </c>
      <c r="Q723">
        <v>9.5</v>
      </c>
      <c r="R723" t="b">
        <v>1</v>
      </c>
      <c r="S723" t="s">
        <v>64</v>
      </c>
      <c r="T723">
        <v>33.1</v>
      </c>
      <c r="U723">
        <v>90.06</v>
      </c>
      <c r="V723" t="b">
        <v>1</v>
      </c>
      <c r="W723" t="s">
        <v>31</v>
      </c>
      <c r="AE723" t="str">
        <f t="shared" si="77"/>
        <v>Yes</v>
      </c>
      <c r="AF723" t="str">
        <f t="shared" si="78"/>
        <v>Low</v>
      </c>
      <c r="AG723" t="str">
        <f t="shared" si="79"/>
        <v>Yes</v>
      </c>
      <c r="AH723" t="str">
        <f t="shared" si="80"/>
        <v>Personal Testing</v>
      </c>
      <c r="AJ723" t="str">
        <f t="shared" si="81"/>
        <v>High Trust</v>
      </c>
      <c r="AL723">
        <f t="shared" si="82"/>
        <v>90.1</v>
      </c>
      <c r="AM723" t="str">
        <f t="shared" si="83"/>
        <v>Bachelors</v>
      </c>
    </row>
    <row r="724" spans="1:39" x14ac:dyDescent="0.25">
      <c r="A724" t="s">
        <v>56</v>
      </c>
      <c r="B724" t="s">
        <v>33</v>
      </c>
      <c r="C724">
        <v>81.540000000000006</v>
      </c>
      <c r="D724">
        <v>670</v>
      </c>
      <c r="E724" t="b">
        <v>1</v>
      </c>
      <c r="F724" t="b">
        <v>1</v>
      </c>
      <c r="G724" t="b">
        <v>0</v>
      </c>
      <c r="H724" t="s">
        <v>34</v>
      </c>
      <c r="I724" t="s">
        <v>44</v>
      </c>
      <c r="J724" t="s">
        <v>45</v>
      </c>
      <c r="K724" t="s">
        <v>37</v>
      </c>
      <c r="L724" t="s">
        <v>29</v>
      </c>
      <c r="M724" t="s">
        <v>46</v>
      </c>
      <c r="N724" t="s">
        <v>46</v>
      </c>
      <c r="O724" t="b">
        <v>0</v>
      </c>
      <c r="P724" t="b">
        <v>0</v>
      </c>
      <c r="Q724">
        <v>8.6</v>
      </c>
      <c r="R724" t="b">
        <v>0</v>
      </c>
      <c r="T724">
        <v>0</v>
      </c>
      <c r="U724">
        <v>81.680000000000007</v>
      </c>
      <c r="V724" t="b">
        <v>1</v>
      </c>
      <c r="W724" t="s">
        <v>58</v>
      </c>
      <c r="AE724" t="str">
        <f t="shared" si="77"/>
        <v>Yes</v>
      </c>
      <c r="AF724" t="str">
        <f t="shared" si="78"/>
        <v>Medium</v>
      </c>
      <c r="AG724" t="str">
        <f t="shared" si="79"/>
        <v>No</v>
      </c>
      <c r="AH724" t="str">
        <f t="shared" si="80"/>
        <v>Unknown</v>
      </c>
      <c r="AJ724" t="str">
        <f t="shared" si="81"/>
        <v>High Trust</v>
      </c>
      <c r="AL724">
        <f t="shared" si="82"/>
        <v>81.7</v>
      </c>
      <c r="AM724" t="str">
        <f t="shared" si="83"/>
        <v>High School</v>
      </c>
    </row>
    <row r="725" spans="1:39" x14ac:dyDescent="0.25">
      <c r="A725" t="s">
        <v>56</v>
      </c>
      <c r="B725" t="s">
        <v>59</v>
      </c>
      <c r="C725">
        <v>79.5</v>
      </c>
      <c r="D725">
        <v>349</v>
      </c>
      <c r="E725" t="b">
        <v>1</v>
      </c>
      <c r="F725" t="b">
        <v>0</v>
      </c>
      <c r="G725" t="b">
        <v>0</v>
      </c>
      <c r="H725" t="s">
        <v>53</v>
      </c>
      <c r="I725" t="s">
        <v>67</v>
      </c>
      <c r="J725" t="s">
        <v>36</v>
      </c>
      <c r="K725" t="s">
        <v>37</v>
      </c>
      <c r="L725" t="s">
        <v>29</v>
      </c>
      <c r="M725" t="s">
        <v>47</v>
      </c>
      <c r="N725" t="s">
        <v>28</v>
      </c>
      <c r="P725" t="b">
        <v>0</v>
      </c>
      <c r="Q725">
        <v>8.1999999999999993</v>
      </c>
      <c r="R725" t="b">
        <v>1</v>
      </c>
      <c r="S725" t="s">
        <v>30</v>
      </c>
      <c r="T725">
        <v>30.2</v>
      </c>
      <c r="U725">
        <v>82.55</v>
      </c>
      <c r="V725" t="b">
        <v>1</v>
      </c>
      <c r="W725" t="s">
        <v>31</v>
      </c>
      <c r="AE725" t="str">
        <f t="shared" si="77"/>
        <v>No</v>
      </c>
      <c r="AF725" t="str">
        <f t="shared" si="78"/>
        <v>Low</v>
      </c>
      <c r="AG725" t="str">
        <f t="shared" si="79"/>
        <v>No</v>
      </c>
      <c r="AH725" t="str">
        <f t="shared" si="80"/>
        <v>Google Search</v>
      </c>
      <c r="AJ725" t="str">
        <f t="shared" si="81"/>
        <v>High Trust</v>
      </c>
      <c r="AL725">
        <f t="shared" si="82"/>
        <v>82.6</v>
      </c>
      <c r="AM725" t="str">
        <f t="shared" si="83"/>
        <v>PhD</v>
      </c>
    </row>
    <row r="726" spans="1:39" x14ac:dyDescent="0.25">
      <c r="A726" t="s">
        <v>23</v>
      </c>
      <c r="B726" t="s">
        <v>33</v>
      </c>
      <c r="C726">
        <v>82.68</v>
      </c>
      <c r="D726">
        <v>693</v>
      </c>
      <c r="E726" t="b">
        <v>0</v>
      </c>
      <c r="F726" t="b">
        <v>0</v>
      </c>
      <c r="G726" t="b">
        <v>0</v>
      </c>
      <c r="H726" t="s">
        <v>25</v>
      </c>
      <c r="I726" t="s">
        <v>67</v>
      </c>
      <c r="J726" t="s">
        <v>45</v>
      </c>
      <c r="K726" t="s">
        <v>37</v>
      </c>
      <c r="L726" t="s">
        <v>51</v>
      </c>
      <c r="M726" t="s">
        <v>39</v>
      </c>
      <c r="N726" t="s">
        <v>46</v>
      </c>
      <c r="O726" t="b">
        <v>1</v>
      </c>
      <c r="P726" t="b">
        <v>0</v>
      </c>
      <c r="Q726">
        <v>8.9</v>
      </c>
      <c r="R726" t="b">
        <v>0</v>
      </c>
      <c r="T726">
        <v>0</v>
      </c>
      <c r="U726">
        <v>84.81</v>
      </c>
      <c r="V726" t="b">
        <v>1</v>
      </c>
      <c r="W726" t="s">
        <v>58</v>
      </c>
      <c r="AE726" t="str">
        <f t="shared" si="77"/>
        <v>No</v>
      </c>
      <c r="AF726" t="str">
        <f t="shared" si="78"/>
        <v>Medium</v>
      </c>
      <c r="AG726" t="str">
        <f t="shared" si="79"/>
        <v>Yes</v>
      </c>
      <c r="AH726" t="str">
        <f t="shared" si="80"/>
        <v>Unknown</v>
      </c>
      <c r="AJ726" t="str">
        <f t="shared" si="81"/>
        <v>High Trust</v>
      </c>
      <c r="AL726">
        <f t="shared" si="82"/>
        <v>84.8</v>
      </c>
      <c r="AM726" t="str">
        <f t="shared" si="83"/>
        <v>High School</v>
      </c>
    </row>
    <row r="727" spans="1:39" x14ac:dyDescent="0.25">
      <c r="A727" t="s">
        <v>32</v>
      </c>
      <c r="B727" t="s">
        <v>70</v>
      </c>
      <c r="C727">
        <v>80.75</v>
      </c>
      <c r="D727">
        <v>730</v>
      </c>
      <c r="E727" t="b">
        <v>0</v>
      </c>
      <c r="F727" t="b">
        <v>0</v>
      </c>
      <c r="G727" t="b">
        <v>0</v>
      </c>
      <c r="H727" t="s">
        <v>53</v>
      </c>
      <c r="I727" t="s">
        <v>63</v>
      </c>
      <c r="J727" t="s">
        <v>36</v>
      </c>
      <c r="K727" t="s">
        <v>46</v>
      </c>
      <c r="L727" t="s">
        <v>38</v>
      </c>
      <c r="M727" t="s">
        <v>46</v>
      </c>
      <c r="O727" t="b">
        <v>1</v>
      </c>
      <c r="P727" t="b">
        <v>1</v>
      </c>
      <c r="Q727">
        <v>10</v>
      </c>
      <c r="R727" t="b">
        <v>1</v>
      </c>
      <c r="S727" t="s">
        <v>52</v>
      </c>
      <c r="T727">
        <v>35.700000000000003</v>
      </c>
      <c r="U727">
        <v>76.72</v>
      </c>
      <c r="V727" t="b">
        <v>0</v>
      </c>
      <c r="W727" t="s">
        <v>31</v>
      </c>
      <c r="AE727" t="str">
        <f t="shared" si="77"/>
        <v>No</v>
      </c>
      <c r="AF727" t="str">
        <f t="shared" si="78"/>
        <v>Unknown</v>
      </c>
      <c r="AG727" t="str">
        <f t="shared" si="79"/>
        <v>Yes</v>
      </c>
      <c r="AH727" t="str">
        <f t="shared" si="80"/>
        <v>Checked Official Source</v>
      </c>
      <c r="AJ727" t="str">
        <f t="shared" si="81"/>
        <v>High Trust</v>
      </c>
      <c r="AL727">
        <f t="shared" si="82"/>
        <v>76.7</v>
      </c>
      <c r="AM727" t="str">
        <f t="shared" si="83"/>
        <v>PhD</v>
      </c>
    </row>
    <row r="728" spans="1:39" x14ac:dyDescent="0.25">
      <c r="A728" t="s">
        <v>56</v>
      </c>
      <c r="B728" t="s">
        <v>76</v>
      </c>
      <c r="C728">
        <v>87.95</v>
      </c>
      <c r="D728">
        <v>727</v>
      </c>
      <c r="E728" t="b">
        <v>0</v>
      </c>
      <c r="F728" t="b">
        <v>0</v>
      </c>
      <c r="G728" t="b">
        <v>0</v>
      </c>
      <c r="H728" t="s">
        <v>43</v>
      </c>
      <c r="I728" t="s">
        <v>67</v>
      </c>
      <c r="J728" t="s">
        <v>45</v>
      </c>
      <c r="K728" t="s">
        <v>28</v>
      </c>
      <c r="L728" t="s">
        <v>69</v>
      </c>
      <c r="M728" t="s">
        <v>46</v>
      </c>
      <c r="N728" t="s">
        <v>46</v>
      </c>
      <c r="P728" t="b">
        <v>1</v>
      </c>
      <c r="Q728">
        <v>10</v>
      </c>
      <c r="R728" t="b">
        <v>0</v>
      </c>
      <c r="T728">
        <v>0</v>
      </c>
      <c r="U728">
        <v>76.69</v>
      </c>
      <c r="V728" t="b">
        <v>0</v>
      </c>
      <c r="W728" t="s">
        <v>58</v>
      </c>
      <c r="AE728" t="str">
        <f t="shared" si="77"/>
        <v>No</v>
      </c>
      <c r="AF728" t="str">
        <f t="shared" si="78"/>
        <v>Medium</v>
      </c>
      <c r="AG728" t="str">
        <f t="shared" si="79"/>
        <v>No</v>
      </c>
      <c r="AH728" t="str">
        <f t="shared" si="80"/>
        <v>Unknown</v>
      </c>
      <c r="AJ728" t="str">
        <f t="shared" si="81"/>
        <v>High Trust</v>
      </c>
      <c r="AL728">
        <f t="shared" si="82"/>
        <v>76.7</v>
      </c>
      <c r="AM728" t="str">
        <f t="shared" si="83"/>
        <v>High School</v>
      </c>
    </row>
    <row r="729" spans="1:39" x14ac:dyDescent="0.25">
      <c r="A729" t="s">
        <v>61</v>
      </c>
      <c r="B729" t="s">
        <v>66</v>
      </c>
      <c r="C729">
        <v>68.62</v>
      </c>
      <c r="D729">
        <v>165</v>
      </c>
      <c r="E729" t="b">
        <v>0</v>
      </c>
      <c r="F729" t="b">
        <v>0</v>
      </c>
      <c r="G729" t="b">
        <v>1</v>
      </c>
      <c r="H729" t="s">
        <v>53</v>
      </c>
      <c r="I729" t="s">
        <v>57</v>
      </c>
      <c r="J729" t="s">
        <v>54</v>
      </c>
      <c r="K729" t="s">
        <v>28</v>
      </c>
      <c r="L729" t="s">
        <v>37</v>
      </c>
      <c r="M729" t="s">
        <v>47</v>
      </c>
      <c r="O729" t="b">
        <v>0</v>
      </c>
      <c r="P729" t="b">
        <v>0</v>
      </c>
      <c r="Q729">
        <v>5.4</v>
      </c>
      <c r="R729" t="b">
        <v>1</v>
      </c>
      <c r="S729" t="s">
        <v>52</v>
      </c>
      <c r="T729">
        <v>28.2</v>
      </c>
      <c r="U729">
        <v>47.13</v>
      </c>
      <c r="V729" t="b">
        <v>1</v>
      </c>
      <c r="W729" t="s">
        <v>41</v>
      </c>
      <c r="AE729" t="str">
        <f t="shared" si="77"/>
        <v>No</v>
      </c>
      <c r="AF729" t="str">
        <f t="shared" si="78"/>
        <v>Unknown</v>
      </c>
      <c r="AG729" t="str">
        <f t="shared" si="79"/>
        <v>No</v>
      </c>
      <c r="AH729" t="str">
        <f t="shared" si="80"/>
        <v>Checked Official Source</v>
      </c>
      <c r="AJ729" t="str">
        <f t="shared" si="81"/>
        <v>Moderate Trust</v>
      </c>
      <c r="AL729">
        <f t="shared" si="82"/>
        <v>47.1</v>
      </c>
      <c r="AM729" t="str">
        <f t="shared" si="83"/>
        <v>Masters</v>
      </c>
    </row>
    <row r="730" spans="1:39" x14ac:dyDescent="0.25">
      <c r="A730" t="s">
        <v>61</v>
      </c>
      <c r="B730" t="s">
        <v>76</v>
      </c>
      <c r="C730">
        <v>72.290000000000006</v>
      </c>
      <c r="D730">
        <v>574</v>
      </c>
      <c r="E730" t="b">
        <v>1</v>
      </c>
      <c r="F730" t="b">
        <v>1</v>
      </c>
      <c r="G730" t="b">
        <v>1</v>
      </c>
      <c r="H730" t="s">
        <v>25</v>
      </c>
      <c r="I730" t="s">
        <v>26</v>
      </c>
      <c r="J730" t="s">
        <v>50</v>
      </c>
      <c r="K730" t="s">
        <v>39</v>
      </c>
      <c r="L730" t="s">
        <v>38</v>
      </c>
      <c r="M730" t="s">
        <v>46</v>
      </c>
      <c r="O730" t="b">
        <v>0</v>
      </c>
      <c r="P730" t="b">
        <v>1</v>
      </c>
      <c r="Q730">
        <v>7.3</v>
      </c>
      <c r="R730" t="b">
        <v>1</v>
      </c>
      <c r="S730" t="s">
        <v>64</v>
      </c>
      <c r="T730">
        <v>40.299999999999997</v>
      </c>
      <c r="U730">
        <v>83.14</v>
      </c>
      <c r="V730" t="b">
        <v>1</v>
      </c>
      <c r="W730" t="s">
        <v>41</v>
      </c>
      <c r="AE730" t="str">
        <f t="shared" si="77"/>
        <v>Yes</v>
      </c>
      <c r="AF730" t="str">
        <f t="shared" si="78"/>
        <v>Unknown</v>
      </c>
      <c r="AG730" t="str">
        <f t="shared" si="79"/>
        <v>No</v>
      </c>
      <c r="AH730" t="str">
        <f t="shared" si="80"/>
        <v>Personal Testing</v>
      </c>
      <c r="AJ730" t="str">
        <f t="shared" si="81"/>
        <v>Moderate Trust</v>
      </c>
      <c r="AL730">
        <f t="shared" si="82"/>
        <v>83.1</v>
      </c>
      <c r="AM730" t="str">
        <f t="shared" si="83"/>
        <v>Professional</v>
      </c>
    </row>
    <row r="731" spans="1:39" x14ac:dyDescent="0.25">
      <c r="A731" t="s">
        <v>56</v>
      </c>
      <c r="B731" t="s">
        <v>60</v>
      </c>
      <c r="C731">
        <v>45.52</v>
      </c>
      <c r="D731">
        <v>196</v>
      </c>
      <c r="E731" t="b">
        <v>0</v>
      </c>
      <c r="F731" t="b">
        <v>0</v>
      </c>
      <c r="G731" t="b">
        <v>0</v>
      </c>
      <c r="H731" t="s">
        <v>53</v>
      </c>
      <c r="I731" t="s">
        <v>63</v>
      </c>
      <c r="J731" t="s">
        <v>54</v>
      </c>
      <c r="K731" t="s">
        <v>46</v>
      </c>
      <c r="L731" t="s">
        <v>38</v>
      </c>
      <c r="M731" t="s">
        <v>46</v>
      </c>
      <c r="N731" t="s">
        <v>46</v>
      </c>
      <c r="O731" t="b">
        <v>1</v>
      </c>
      <c r="P731" t="b">
        <v>1</v>
      </c>
      <c r="Q731">
        <v>7.5</v>
      </c>
      <c r="R731" t="b">
        <v>0</v>
      </c>
      <c r="T731">
        <v>0</v>
      </c>
      <c r="U731">
        <v>54.94</v>
      </c>
      <c r="V731" t="b">
        <v>0</v>
      </c>
      <c r="W731" t="s">
        <v>31</v>
      </c>
      <c r="AE731" t="str">
        <f t="shared" si="77"/>
        <v>No</v>
      </c>
      <c r="AF731" t="str">
        <f t="shared" si="78"/>
        <v>Medium</v>
      </c>
      <c r="AG731" t="str">
        <f t="shared" si="79"/>
        <v>Yes</v>
      </c>
      <c r="AH731" t="str">
        <f t="shared" si="80"/>
        <v>Unknown</v>
      </c>
      <c r="AJ731" t="str">
        <f t="shared" si="81"/>
        <v>Moderate Trust</v>
      </c>
      <c r="AL731">
        <f t="shared" si="82"/>
        <v>54.9</v>
      </c>
      <c r="AM731" t="str">
        <f t="shared" si="83"/>
        <v>Masters</v>
      </c>
    </row>
    <row r="732" spans="1:39" x14ac:dyDescent="0.25">
      <c r="A732" t="s">
        <v>32</v>
      </c>
      <c r="B732" t="s">
        <v>73</v>
      </c>
      <c r="C732">
        <v>62.63</v>
      </c>
      <c r="D732">
        <v>407</v>
      </c>
      <c r="E732" t="b">
        <v>0</v>
      </c>
      <c r="F732" t="b">
        <v>1</v>
      </c>
      <c r="G732" t="b">
        <v>1</v>
      </c>
      <c r="H732" t="s">
        <v>34</v>
      </c>
      <c r="I732" t="s">
        <v>44</v>
      </c>
      <c r="J732" t="s">
        <v>54</v>
      </c>
      <c r="K732" t="s">
        <v>46</v>
      </c>
      <c r="L732" t="s">
        <v>37</v>
      </c>
      <c r="M732" t="s">
        <v>47</v>
      </c>
      <c r="P732" t="b">
        <v>1</v>
      </c>
      <c r="Q732">
        <v>5.6</v>
      </c>
      <c r="R732" t="b">
        <v>1</v>
      </c>
      <c r="S732" t="s">
        <v>75</v>
      </c>
      <c r="T732">
        <v>42.6</v>
      </c>
      <c r="U732">
        <v>74.260000000000005</v>
      </c>
      <c r="V732" t="b">
        <v>1</v>
      </c>
      <c r="W732" t="s">
        <v>41</v>
      </c>
      <c r="AE732" t="str">
        <f t="shared" si="77"/>
        <v>Yes</v>
      </c>
      <c r="AF732" t="str">
        <f t="shared" si="78"/>
        <v>Unknown</v>
      </c>
      <c r="AG732" t="str">
        <f t="shared" si="79"/>
        <v>No</v>
      </c>
      <c r="AH732" t="str">
        <f t="shared" si="80"/>
        <v>Asked Colleague</v>
      </c>
      <c r="AJ732" t="str">
        <f t="shared" si="81"/>
        <v>Moderate Trust</v>
      </c>
      <c r="AL732">
        <f t="shared" si="82"/>
        <v>74.3</v>
      </c>
      <c r="AM732" t="str">
        <f t="shared" si="83"/>
        <v>Masters</v>
      </c>
    </row>
    <row r="733" spans="1:39" x14ac:dyDescent="0.25">
      <c r="A733" t="s">
        <v>74</v>
      </c>
      <c r="B733" t="s">
        <v>60</v>
      </c>
      <c r="C733">
        <v>52.61</v>
      </c>
      <c r="D733">
        <v>792</v>
      </c>
      <c r="E733" t="b">
        <v>1</v>
      </c>
      <c r="F733" t="b">
        <v>0</v>
      </c>
      <c r="G733" t="b">
        <v>0</v>
      </c>
      <c r="H733" t="s">
        <v>43</v>
      </c>
      <c r="I733" t="s">
        <v>67</v>
      </c>
      <c r="J733" t="s">
        <v>50</v>
      </c>
      <c r="K733" t="s">
        <v>39</v>
      </c>
      <c r="L733" t="s">
        <v>29</v>
      </c>
      <c r="M733" t="s">
        <v>28</v>
      </c>
      <c r="N733" t="s">
        <v>39</v>
      </c>
      <c r="O733" t="b">
        <v>1</v>
      </c>
      <c r="P733" t="b">
        <v>1</v>
      </c>
      <c r="Q733">
        <v>8.4</v>
      </c>
      <c r="R733" t="b">
        <v>1</v>
      </c>
      <c r="S733" t="s">
        <v>64</v>
      </c>
      <c r="T733">
        <v>27.8</v>
      </c>
      <c r="U733">
        <v>48.5</v>
      </c>
      <c r="V733" t="b">
        <v>0</v>
      </c>
      <c r="W733" t="s">
        <v>31</v>
      </c>
      <c r="AE733" t="str">
        <f t="shared" si="77"/>
        <v>No</v>
      </c>
      <c r="AF733" t="str">
        <f t="shared" si="78"/>
        <v>High</v>
      </c>
      <c r="AG733" t="str">
        <f t="shared" si="79"/>
        <v>Yes</v>
      </c>
      <c r="AH733" t="str">
        <f t="shared" si="80"/>
        <v>Personal Testing</v>
      </c>
      <c r="AJ733" t="str">
        <f t="shared" si="81"/>
        <v>High Trust</v>
      </c>
      <c r="AL733">
        <f t="shared" si="82"/>
        <v>48.5</v>
      </c>
      <c r="AM733" t="str">
        <f t="shared" si="83"/>
        <v>Professional</v>
      </c>
    </row>
    <row r="734" spans="1:39" x14ac:dyDescent="0.25">
      <c r="A734" t="s">
        <v>32</v>
      </c>
      <c r="B734" t="s">
        <v>73</v>
      </c>
      <c r="C734">
        <v>57.59</v>
      </c>
      <c r="D734">
        <v>113</v>
      </c>
      <c r="E734" t="b">
        <v>1</v>
      </c>
      <c r="F734" t="b">
        <v>0</v>
      </c>
      <c r="G734" t="b">
        <v>1</v>
      </c>
      <c r="H734" t="s">
        <v>43</v>
      </c>
      <c r="I734" t="s">
        <v>26</v>
      </c>
      <c r="J734" t="s">
        <v>50</v>
      </c>
      <c r="K734" t="s">
        <v>39</v>
      </c>
      <c r="L734" t="s">
        <v>37</v>
      </c>
      <c r="M734" t="s">
        <v>28</v>
      </c>
      <c r="N734" t="s">
        <v>28</v>
      </c>
      <c r="O734" t="b">
        <v>0</v>
      </c>
      <c r="P734" t="b">
        <v>1</v>
      </c>
      <c r="Q734">
        <v>6.9</v>
      </c>
      <c r="R734" t="b">
        <v>1</v>
      </c>
      <c r="S734" t="s">
        <v>64</v>
      </c>
      <c r="T734">
        <v>19.5</v>
      </c>
      <c r="U734">
        <v>61.27</v>
      </c>
      <c r="V734" t="b">
        <v>1</v>
      </c>
      <c r="W734" t="s">
        <v>41</v>
      </c>
      <c r="AE734" t="str">
        <f t="shared" si="77"/>
        <v>No</v>
      </c>
      <c r="AF734" t="str">
        <f t="shared" si="78"/>
        <v>Low</v>
      </c>
      <c r="AG734" t="str">
        <f t="shared" si="79"/>
        <v>No</v>
      </c>
      <c r="AH734" t="str">
        <f t="shared" si="80"/>
        <v>Personal Testing</v>
      </c>
      <c r="AJ734" t="str">
        <f t="shared" si="81"/>
        <v>Moderate Trust</v>
      </c>
      <c r="AL734">
        <f t="shared" si="82"/>
        <v>61.3</v>
      </c>
      <c r="AM734" t="str">
        <f t="shared" si="83"/>
        <v>Professional</v>
      </c>
    </row>
    <row r="735" spans="1:39" x14ac:dyDescent="0.25">
      <c r="A735" t="s">
        <v>32</v>
      </c>
      <c r="B735" t="s">
        <v>42</v>
      </c>
      <c r="C735">
        <v>80.17</v>
      </c>
      <c r="D735">
        <v>708</v>
      </c>
      <c r="E735" t="b">
        <v>1</v>
      </c>
      <c r="F735" t="b">
        <v>1</v>
      </c>
      <c r="G735" t="b">
        <v>0</v>
      </c>
      <c r="H735" t="s">
        <v>53</v>
      </c>
      <c r="I735" t="s">
        <v>67</v>
      </c>
      <c r="J735" t="s">
        <v>50</v>
      </c>
      <c r="K735" t="s">
        <v>46</v>
      </c>
      <c r="L735" t="s">
        <v>37</v>
      </c>
      <c r="M735" t="s">
        <v>28</v>
      </c>
      <c r="N735" t="s">
        <v>28</v>
      </c>
      <c r="O735" t="b">
        <v>1</v>
      </c>
      <c r="P735" t="b">
        <v>0</v>
      </c>
      <c r="Q735">
        <v>10</v>
      </c>
      <c r="R735" t="b">
        <v>1</v>
      </c>
      <c r="S735" t="s">
        <v>40</v>
      </c>
      <c r="T735">
        <v>29.1</v>
      </c>
      <c r="U735">
        <v>85.51</v>
      </c>
      <c r="V735" t="b">
        <v>1</v>
      </c>
      <c r="W735" t="s">
        <v>31</v>
      </c>
      <c r="AE735" t="str">
        <f t="shared" si="77"/>
        <v>Yes</v>
      </c>
      <c r="AF735" t="str">
        <f t="shared" si="78"/>
        <v>Low</v>
      </c>
      <c r="AG735" t="str">
        <f t="shared" si="79"/>
        <v>Yes</v>
      </c>
      <c r="AH735" t="str">
        <f t="shared" si="80"/>
        <v>Asked Expert</v>
      </c>
      <c r="AJ735" t="str">
        <f t="shared" si="81"/>
        <v>High Trust</v>
      </c>
      <c r="AL735">
        <f t="shared" si="82"/>
        <v>85.5</v>
      </c>
      <c r="AM735" t="str">
        <f t="shared" si="83"/>
        <v>Professional</v>
      </c>
    </row>
    <row r="736" spans="1:39" x14ac:dyDescent="0.25">
      <c r="A736" t="s">
        <v>32</v>
      </c>
      <c r="B736" t="s">
        <v>24</v>
      </c>
      <c r="C736">
        <v>96.55</v>
      </c>
      <c r="D736">
        <v>637</v>
      </c>
      <c r="E736" t="b">
        <v>1</v>
      </c>
      <c r="F736" t="b">
        <v>1</v>
      </c>
      <c r="G736" t="b">
        <v>1</v>
      </c>
      <c r="H736" t="s">
        <v>34</v>
      </c>
      <c r="I736" t="s">
        <v>67</v>
      </c>
      <c r="J736" t="s">
        <v>27</v>
      </c>
      <c r="K736" t="s">
        <v>37</v>
      </c>
      <c r="L736" t="s">
        <v>69</v>
      </c>
      <c r="M736" t="s">
        <v>39</v>
      </c>
      <c r="N736" t="s">
        <v>39</v>
      </c>
      <c r="P736" t="b">
        <v>0</v>
      </c>
      <c r="Q736">
        <v>10</v>
      </c>
      <c r="R736" t="b">
        <v>1</v>
      </c>
      <c r="S736" t="s">
        <v>40</v>
      </c>
      <c r="T736">
        <v>17.600000000000001</v>
      </c>
      <c r="U736">
        <v>81.59</v>
      </c>
      <c r="V736" t="b">
        <v>1</v>
      </c>
      <c r="W736" t="s">
        <v>31</v>
      </c>
      <c r="AE736" t="str">
        <f t="shared" si="77"/>
        <v>Yes</v>
      </c>
      <c r="AF736" t="str">
        <f t="shared" si="78"/>
        <v>High</v>
      </c>
      <c r="AG736" t="str">
        <f t="shared" si="79"/>
        <v>No</v>
      </c>
      <c r="AH736" t="str">
        <f t="shared" si="80"/>
        <v>Asked Expert</v>
      </c>
      <c r="AJ736" t="str">
        <f t="shared" si="81"/>
        <v>High Trust</v>
      </c>
      <c r="AL736">
        <f t="shared" si="82"/>
        <v>81.599999999999994</v>
      </c>
      <c r="AM736" t="str">
        <f t="shared" si="83"/>
        <v>Bachelors</v>
      </c>
    </row>
    <row r="737" spans="1:39" x14ac:dyDescent="0.25">
      <c r="A737" t="s">
        <v>68</v>
      </c>
      <c r="B737" t="s">
        <v>24</v>
      </c>
      <c r="C737">
        <v>94.07</v>
      </c>
      <c r="D737">
        <v>532</v>
      </c>
      <c r="E737" t="b">
        <v>0</v>
      </c>
      <c r="F737" t="b">
        <v>0</v>
      </c>
      <c r="G737" t="b">
        <v>1</v>
      </c>
      <c r="H737" t="s">
        <v>25</v>
      </c>
      <c r="I737" t="s">
        <v>26</v>
      </c>
      <c r="J737" t="s">
        <v>45</v>
      </c>
      <c r="K737" t="s">
        <v>37</v>
      </c>
      <c r="L737" t="s">
        <v>38</v>
      </c>
      <c r="M737" t="s">
        <v>46</v>
      </c>
      <c r="O737" t="b">
        <v>1</v>
      </c>
      <c r="P737" t="b">
        <v>1</v>
      </c>
      <c r="Q737">
        <v>10</v>
      </c>
      <c r="R737" t="b">
        <v>1</v>
      </c>
      <c r="S737" t="s">
        <v>75</v>
      </c>
      <c r="T737">
        <v>5.3</v>
      </c>
      <c r="U737">
        <v>96.87</v>
      </c>
      <c r="V737" t="b">
        <v>1</v>
      </c>
      <c r="W737" t="s">
        <v>31</v>
      </c>
      <c r="AE737" t="str">
        <f t="shared" si="77"/>
        <v>No</v>
      </c>
      <c r="AF737" t="str">
        <f t="shared" si="78"/>
        <v>Unknown</v>
      </c>
      <c r="AG737" t="str">
        <f t="shared" si="79"/>
        <v>Yes</v>
      </c>
      <c r="AH737" t="str">
        <f t="shared" si="80"/>
        <v>Asked Colleague</v>
      </c>
      <c r="AJ737" t="str">
        <f t="shared" si="81"/>
        <v>High Trust</v>
      </c>
      <c r="AL737">
        <f t="shared" si="82"/>
        <v>96.9</v>
      </c>
      <c r="AM737" t="str">
        <f t="shared" si="83"/>
        <v>High School</v>
      </c>
    </row>
    <row r="738" spans="1:39" x14ac:dyDescent="0.25">
      <c r="A738" t="s">
        <v>56</v>
      </c>
      <c r="B738" t="s">
        <v>70</v>
      </c>
      <c r="C738">
        <v>93.4</v>
      </c>
      <c r="D738">
        <v>470</v>
      </c>
      <c r="E738" t="b">
        <v>1</v>
      </c>
      <c r="F738" t="b">
        <v>0</v>
      </c>
      <c r="G738" t="b">
        <v>1</v>
      </c>
      <c r="H738" t="s">
        <v>43</v>
      </c>
      <c r="I738" t="s">
        <v>44</v>
      </c>
      <c r="J738" t="s">
        <v>45</v>
      </c>
      <c r="K738" t="s">
        <v>37</v>
      </c>
      <c r="L738" t="s">
        <v>29</v>
      </c>
      <c r="M738" t="s">
        <v>46</v>
      </c>
      <c r="N738" t="s">
        <v>39</v>
      </c>
      <c r="O738" t="b">
        <v>1</v>
      </c>
      <c r="P738" t="b">
        <v>0</v>
      </c>
      <c r="Q738">
        <v>10</v>
      </c>
      <c r="R738" t="b">
        <v>0</v>
      </c>
      <c r="T738">
        <v>0</v>
      </c>
      <c r="U738">
        <v>78.67</v>
      </c>
      <c r="V738" t="b">
        <v>0</v>
      </c>
      <c r="W738" t="s">
        <v>58</v>
      </c>
      <c r="AE738" t="str">
        <f t="shared" si="77"/>
        <v>No</v>
      </c>
      <c r="AF738" t="str">
        <f t="shared" si="78"/>
        <v>High</v>
      </c>
      <c r="AG738" t="str">
        <f t="shared" si="79"/>
        <v>Yes</v>
      </c>
      <c r="AH738" t="str">
        <f t="shared" si="80"/>
        <v>Unknown</v>
      </c>
      <c r="AJ738" t="str">
        <f t="shared" si="81"/>
        <v>High Trust</v>
      </c>
      <c r="AL738">
        <f t="shared" si="82"/>
        <v>78.7</v>
      </c>
      <c r="AM738" t="str">
        <f t="shared" si="83"/>
        <v>High School</v>
      </c>
    </row>
    <row r="739" spans="1:39" x14ac:dyDescent="0.25">
      <c r="A739" t="s">
        <v>32</v>
      </c>
      <c r="B739" t="s">
        <v>73</v>
      </c>
      <c r="C739">
        <v>51.71</v>
      </c>
      <c r="D739">
        <v>711</v>
      </c>
      <c r="E739" t="b">
        <v>0</v>
      </c>
      <c r="F739" t="b">
        <v>1</v>
      </c>
      <c r="G739" t="b">
        <v>0</v>
      </c>
      <c r="H739" t="s">
        <v>53</v>
      </c>
      <c r="I739" t="s">
        <v>57</v>
      </c>
      <c r="J739" t="s">
        <v>54</v>
      </c>
      <c r="K739" t="s">
        <v>37</v>
      </c>
      <c r="L739" t="s">
        <v>51</v>
      </c>
      <c r="M739" t="s">
        <v>28</v>
      </c>
      <c r="N739" t="s">
        <v>28</v>
      </c>
      <c r="O739" t="b">
        <v>0</v>
      </c>
      <c r="P739" t="b">
        <v>0</v>
      </c>
      <c r="Q739">
        <v>3.9</v>
      </c>
      <c r="R739" t="b">
        <v>1</v>
      </c>
      <c r="S739" t="s">
        <v>55</v>
      </c>
      <c r="T739">
        <v>18.2</v>
      </c>
      <c r="U739">
        <v>56.54</v>
      </c>
      <c r="V739" t="b">
        <v>1</v>
      </c>
      <c r="W739" t="s">
        <v>72</v>
      </c>
      <c r="AE739" t="str">
        <f t="shared" si="77"/>
        <v>Yes</v>
      </c>
      <c r="AF739" t="str">
        <f t="shared" si="78"/>
        <v>Low</v>
      </c>
      <c r="AG739" t="str">
        <f t="shared" si="79"/>
        <v>No</v>
      </c>
      <c r="AH739" t="str">
        <f t="shared" si="80"/>
        <v>Academic Paper</v>
      </c>
      <c r="AJ739" t="str">
        <f t="shared" si="81"/>
        <v>Moderate Trust</v>
      </c>
      <c r="AL739">
        <f t="shared" si="82"/>
        <v>56.5</v>
      </c>
      <c r="AM739" t="str">
        <f t="shared" si="83"/>
        <v>Masters</v>
      </c>
    </row>
    <row r="740" spans="1:39" x14ac:dyDescent="0.25">
      <c r="A740" t="s">
        <v>68</v>
      </c>
      <c r="B740" t="s">
        <v>42</v>
      </c>
      <c r="C740">
        <v>84.92</v>
      </c>
      <c r="D740">
        <v>734</v>
      </c>
      <c r="E740" t="b">
        <v>1</v>
      </c>
      <c r="F740" t="b">
        <v>1</v>
      </c>
      <c r="G740" t="b">
        <v>0</v>
      </c>
      <c r="H740" t="s">
        <v>53</v>
      </c>
      <c r="I740" t="s">
        <v>35</v>
      </c>
      <c r="J740" t="s">
        <v>45</v>
      </c>
      <c r="K740" t="s">
        <v>37</v>
      </c>
      <c r="L740" t="s">
        <v>51</v>
      </c>
      <c r="M740" t="s">
        <v>39</v>
      </c>
      <c r="N740" t="s">
        <v>39</v>
      </c>
      <c r="O740" t="b">
        <v>0</v>
      </c>
      <c r="P740" t="b">
        <v>0</v>
      </c>
      <c r="Q740">
        <v>8.1999999999999993</v>
      </c>
      <c r="R740" t="b">
        <v>1</v>
      </c>
      <c r="S740" t="s">
        <v>75</v>
      </c>
      <c r="T740">
        <v>5.5</v>
      </c>
      <c r="U740">
        <v>77.47</v>
      </c>
      <c r="V740" t="b">
        <v>1</v>
      </c>
      <c r="W740" t="s">
        <v>31</v>
      </c>
      <c r="AE740" t="str">
        <f t="shared" si="77"/>
        <v>Yes</v>
      </c>
      <c r="AF740" t="str">
        <f t="shared" si="78"/>
        <v>High</v>
      </c>
      <c r="AG740" t="str">
        <f t="shared" si="79"/>
        <v>No</v>
      </c>
      <c r="AH740" t="str">
        <f t="shared" si="80"/>
        <v>Asked Colleague</v>
      </c>
      <c r="AJ740" t="str">
        <f t="shared" si="81"/>
        <v>High Trust</v>
      </c>
      <c r="AL740">
        <f t="shared" si="82"/>
        <v>77.5</v>
      </c>
      <c r="AM740" t="str">
        <f t="shared" si="83"/>
        <v>High School</v>
      </c>
    </row>
    <row r="741" spans="1:39" x14ac:dyDescent="0.25">
      <c r="A741" t="s">
        <v>61</v>
      </c>
      <c r="B741" t="s">
        <v>70</v>
      </c>
      <c r="C741">
        <v>82.15</v>
      </c>
      <c r="D741">
        <v>572</v>
      </c>
      <c r="E741" t="b">
        <v>0</v>
      </c>
      <c r="F741" t="b">
        <v>0</v>
      </c>
      <c r="G741" t="b">
        <v>1</v>
      </c>
      <c r="H741" t="s">
        <v>53</v>
      </c>
      <c r="I741" t="s">
        <v>44</v>
      </c>
      <c r="J741" t="s">
        <v>36</v>
      </c>
      <c r="K741" t="s">
        <v>46</v>
      </c>
      <c r="L741" t="s">
        <v>29</v>
      </c>
      <c r="M741" t="s">
        <v>28</v>
      </c>
      <c r="N741" t="s">
        <v>39</v>
      </c>
      <c r="P741" t="b">
        <v>0</v>
      </c>
      <c r="Q741">
        <v>9.6</v>
      </c>
      <c r="R741" t="b">
        <v>0</v>
      </c>
      <c r="T741">
        <v>0</v>
      </c>
      <c r="U741">
        <v>69.430000000000007</v>
      </c>
      <c r="V741" t="b">
        <v>0</v>
      </c>
      <c r="W741" t="s">
        <v>58</v>
      </c>
      <c r="AE741" t="str">
        <f t="shared" si="77"/>
        <v>No</v>
      </c>
      <c r="AF741" t="str">
        <f t="shared" si="78"/>
        <v>High</v>
      </c>
      <c r="AG741" t="str">
        <f t="shared" si="79"/>
        <v>No</v>
      </c>
      <c r="AH741" t="str">
        <f t="shared" si="80"/>
        <v>Unknown</v>
      </c>
      <c r="AJ741" t="str">
        <f t="shared" si="81"/>
        <v>High Trust</v>
      </c>
      <c r="AL741">
        <f t="shared" si="82"/>
        <v>69.400000000000006</v>
      </c>
      <c r="AM741" t="str">
        <f t="shared" si="83"/>
        <v>PhD</v>
      </c>
    </row>
    <row r="742" spans="1:39" x14ac:dyDescent="0.25">
      <c r="A742" t="s">
        <v>61</v>
      </c>
      <c r="B742" t="s">
        <v>70</v>
      </c>
      <c r="C742">
        <v>92.84</v>
      </c>
      <c r="D742">
        <v>434</v>
      </c>
      <c r="E742" t="b">
        <v>0</v>
      </c>
      <c r="F742" t="b">
        <v>0</v>
      </c>
      <c r="G742" t="b">
        <v>1</v>
      </c>
      <c r="H742" t="s">
        <v>34</v>
      </c>
      <c r="I742" t="s">
        <v>35</v>
      </c>
      <c r="J742" t="s">
        <v>36</v>
      </c>
      <c r="K742" t="s">
        <v>37</v>
      </c>
      <c r="L742" t="s">
        <v>69</v>
      </c>
      <c r="M742" t="s">
        <v>46</v>
      </c>
      <c r="N742" t="s">
        <v>39</v>
      </c>
      <c r="O742" t="b">
        <v>0</v>
      </c>
      <c r="P742" t="b">
        <v>1</v>
      </c>
      <c r="Q742">
        <v>9.1</v>
      </c>
      <c r="R742" t="b">
        <v>0</v>
      </c>
      <c r="T742">
        <v>0</v>
      </c>
      <c r="U742">
        <v>92.26</v>
      </c>
      <c r="V742" t="b">
        <v>1</v>
      </c>
      <c r="W742" t="s">
        <v>58</v>
      </c>
      <c r="AE742" t="str">
        <f t="shared" si="77"/>
        <v>No</v>
      </c>
      <c r="AF742" t="str">
        <f t="shared" si="78"/>
        <v>High</v>
      </c>
      <c r="AG742" t="str">
        <f t="shared" si="79"/>
        <v>No</v>
      </c>
      <c r="AH742" t="str">
        <f t="shared" si="80"/>
        <v>Unknown</v>
      </c>
      <c r="AJ742" t="str">
        <f t="shared" si="81"/>
        <v>High Trust</v>
      </c>
      <c r="AL742">
        <f t="shared" si="82"/>
        <v>92.3</v>
      </c>
      <c r="AM742" t="str">
        <f t="shared" si="83"/>
        <v>PhD</v>
      </c>
    </row>
    <row r="743" spans="1:39" x14ac:dyDescent="0.25">
      <c r="A743" t="s">
        <v>74</v>
      </c>
      <c r="B743" t="s">
        <v>62</v>
      </c>
      <c r="C743">
        <v>56.18</v>
      </c>
      <c r="D743">
        <v>60</v>
      </c>
      <c r="E743" t="b">
        <v>0</v>
      </c>
      <c r="F743" t="b">
        <v>1</v>
      </c>
      <c r="G743" t="b">
        <v>0</v>
      </c>
      <c r="H743" t="s">
        <v>34</v>
      </c>
      <c r="I743" t="s">
        <v>63</v>
      </c>
      <c r="J743" t="s">
        <v>27</v>
      </c>
      <c r="K743" t="s">
        <v>39</v>
      </c>
      <c r="L743" t="s">
        <v>38</v>
      </c>
      <c r="M743" t="s">
        <v>28</v>
      </c>
      <c r="N743" t="s">
        <v>28</v>
      </c>
      <c r="O743" t="b">
        <v>0</v>
      </c>
      <c r="P743" t="b">
        <v>1</v>
      </c>
      <c r="Q743">
        <v>5.7</v>
      </c>
      <c r="R743" t="b">
        <v>1</v>
      </c>
      <c r="S743" t="s">
        <v>48</v>
      </c>
      <c r="T743">
        <v>41.6</v>
      </c>
      <c r="U743">
        <v>70.05</v>
      </c>
      <c r="V743" t="b">
        <v>1</v>
      </c>
      <c r="W743" t="s">
        <v>41</v>
      </c>
      <c r="AE743" t="str">
        <f t="shared" si="77"/>
        <v>Yes</v>
      </c>
      <c r="AF743" t="str">
        <f t="shared" si="78"/>
        <v>Low</v>
      </c>
      <c r="AG743" t="str">
        <f t="shared" si="79"/>
        <v>No</v>
      </c>
      <c r="AH743" t="str">
        <f t="shared" si="80"/>
        <v>Consulted Documentation</v>
      </c>
      <c r="AJ743" t="str">
        <f t="shared" si="81"/>
        <v>Moderate Trust</v>
      </c>
      <c r="AL743">
        <f t="shared" si="82"/>
        <v>70.099999999999994</v>
      </c>
      <c r="AM743" t="str">
        <f t="shared" si="83"/>
        <v>Bachelors</v>
      </c>
    </row>
    <row r="744" spans="1:39" x14ac:dyDescent="0.25">
      <c r="A744" t="s">
        <v>61</v>
      </c>
      <c r="B744" t="s">
        <v>33</v>
      </c>
      <c r="C744">
        <v>84.48</v>
      </c>
      <c r="D744">
        <v>122</v>
      </c>
      <c r="E744" t="b">
        <v>0</v>
      </c>
      <c r="F744" t="b">
        <v>1</v>
      </c>
      <c r="G744" t="b">
        <v>1</v>
      </c>
      <c r="H744" t="s">
        <v>43</v>
      </c>
      <c r="I744" t="s">
        <v>63</v>
      </c>
      <c r="J744" t="s">
        <v>54</v>
      </c>
      <c r="K744" t="s">
        <v>28</v>
      </c>
      <c r="L744" t="s">
        <v>37</v>
      </c>
      <c r="M744" t="s">
        <v>39</v>
      </c>
      <c r="P744" t="b">
        <v>0</v>
      </c>
      <c r="Q744">
        <v>8</v>
      </c>
      <c r="R744" t="b">
        <v>1</v>
      </c>
      <c r="S744" t="s">
        <v>48</v>
      </c>
      <c r="T744">
        <v>40.5</v>
      </c>
      <c r="U744">
        <v>83.16</v>
      </c>
      <c r="V744" t="b">
        <v>1</v>
      </c>
      <c r="W744" t="s">
        <v>31</v>
      </c>
      <c r="AE744" t="str">
        <f t="shared" si="77"/>
        <v>Yes</v>
      </c>
      <c r="AF744" t="str">
        <f t="shared" si="78"/>
        <v>Unknown</v>
      </c>
      <c r="AG744" t="str">
        <f t="shared" si="79"/>
        <v>No</v>
      </c>
      <c r="AH744" t="str">
        <f t="shared" si="80"/>
        <v>Consulted Documentation</v>
      </c>
      <c r="AJ744" t="str">
        <f t="shared" si="81"/>
        <v>High Trust</v>
      </c>
      <c r="AL744">
        <f t="shared" si="82"/>
        <v>83.2</v>
      </c>
      <c r="AM744" t="str">
        <f t="shared" si="83"/>
        <v>Masters</v>
      </c>
    </row>
    <row r="745" spans="1:39" x14ac:dyDescent="0.25">
      <c r="A745" t="s">
        <v>68</v>
      </c>
      <c r="B745" t="s">
        <v>60</v>
      </c>
      <c r="C745">
        <v>48.41</v>
      </c>
      <c r="D745">
        <v>798</v>
      </c>
      <c r="E745" t="b">
        <v>0</v>
      </c>
      <c r="F745" t="b">
        <v>1</v>
      </c>
      <c r="G745" t="b">
        <v>1</v>
      </c>
      <c r="H745" t="s">
        <v>53</v>
      </c>
      <c r="I745" t="s">
        <v>35</v>
      </c>
      <c r="J745" t="s">
        <v>54</v>
      </c>
      <c r="K745" t="s">
        <v>39</v>
      </c>
      <c r="L745" t="s">
        <v>29</v>
      </c>
      <c r="M745" t="s">
        <v>39</v>
      </c>
      <c r="N745" t="s">
        <v>46</v>
      </c>
      <c r="O745" t="b">
        <v>0</v>
      </c>
      <c r="P745" t="b">
        <v>0</v>
      </c>
      <c r="Q745">
        <v>2.2999999999999998</v>
      </c>
      <c r="R745" t="b">
        <v>1</v>
      </c>
      <c r="S745" t="s">
        <v>40</v>
      </c>
      <c r="T745">
        <v>17.899999999999999</v>
      </c>
      <c r="U745">
        <v>51.08</v>
      </c>
      <c r="V745" t="b">
        <v>0</v>
      </c>
      <c r="W745" t="s">
        <v>72</v>
      </c>
      <c r="AE745" t="str">
        <f t="shared" si="77"/>
        <v>Yes</v>
      </c>
      <c r="AF745" t="str">
        <f t="shared" si="78"/>
        <v>Medium</v>
      </c>
      <c r="AG745" t="str">
        <f t="shared" si="79"/>
        <v>No</v>
      </c>
      <c r="AH745" t="str">
        <f t="shared" si="80"/>
        <v>Asked Expert</v>
      </c>
      <c r="AJ745" t="str">
        <f t="shared" si="81"/>
        <v>Moderate Trust</v>
      </c>
      <c r="AL745">
        <f t="shared" si="82"/>
        <v>51.1</v>
      </c>
      <c r="AM745" t="str">
        <f t="shared" si="83"/>
        <v>Masters</v>
      </c>
    </row>
    <row r="746" spans="1:39" x14ac:dyDescent="0.25">
      <c r="A746" t="s">
        <v>32</v>
      </c>
      <c r="B746" t="s">
        <v>71</v>
      </c>
      <c r="C746">
        <v>43.78</v>
      </c>
      <c r="D746">
        <v>737</v>
      </c>
      <c r="E746" t="b">
        <v>1</v>
      </c>
      <c r="F746" t="b">
        <v>0</v>
      </c>
      <c r="G746" t="b">
        <v>1</v>
      </c>
      <c r="H746" t="s">
        <v>25</v>
      </c>
      <c r="I746" t="s">
        <v>44</v>
      </c>
      <c r="J746" t="s">
        <v>36</v>
      </c>
      <c r="K746" t="s">
        <v>28</v>
      </c>
      <c r="L746" t="s">
        <v>51</v>
      </c>
      <c r="M746" t="s">
        <v>28</v>
      </c>
      <c r="N746" t="s">
        <v>46</v>
      </c>
      <c r="P746" t="b">
        <v>1</v>
      </c>
      <c r="Q746">
        <v>6.2</v>
      </c>
      <c r="R746" t="b">
        <v>1</v>
      </c>
      <c r="S746" t="s">
        <v>64</v>
      </c>
      <c r="T746">
        <v>33.799999999999997</v>
      </c>
      <c r="U746">
        <v>33.06</v>
      </c>
      <c r="V746" t="b">
        <v>0</v>
      </c>
      <c r="W746" t="s">
        <v>41</v>
      </c>
      <c r="AE746" t="str">
        <f t="shared" si="77"/>
        <v>No</v>
      </c>
      <c r="AF746" t="str">
        <f t="shared" si="78"/>
        <v>Medium</v>
      </c>
      <c r="AG746" t="str">
        <f t="shared" si="79"/>
        <v>No</v>
      </c>
      <c r="AH746" t="str">
        <f t="shared" si="80"/>
        <v>Personal Testing</v>
      </c>
      <c r="AJ746" t="str">
        <f t="shared" si="81"/>
        <v>Moderate Trust</v>
      </c>
      <c r="AL746">
        <f t="shared" si="82"/>
        <v>33.1</v>
      </c>
      <c r="AM746" t="str">
        <f t="shared" si="83"/>
        <v>PhD</v>
      </c>
    </row>
    <row r="747" spans="1:39" x14ac:dyDescent="0.25">
      <c r="A747" t="s">
        <v>56</v>
      </c>
      <c r="B747" t="s">
        <v>62</v>
      </c>
      <c r="C747">
        <v>57.46</v>
      </c>
      <c r="D747">
        <v>280</v>
      </c>
      <c r="E747" t="b">
        <v>1</v>
      </c>
      <c r="F747" t="b">
        <v>0</v>
      </c>
      <c r="G747" t="b">
        <v>0</v>
      </c>
      <c r="H747" t="s">
        <v>53</v>
      </c>
      <c r="I747" t="s">
        <v>57</v>
      </c>
      <c r="J747" t="s">
        <v>45</v>
      </c>
      <c r="K747" t="s">
        <v>37</v>
      </c>
      <c r="L747" t="s">
        <v>38</v>
      </c>
      <c r="M747" t="s">
        <v>28</v>
      </c>
      <c r="P747" t="b">
        <v>1</v>
      </c>
      <c r="Q747">
        <v>8</v>
      </c>
      <c r="R747" t="b">
        <v>0</v>
      </c>
      <c r="T747">
        <v>0</v>
      </c>
      <c r="U747">
        <v>54.9</v>
      </c>
      <c r="V747" t="b">
        <v>0</v>
      </c>
      <c r="W747" t="s">
        <v>58</v>
      </c>
      <c r="AE747" t="str">
        <f t="shared" si="77"/>
        <v>No</v>
      </c>
      <c r="AF747" t="str">
        <f t="shared" si="78"/>
        <v>Unknown</v>
      </c>
      <c r="AG747" t="str">
        <f t="shared" si="79"/>
        <v>No</v>
      </c>
      <c r="AH747" t="str">
        <f t="shared" si="80"/>
        <v>Unknown</v>
      </c>
      <c r="AJ747" t="str">
        <f t="shared" si="81"/>
        <v>High Trust</v>
      </c>
      <c r="AL747">
        <f t="shared" si="82"/>
        <v>54.9</v>
      </c>
      <c r="AM747" t="str">
        <f t="shared" si="83"/>
        <v>High School</v>
      </c>
    </row>
    <row r="748" spans="1:39" x14ac:dyDescent="0.25">
      <c r="A748" t="s">
        <v>23</v>
      </c>
      <c r="B748" t="s">
        <v>60</v>
      </c>
      <c r="C748">
        <v>60.59</v>
      </c>
      <c r="D748">
        <v>89</v>
      </c>
      <c r="E748" t="b">
        <v>1</v>
      </c>
      <c r="F748" t="b">
        <v>1</v>
      </c>
      <c r="G748" t="b">
        <v>0</v>
      </c>
      <c r="H748" t="s">
        <v>43</v>
      </c>
      <c r="I748" t="s">
        <v>67</v>
      </c>
      <c r="J748" t="s">
        <v>36</v>
      </c>
      <c r="K748" t="s">
        <v>28</v>
      </c>
      <c r="L748" t="s">
        <v>38</v>
      </c>
      <c r="M748" t="s">
        <v>39</v>
      </c>
      <c r="N748" t="s">
        <v>46</v>
      </c>
      <c r="P748" t="b">
        <v>1</v>
      </c>
      <c r="Q748">
        <v>7.5</v>
      </c>
      <c r="R748" t="b">
        <v>1</v>
      </c>
      <c r="S748" t="s">
        <v>75</v>
      </c>
      <c r="T748">
        <v>23.1</v>
      </c>
      <c r="U748">
        <v>57.08</v>
      </c>
      <c r="V748" t="b">
        <v>1</v>
      </c>
      <c r="W748" t="s">
        <v>41</v>
      </c>
      <c r="AE748" t="str">
        <f t="shared" si="77"/>
        <v>Yes</v>
      </c>
      <c r="AF748" t="str">
        <f t="shared" si="78"/>
        <v>Medium</v>
      </c>
      <c r="AG748" t="str">
        <f t="shared" si="79"/>
        <v>No</v>
      </c>
      <c r="AH748" t="str">
        <f t="shared" si="80"/>
        <v>Asked Colleague</v>
      </c>
      <c r="AJ748" t="str">
        <f t="shared" si="81"/>
        <v>Moderate Trust</v>
      </c>
      <c r="AL748">
        <f t="shared" si="82"/>
        <v>57.1</v>
      </c>
      <c r="AM748" t="str">
        <f t="shared" si="83"/>
        <v>PhD</v>
      </c>
    </row>
    <row r="749" spans="1:39" x14ac:dyDescent="0.25">
      <c r="A749" t="s">
        <v>56</v>
      </c>
      <c r="B749" t="s">
        <v>70</v>
      </c>
      <c r="C749">
        <v>70.260000000000005</v>
      </c>
      <c r="D749">
        <v>498</v>
      </c>
      <c r="E749" t="b">
        <v>1</v>
      </c>
      <c r="F749" t="b">
        <v>0</v>
      </c>
      <c r="G749" t="b">
        <v>0</v>
      </c>
      <c r="H749" t="s">
        <v>43</v>
      </c>
      <c r="I749" t="s">
        <v>67</v>
      </c>
      <c r="J749" t="s">
        <v>45</v>
      </c>
      <c r="K749" t="s">
        <v>37</v>
      </c>
      <c r="L749" t="s">
        <v>37</v>
      </c>
      <c r="M749" t="s">
        <v>39</v>
      </c>
      <c r="N749" t="s">
        <v>46</v>
      </c>
      <c r="O749" t="b">
        <v>0</v>
      </c>
      <c r="P749" t="b">
        <v>1</v>
      </c>
      <c r="Q749">
        <v>6.6</v>
      </c>
      <c r="R749" t="b">
        <v>0</v>
      </c>
      <c r="T749">
        <v>0</v>
      </c>
      <c r="U749">
        <v>62.8</v>
      </c>
      <c r="V749" t="b">
        <v>1</v>
      </c>
      <c r="W749" t="s">
        <v>31</v>
      </c>
      <c r="AE749" t="str">
        <f t="shared" si="77"/>
        <v>No</v>
      </c>
      <c r="AF749" t="str">
        <f t="shared" si="78"/>
        <v>Medium</v>
      </c>
      <c r="AG749" t="str">
        <f t="shared" si="79"/>
        <v>No</v>
      </c>
      <c r="AH749" t="str">
        <f t="shared" si="80"/>
        <v>Unknown</v>
      </c>
      <c r="AJ749" t="str">
        <f t="shared" si="81"/>
        <v>Moderate Trust</v>
      </c>
      <c r="AL749">
        <f t="shared" si="82"/>
        <v>62.8</v>
      </c>
      <c r="AM749" t="str">
        <f t="shared" si="83"/>
        <v>High School</v>
      </c>
    </row>
    <row r="750" spans="1:39" x14ac:dyDescent="0.25">
      <c r="A750" t="s">
        <v>68</v>
      </c>
      <c r="B750" t="s">
        <v>71</v>
      </c>
      <c r="C750">
        <v>45.7</v>
      </c>
      <c r="D750">
        <v>226</v>
      </c>
      <c r="E750" t="b">
        <v>0</v>
      </c>
      <c r="F750" t="b">
        <v>0</v>
      </c>
      <c r="G750" t="b">
        <v>0</v>
      </c>
      <c r="H750" t="s">
        <v>43</v>
      </c>
      <c r="I750" t="s">
        <v>44</v>
      </c>
      <c r="J750" t="s">
        <v>36</v>
      </c>
      <c r="K750" t="s">
        <v>46</v>
      </c>
      <c r="L750" t="s">
        <v>29</v>
      </c>
      <c r="M750" t="s">
        <v>46</v>
      </c>
      <c r="N750" t="s">
        <v>39</v>
      </c>
      <c r="P750" t="b">
        <v>1</v>
      </c>
      <c r="Q750">
        <v>5</v>
      </c>
      <c r="R750" t="b">
        <v>0</v>
      </c>
      <c r="T750">
        <v>0</v>
      </c>
      <c r="U750">
        <v>46.48</v>
      </c>
      <c r="V750" t="b">
        <v>1</v>
      </c>
      <c r="W750" t="s">
        <v>41</v>
      </c>
      <c r="AE750" t="str">
        <f t="shared" si="77"/>
        <v>No</v>
      </c>
      <c r="AF750" t="str">
        <f t="shared" si="78"/>
        <v>High</v>
      </c>
      <c r="AG750" t="str">
        <f t="shared" si="79"/>
        <v>No</v>
      </c>
      <c r="AH750" t="str">
        <f t="shared" si="80"/>
        <v>Unknown</v>
      </c>
      <c r="AJ750" t="str">
        <f t="shared" si="81"/>
        <v>Moderate Trust</v>
      </c>
      <c r="AL750">
        <f t="shared" si="82"/>
        <v>46.5</v>
      </c>
      <c r="AM750" t="str">
        <f t="shared" si="83"/>
        <v>PhD</v>
      </c>
    </row>
    <row r="751" spans="1:39" x14ac:dyDescent="0.25">
      <c r="A751" t="s">
        <v>23</v>
      </c>
      <c r="B751" t="s">
        <v>49</v>
      </c>
      <c r="C751">
        <v>68.52</v>
      </c>
      <c r="D751">
        <v>125</v>
      </c>
      <c r="E751" t="b">
        <v>0</v>
      </c>
      <c r="F751" t="b">
        <v>1</v>
      </c>
      <c r="G751" t="b">
        <v>1</v>
      </c>
      <c r="H751" t="s">
        <v>25</v>
      </c>
      <c r="I751" t="s">
        <v>26</v>
      </c>
      <c r="J751" t="s">
        <v>36</v>
      </c>
      <c r="K751" t="s">
        <v>46</v>
      </c>
      <c r="L751" t="s">
        <v>69</v>
      </c>
      <c r="M751" t="s">
        <v>46</v>
      </c>
      <c r="N751" t="s">
        <v>39</v>
      </c>
      <c r="O751" t="b">
        <v>1</v>
      </c>
      <c r="P751" t="b">
        <v>0</v>
      </c>
      <c r="Q751">
        <v>8.6999999999999993</v>
      </c>
      <c r="R751" t="b">
        <v>0</v>
      </c>
      <c r="T751">
        <v>0</v>
      </c>
      <c r="U751">
        <v>70.77</v>
      </c>
      <c r="V751" t="b">
        <v>1</v>
      </c>
      <c r="W751" t="s">
        <v>58</v>
      </c>
      <c r="AE751" t="str">
        <f t="shared" si="77"/>
        <v>Yes</v>
      </c>
      <c r="AF751" t="str">
        <f t="shared" si="78"/>
        <v>High</v>
      </c>
      <c r="AG751" t="str">
        <f t="shared" si="79"/>
        <v>Yes</v>
      </c>
      <c r="AH751" t="str">
        <f t="shared" si="80"/>
        <v>Unknown</v>
      </c>
      <c r="AJ751" t="str">
        <f t="shared" si="81"/>
        <v>High Trust</v>
      </c>
      <c r="AL751">
        <f t="shared" si="82"/>
        <v>70.8</v>
      </c>
      <c r="AM751" t="str">
        <f t="shared" si="83"/>
        <v>PhD</v>
      </c>
    </row>
    <row r="752" spans="1:39" x14ac:dyDescent="0.25">
      <c r="A752" t="s">
        <v>68</v>
      </c>
      <c r="B752" t="s">
        <v>42</v>
      </c>
      <c r="C752">
        <v>69.95</v>
      </c>
      <c r="D752">
        <v>295</v>
      </c>
      <c r="E752" t="b">
        <v>0</v>
      </c>
      <c r="F752" t="b">
        <v>0</v>
      </c>
      <c r="G752" t="b">
        <v>1</v>
      </c>
      <c r="H752" t="s">
        <v>25</v>
      </c>
      <c r="I752" t="s">
        <v>35</v>
      </c>
      <c r="J752" t="s">
        <v>54</v>
      </c>
      <c r="K752" t="s">
        <v>28</v>
      </c>
      <c r="L752" t="s">
        <v>69</v>
      </c>
      <c r="M752" t="s">
        <v>39</v>
      </c>
      <c r="N752" t="s">
        <v>46</v>
      </c>
      <c r="O752" t="b">
        <v>1</v>
      </c>
      <c r="P752" t="b">
        <v>0</v>
      </c>
      <c r="Q752">
        <v>9.4</v>
      </c>
      <c r="R752" t="b">
        <v>0</v>
      </c>
      <c r="T752">
        <v>0</v>
      </c>
      <c r="U752">
        <v>72.39</v>
      </c>
      <c r="V752" t="b">
        <v>0</v>
      </c>
      <c r="W752" t="s">
        <v>58</v>
      </c>
      <c r="AE752" t="str">
        <f t="shared" si="77"/>
        <v>No</v>
      </c>
      <c r="AF752" t="str">
        <f t="shared" si="78"/>
        <v>Medium</v>
      </c>
      <c r="AG752" t="str">
        <f t="shared" si="79"/>
        <v>Yes</v>
      </c>
      <c r="AH752" t="str">
        <f t="shared" si="80"/>
        <v>Unknown</v>
      </c>
      <c r="AJ752" t="str">
        <f t="shared" si="81"/>
        <v>High Trust</v>
      </c>
      <c r="AL752">
        <f t="shared" si="82"/>
        <v>72.400000000000006</v>
      </c>
      <c r="AM752" t="str">
        <f t="shared" si="83"/>
        <v>Masters</v>
      </c>
    </row>
    <row r="753" spans="1:39" x14ac:dyDescent="0.25">
      <c r="A753" t="s">
        <v>68</v>
      </c>
      <c r="B753" t="s">
        <v>59</v>
      </c>
      <c r="C753">
        <v>85.42</v>
      </c>
      <c r="D753">
        <v>428</v>
      </c>
      <c r="E753" t="b">
        <v>0</v>
      </c>
      <c r="F753" t="b">
        <v>0</v>
      </c>
      <c r="G753" t="b">
        <v>0</v>
      </c>
      <c r="H753" t="s">
        <v>34</v>
      </c>
      <c r="I753" t="s">
        <v>44</v>
      </c>
      <c r="J753" t="s">
        <v>54</v>
      </c>
      <c r="K753" t="s">
        <v>39</v>
      </c>
      <c r="L753" t="s">
        <v>37</v>
      </c>
      <c r="M753" t="s">
        <v>28</v>
      </c>
      <c r="N753" t="s">
        <v>28</v>
      </c>
      <c r="P753" t="b">
        <v>0</v>
      </c>
      <c r="Q753">
        <v>9</v>
      </c>
      <c r="R753" t="b">
        <v>0</v>
      </c>
      <c r="T753">
        <v>0</v>
      </c>
      <c r="U753">
        <v>90.23</v>
      </c>
      <c r="V753" t="b">
        <v>1</v>
      </c>
      <c r="W753" t="s">
        <v>58</v>
      </c>
      <c r="AE753" t="str">
        <f t="shared" si="77"/>
        <v>No</v>
      </c>
      <c r="AF753" t="str">
        <f t="shared" si="78"/>
        <v>Low</v>
      </c>
      <c r="AG753" t="str">
        <f t="shared" si="79"/>
        <v>No</v>
      </c>
      <c r="AH753" t="str">
        <f t="shared" si="80"/>
        <v>Unknown</v>
      </c>
      <c r="AJ753" t="str">
        <f t="shared" si="81"/>
        <v>High Trust</v>
      </c>
      <c r="AL753">
        <f t="shared" si="82"/>
        <v>90.2</v>
      </c>
      <c r="AM753" t="str">
        <f t="shared" si="83"/>
        <v>Masters</v>
      </c>
    </row>
    <row r="754" spans="1:39" x14ac:dyDescent="0.25">
      <c r="A754" t="s">
        <v>74</v>
      </c>
      <c r="B754" t="s">
        <v>66</v>
      </c>
      <c r="C754">
        <v>63.93</v>
      </c>
      <c r="D754">
        <v>520</v>
      </c>
      <c r="E754" t="b">
        <v>0</v>
      </c>
      <c r="F754" t="b">
        <v>1</v>
      </c>
      <c r="G754" t="b">
        <v>0</v>
      </c>
      <c r="H754" t="s">
        <v>43</v>
      </c>
      <c r="I754" t="s">
        <v>57</v>
      </c>
      <c r="J754" t="s">
        <v>36</v>
      </c>
      <c r="K754" t="s">
        <v>46</v>
      </c>
      <c r="L754" t="s">
        <v>37</v>
      </c>
      <c r="M754" t="s">
        <v>39</v>
      </c>
      <c r="N754" t="s">
        <v>39</v>
      </c>
      <c r="O754" t="b">
        <v>1</v>
      </c>
      <c r="P754" t="b">
        <v>1</v>
      </c>
      <c r="Q754">
        <v>7.8</v>
      </c>
      <c r="R754" t="b">
        <v>0</v>
      </c>
      <c r="T754">
        <v>0</v>
      </c>
      <c r="U754">
        <v>59.11</v>
      </c>
      <c r="V754" t="b">
        <v>1</v>
      </c>
      <c r="W754" t="s">
        <v>31</v>
      </c>
      <c r="AE754" t="str">
        <f t="shared" si="77"/>
        <v>Yes</v>
      </c>
      <c r="AF754" t="str">
        <f t="shared" si="78"/>
        <v>High</v>
      </c>
      <c r="AG754" t="str">
        <f t="shared" si="79"/>
        <v>Yes</v>
      </c>
      <c r="AH754" t="str">
        <f t="shared" si="80"/>
        <v>Unknown</v>
      </c>
      <c r="AJ754" t="str">
        <f t="shared" si="81"/>
        <v>Moderate Trust</v>
      </c>
      <c r="AL754">
        <f t="shared" si="82"/>
        <v>59.1</v>
      </c>
      <c r="AM754" t="str">
        <f t="shared" si="83"/>
        <v>PhD</v>
      </c>
    </row>
    <row r="755" spans="1:39" x14ac:dyDescent="0.25">
      <c r="A755" t="s">
        <v>32</v>
      </c>
      <c r="B755" t="s">
        <v>33</v>
      </c>
      <c r="C755">
        <v>75.16</v>
      </c>
      <c r="D755">
        <v>92</v>
      </c>
      <c r="E755" t="b">
        <v>1</v>
      </c>
      <c r="F755" t="b">
        <v>0</v>
      </c>
      <c r="G755" t="b">
        <v>1</v>
      </c>
      <c r="H755" t="s">
        <v>53</v>
      </c>
      <c r="I755" t="s">
        <v>44</v>
      </c>
      <c r="J755" t="s">
        <v>50</v>
      </c>
      <c r="K755" t="s">
        <v>39</v>
      </c>
      <c r="L755" t="s">
        <v>37</v>
      </c>
      <c r="M755" t="s">
        <v>28</v>
      </c>
      <c r="O755" t="b">
        <v>1</v>
      </c>
      <c r="P755" t="b">
        <v>1</v>
      </c>
      <c r="Q755">
        <v>10</v>
      </c>
      <c r="R755" t="b">
        <v>0</v>
      </c>
      <c r="T755">
        <v>0</v>
      </c>
      <c r="U755">
        <v>67.08</v>
      </c>
      <c r="V755" t="b">
        <v>0</v>
      </c>
      <c r="W755" t="s">
        <v>58</v>
      </c>
      <c r="AE755" t="str">
        <f t="shared" si="77"/>
        <v>No</v>
      </c>
      <c r="AF755" t="str">
        <f t="shared" si="78"/>
        <v>Unknown</v>
      </c>
      <c r="AG755" t="str">
        <f t="shared" si="79"/>
        <v>Yes</v>
      </c>
      <c r="AH755" t="str">
        <f t="shared" si="80"/>
        <v>Unknown</v>
      </c>
      <c r="AJ755" t="str">
        <f t="shared" si="81"/>
        <v>High Trust</v>
      </c>
      <c r="AL755">
        <f t="shared" si="82"/>
        <v>67.099999999999994</v>
      </c>
      <c r="AM755" t="str">
        <f t="shared" si="83"/>
        <v>Professional</v>
      </c>
    </row>
    <row r="756" spans="1:39" x14ac:dyDescent="0.25">
      <c r="A756" t="s">
        <v>23</v>
      </c>
      <c r="B756" t="s">
        <v>24</v>
      </c>
      <c r="C756">
        <v>91.31</v>
      </c>
      <c r="D756">
        <v>560</v>
      </c>
      <c r="E756" t="b">
        <v>1</v>
      </c>
      <c r="F756" t="b">
        <v>1</v>
      </c>
      <c r="G756" t="b">
        <v>1</v>
      </c>
      <c r="H756" t="s">
        <v>25</v>
      </c>
      <c r="I756" t="s">
        <v>57</v>
      </c>
      <c r="J756" t="s">
        <v>54</v>
      </c>
      <c r="K756" t="s">
        <v>46</v>
      </c>
      <c r="L756" t="s">
        <v>29</v>
      </c>
      <c r="M756" t="s">
        <v>39</v>
      </c>
      <c r="N756" t="s">
        <v>46</v>
      </c>
      <c r="P756" t="b">
        <v>0</v>
      </c>
      <c r="Q756">
        <v>8.9</v>
      </c>
      <c r="R756" t="b">
        <v>0</v>
      </c>
      <c r="T756">
        <v>0</v>
      </c>
      <c r="U756">
        <v>92.59</v>
      </c>
      <c r="V756" t="b">
        <v>1</v>
      </c>
      <c r="W756" t="s">
        <v>58</v>
      </c>
      <c r="AE756" t="str">
        <f t="shared" si="77"/>
        <v>Yes</v>
      </c>
      <c r="AF756" t="str">
        <f t="shared" si="78"/>
        <v>Medium</v>
      </c>
      <c r="AG756" t="str">
        <f t="shared" si="79"/>
        <v>No</v>
      </c>
      <c r="AH756" t="str">
        <f t="shared" si="80"/>
        <v>Unknown</v>
      </c>
      <c r="AJ756" t="str">
        <f t="shared" si="81"/>
        <v>High Trust</v>
      </c>
      <c r="AL756">
        <f t="shared" si="82"/>
        <v>92.6</v>
      </c>
      <c r="AM756" t="str">
        <f t="shared" si="83"/>
        <v>Masters</v>
      </c>
    </row>
    <row r="757" spans="1:39" x14ac:dyDescent="0.25">
      <c r="A757" t="s">
        <v>23</v>
      </c>
      <c r="B757" t="s">
        <v>62</v>
      </c>
      <c r="C757">
        <v>66.599999999999994</v>
      </c>
      <c r="D757">
        <v>338</v>
      </c>
      <c r="E757" t="b">
        <v>0</v>
      </c>
      <c r="F757" t="b">
        <v>1</v>
      </c>
      <c r="G757" t="b">
        <v>0</v>
      </c>
      <c r="H757" t="s">
        <v>25</v>
      </c>
      <c r="I757" t="s">
        <v>44</v>
      </c>
      <c r="J757" t="s">
        <v>45</v>
      </c>
      <c r="K757" t="s">
        <v>28</v>
      </c>
      <c r="L757" t="s">
        <v>69</v>
      </c>
      <c r="M757" t="s">
        <v>39</v>
      </c>
      <c r="N757" t="s">
        <v>28</v>
      </c>
      <c r="P757" t="b">
        <v>1</v>
      </c>
      <c r="Q757">
        <v>7.2</v>
      </c>
      <c r="R757" t="b">
        <v>1</v>
      </c>
      <c r="S757" t="s">
        <v>40</v>
      </c>
      <c r="T757">
        <v>7.8</v>
      </c>
      <c r="U757">
        <v>72.19</v>
      </c>
      <c r="V757" t="b">
        <v>1</v>
      </c>
      <c r="W757" t="s">
        <v>41</v>
      </c>
      <c r="AE757" t="str">
        <f t="shared" si="77"/>
        <v>Yes</v>
      </c>
      <c r="AF757" t="str">
        <f t="shared" si="78"/>
        <v>Low</v>
      </c>
      <c r="AG757" t="str">
        <f t="shared" si="79"/>
        <v>No</v>
      </c>
      <c r="AH757" t="str">
        <f t="shared" si="80"/>
        <v>Asked Expert</v>
      </c>
      <c r="AJ757" t="str">
        <f t="shared" si="81"/>
        <v>Moderate Trust</v>
      </c>
      <c r="AL757">
        <f t="shared" si="82"/>
        <v>72.2</v>
      </c>
      <c r="AM757" t="str">
        <f t="shared" si="83"/>
        <v>High School</v>
      </c>
    </row>
    <row r="758" spans="1:39" x14ac:dyDescent="0.25">
      <c r="A758" t="s">
        <v>74</v>
      </c>
      <c r="B758" t="s">
        <v>73</v>
      </c>
      <c r="C758">
        <v>55.34</v>
      </c>
      <c r="D758">
        <v>415</v>
      </c>
      <c r="E758" t="b">
        <v>0</v>
      </c>
      <c r="F758" t="b">
        <v>0</v>
      </c>
      <c r="G758" t="b">
        <v>1</v>
      </c>
      <c r="H758" t="s">
        <v>53</v>
      </c>
      <c r="I758" t="s">
        <v>63</v>
      </c>
      <c r="J758" t="s">
        <v>54</v>
      </c>
      <c r="K758" t="s">
        <v>37</v>
      </c>
      <c r="L758" t="s">
        <v>38</v>
      </c>
      <c r="M758" t="s">
        <v>46</v>
      </c>
      <c r="N758" t="s">
        <v>46</v>
      </c>
      <c r="O758" t="b">
        <v>1</v>
      </c>
      <c r="P758" t="b">
        <v>1</v>
      </c>
      <c r="Q758">
        <v>8.1999999999999993</v>
      </c>
      <c r="R758" t="b">
        <v>1</v>
      </c>
      <c r="S758" t="s">
        <v>64</v>
      </c>
      <c r="T758">
        <v>17.2</v>
      </c>
      <c r="U758">
        <v>50.52</v>
      </c>
      <c r="V758" t="b">
        <v>0</v>
      </c>
      <c r="W758" t="s">
        <v>31</v>
      </c>
      <c r="AE758" t="str">
        <f t="shared" si="77"/>
        <v>No</v>
      </c>
      <c r="AF758" t="str">
        <f t="shared" si="78"/>
        <v>Medium</v>
      </c>
      <c r="AG758" t="str">
        <f t="shared" si="79"/>
        <v>Yes</v>
      </c>
      <c r="AH758" t="str">
        <f t="shared" si="80"/>
        <v>Personal Testing</v>
      </c>
      <c r="AJ758" t="str">
        <f t="shared" si="81"/>
        <v>High Trust</v>
      </c>
      <c r="AL758">
        <f t="shared" si="82"/>
        <v>50.5</v>
      </c>
      <c r="AM758" t="str">
        <f t="shared" si="83"/>
        <v>Masters</v>
      </c>
    </row>
    <row r="759" spans="1:39" x14ac:dyDescent="0.25">
      <c r="A759" t="s">
        <v>56</v>
      </c>
      <c r="B759" t="s">
        <v>66</v>
      </c>
      <c r="C759">
        <v>73.37</v>
      </c>
      <c r="D759">
        <v>467</v>
      </c>
      <c r="E759" t="b">
        <v>0</v>
      </c>
      <c r="F759" t="b">
        <v>1</v>
      </c>
      <c r="G759" t="b">
        <v>1</v>
      </c>
      <c r="H759" t="s">
        <v>53</v>
      </c>
      <c r="I759" t="s">
        <v>35</v>
      </c>
      <c r="J759" t="s">
        <v>36</v>
      </c>
      <c r="K759" t="s">
        <v>28</v>
      </c>
      <c r="L759" t="s">
        <v>69</v>
      </c>
      <c r="M759" t="s">
        <v>46</v>
      </c>
      <c r="N759" t="s">
        <v>39</v>
      </c>
      <c r="P759" t="b">
        <v>0</v>
      </c>
      <c r="Q759">
        <v>8.4</v>
      </c>
      <c r="R759" t="b">
        <v>0</v>
      </c>
      <c r="T759">
        <v>0</v>
      </c>
      <c r="U759">
        <v>51.63</v>
      </c>
      <c r="V759" t="b">
        <v>0</v>
      </c>
      <c r="W759" t="s">
        <v>58</v>
      </c>
      <c r="AE759" t="str">
        <f t="shared" si="77"/>
        <v>Yes</v>
      </c>
      <c r="AF759" t="str">
        <f t="shared" si="78"/>
        <v>High</v>
      </c>
      <c r="AG759" t="str">
        <f t="shared" si="79"/>
        <v>No</v>
      </c>
      <c r="AH759" t="str">
        <f t="shared" si="80"/>
        <v>Unknown</v>
      </c>
      <c r="AJ759" t="str">
        <f t="shared" si="81"/>
        <v>High Trust</v>
      </c>
      <c r="AL759">
        <f t="shared" si="82"/>
        <v>51.6</v>
      </c>
      <c r="AM759" t="str">
        <f t="shared" si="83"/>
        <v>PhD</v>
      </c>
    </row>
    <row r="760" spans="1:39" x14ac:dyDescent="0.25">
      <c r="A760" t="s">
        <v>23</v>
      </c>
      <c r="B760" t="s">
        <v>62</v>
      </c>
      <c r="C760">
        <v>70.459999999999994</v>
      </c>
      <c r="D760">
        <v>275</v>
      </c>
      <c r="E760" t="b">
        <v>0</v>
      </c>
      <c r="F760" t="b">
        <v>0</v>
      </c>
      <c r="G760" t="b">
        <v>1</v>
      </c>
      <c r="H760" t="s">
        <v>34</v>
      </c>
      <c r="I760" t="s">
        <v>26</v>
      </c>
      <c r="J760" t="s">
        <v>27</v>
      </c>
      <c r="K760" t="s">
        <v>37</v>
      </c>
      <c r="L760" t="s">
        <v>38</v>
      </c>
      <c r="M760" t="s">
        <v>46</v>
      </c>
      <c r="N760" t="s">
        <v>39</v>
      </c>
      <c r="O760" t="b">
        <v>1</v>
      </c>
      <c r="P760" t="b">
        <v>1</v>
      </c>
      <c r="Q760">
        <v>9.4</v>
      </c>
      <c r="R760" t="b">
        <v>0</v>
      </c>
      <c r="T760">
        <v>0</v>
      </c>
      <c r="U760">
        <v>82.93</v>
      </c>
      <c r="V760" t="b">
        <v>1</v>
      </c>
      <c r="W760" t="s">
        <v>58</v>
      </c>
      <c r="AE760" t="str">
        <f t="shared" si="77"/>
        <v>No</v>
      </c>
      <c r="AF760" t="str">
        <f t="shared" si="78"/>
        <v>High</v>
      </c>
      <c r="AG760" t="str">
        <f t="shared" si="79"/>
        <v>Yes</v>
      </c>
      <c r="AH760" t="str">
        <f t="shared" si="80"/>
        <v>Unknown</v>
      </c>
      <c r="AJ760" t="str">
        <f t="shared" si="81"/>
        <v>High Trust</v>
      </c>
      <c r="AL760">
        <f t="shared" si="82"/>
        <v>82.9</v>
      </c>
      <c r="AM760" t="str">
        <f t="shared" si="83"/>
        <v>Bachelors</v>
      </c>
    </row>
    <row r="761" spans="1:39" x14ac:dyDescent="0.25">
      <c r="A761" t="s">
        <v>61</v>
      </c>
      <c r="B761" t="s">
        <v>73</v>
      </c>
      <c r="C761">
        <v>67.25</v>
      </c>
      <c r="D761">
        <v>438</v>
      </c>
      <c r="E761" t="b">
        <v>0</v>
      </c>
      <c r="F761" t="b">
        <v>0</v>
      </c>
      <c r="G761" t="b">
        <v>0</v>
      </c>
      <c r="H761" t="s">
        <v>53</v>
      </c>
      <c r="I761" t="s">
        <v>67</v>
      </c>
      <c r="J761" t="s">
        <v>50</v>
      </c>
      <c r="K761" t="s">
        <v>39</v>
      </c>
      <c r="L761" t="s">
        <v>51</v>
      </c>
      <c r="M761" t="s">
        <v>46</v>
      </c>
      <c r="N761" t="s">
        <v>39</v>
      </c>
      <c r="O761" t="b">
        <v>0</v>
      </c>
      <c r="P761" t="b">
        <v>0</v>
      </c>
      <c r="Q761">
        <v>5.8</v>
      </c>
      <c r="R761" t="b">
        <v>1</v>
      </c>
      <c r="S761" t="s">
        <v>52</v>
      </c>
      <c r="T761">
        <v>2.5</v>
      </c>
      <c r="U761">
        <v>70.84</v>
      </c>
      <c r="V761" t="b">
        <v>1</v>
      </c>
      <c r="W761" t="s">
        <v>41</v>
      </c>
      <c r="AE761" t="str">
        <f t="shared" si="77"/>
        <v>No</v>
      </c>
      <c r="AF761" t="str">
        <f t="shared" si="78"/>
        <v>High</v>
      </c>
      <c r="AG761" t="str">
        <f t="shared" si="79"/>
        <v>No</v>
      </c>
      <c r="AH761" t="str">
        <f t="shared" si="80"/>
        <v>Checked Official Source</v>
      </c>
      <c r="AJ761" t="str">
        <f t="shared" si="81"/>
        <v>Moderate Trust</v>
      </c>
      <c r="AL761">
        <f t="shared" si="82"/>
        <v>70.8</v>
      </c>
      <c r="AM761" t="str">
        <f t="shared" si="83"/>
        <v>Professional</v>
      </c>
    </row>
    <row r="762" spans="1:39" x14ac:dyDescent="0.25">
      <c r="A762" t="s">
        <v>68</v>
      </c>
      <c r="B762" t="s">
        <v>62</v>
      </c>
      <c r="C762">
        <v>66.23</v>
      </c>
      <c r="D762">
        <v>128</v>
      </c>
      <c r="E762" t="b">
        <v>1</v>
      </c>
      <c r="F762" t="b">
        <v>1</v>
      </c>
      <c r="G762" t="b">
        <v>0</v>
      </c>
      <c r="H762" t="s">
        <v>25</v>
      </c>
      <c r="I762" t="s">
        <v>44</v>
      </c>
      <c r="J762" t="s">
        <v>27</v>
      </c>
      <c r="K762" t="s">
        <v>46</v>
      </c>
      <c r="L762" t="s">
        <v>37</v>
      </c>
      <c r="M762" t="s">
        <v>46</v>
      </c>
      <c r="P762" t="b">
        <v>1</v>
      </c>
      <c r="Q762">
        <v>8.4</v>
      </c>
      <c r="R762" t="b">
        <v>1</v>
      </c>
      <c r="S762" t="s">
        <v>65</v>
      </c>
      <c r="T762">
        <v>2</v>
      </c>
      <c r="U762">
        <v>59.4</v>
      </c>
      <c r="V762" t="b">
        <v>0</v>
      </c>
      <c r="W762" t="s">
        <v>31</v>
      </c>
      <c r="AE762" t="str">
        <f t="shared" si="77"/>
        <v>Yes</v>
      </c>
      <c r="AF762" t="str">
        <f t="shared" si="78"/>
        <v>Unknown</v>
      </c>
      <c r="AG762" t="str">
        <f t="shared" si="79"/>
        <v>No</v>
      </c>
      <c r="AH762" t="str">
        <f t="shared" si="80"/>
        <v>Cross-referenced Multiple AIs</v>
      </c>
      <c r="AJ762" t="str">
        <f t="shared" si="81"/>
        <v>High Trust</v>
      </c>
      <c r="AL762">
        <f t="shared" si="82"/>
        <v>59.4</v>
      </c>
      <c r="AM762" t="str">
        <f t="shared" si="83"/>
        <v>Bachelors</v>
      </c>
    </row>
    <row r="763" spans="1:39" x14ac:dyDescent="0.25">
      <c r="A763" t="s">
        <v>23</v>
      </c>
      <c r="B763" t="s">
        <v>60</v>
      </c>
      <c r="C763">
        <v>61.47</v>
      </c>
      <c r="D763">
        <v>369</v>
      </c>
      <c r="E763" t="b">
        <v>1</v>
      </c>
      <c r="F763" t="b">
        <v>1</v>
      </c>
      <c r="G763" t="b">
        <v>1</v>
      </c>
      <c r="H763" t="s">
        <v>43</v>
      </c>
      <c r="I763" t="s">
        <v>57</v>
      </c>
      <c r="J763" t="s">
        <v>36</v>
      </c>
      <c r="K763" t="s">
        <v>28</v>
      </c>
      <c r="L763" t="s">
        <v>69</v>
      </c>
      <c r="M763" t="s">
        <v>39</v>
      </c>
      <c r="N763" t="s">
        <v>28</v>
      </c>
      <c r="P763" t="b">
        <v>0</v>
      </c>
      <c r="Q763">
        <v>7.1</v>
      </c>
      <c r="R763" t="b">
        <v>1</v>
      </c>
      <c r="S763" t="s">
        <v>48</v>
      </c>
      <c r="T763">
        <v>41.1</v>
      </c>
      <c r="U763">
        <v>66.86</v>
      </c>
      <c r="V763" t="b">
        <v>1</v>
      </c>
      <c r="W763" t="s">
        <v>41</v>
      </c>
      <c r="AE763" t="str">
        <f t="shared" si="77"/>
        <v>Yes</v>
      </c>
      <c r="AF763" t="str">
        <f t="shared" si="78"/>
        <v>Low</v>
      </c>
      <c r="AG763" t="str">
        <f t="shared" si="79"/>
        <v>No</v>
      </c>
      <c r="AH763" t="str">
        <f t="shared" si="80"/>
        <v>Consulted Documentation</v>
      </c>
      <c r="AJ763" t="str">
        <f t="shared" si="81"/>
        <v>Moderate Trust</v>
      </c>
      <c r="AL763">
        <f t="shared" si="82"/>
        <v>66.900000000000006</v>
      </c>
      <c r="AM763" t="str">
        <f t="shared" si="83"/>
        <v>PhD</v>
      </c>
    </row>
    <row r="764" spans="1:39" x14ac:dyDescent="0.25">
      <c r="A764" t="s">
        <v>68</v>
      </c>
      <c r="B764" t="s">
        <v>42</v>
      </c>
      <c r="C764">
        <v>83.36</v>
      </c>
      <c r="D764">
        <v>360</v>
      </c>
      <c r="E764" t="b">
        <v>1</v>
      </c>
      <c r="F764" t="b">
        <v>1</v>
      </c>
      <c r="G764" t="b">
        <v>0</v>
      </c>
      <c r="H764" t="s">
        <v>25</v>
      </c>
      <c r="I764" t="s">
        <v>35</v>
      </c>
      <c r="J764" t="s">
        <v>36</v>
      </c>
      <c r="K764" t="s">
        <v>46</v>
      </c>
      <c r="L764" t="s">
        <v>38</v>
      </c>
      <c r="M764" t="s">
        <v>39</v>
      </c>
      <c r="N764" t="s">
        <v>28</v>
      </c>
      <c r="O764" t="b">
        <v>0</v>
      </c>
      <c r="P764" t="b">
        <v>1</v>
      </c>
      <c r="Q764">
        <v>8.9</v>
      </c>
      <c r="R764" t="b">
        <v>1</v>
      </c>
      <c r="S764" t="s">
        <v>65</v>
      </c>
      <c r="T764">
        <v>20.399999999999999</v>
      </c>
      <c r="U764">
        <v>81.05</v>
      </c>
      <c r="V764" t="b">
        <v>1</v>
      </c>
      <c r="W764" t="s">
        <v>31</v>
      </c>
      <c r="AE764" t="str">
        <f t="shared" si="77"/>
        <v>Yes</v>
      </c>
      <c r="AF764" t="str">
        <f t="shared" si="78"/>
        <v>Low</v>
      </c>
      <c r="AG764" t="str">
        <f t="shared" si="79"/>
        <v>No</v>
      </c>
      <c r="AH764" t="str">
        <f t="shared" si="80"/>
        <v>Cross-referenced Multiple AIs</v>
      </c>
      <c r="AJ764" t="str">
        <f t="shared" si="81"/>
        <v>High Trust</v>
      </c>
      <c r="AL764">
        <f t="shared" si="82"/>
        <v>81.099999999999994</v>
      </c>
      <c r="AM764" t="str">
        <f t="shared" si="83"/>
        <v>PhD</v>
      </c>
    </row>
    <row r="765" spans="1:39" x14ac:dyDescent="0.25">
      <c r="A765" t="s">
        <v>74</v>
      </c>
      <c r="B765" t="s">
        <v>70</v>
      </c>
      <c r="C765">
        <v>82.66</v>
      </c>
      <c r="D765">
        <v>104</v>
      </c>
      <c r="E765" t="b">
        <v>0</v>
      </c>
      <c r="F765" t="b">
        <v>0</v>
      </c>
      <c r="G765" t="b">
        <v>0</v>
      </c>
      <c r="H765" t="s">
        <v>53</v>
      </c>
      <c r="I765" t="s">
        <v>26</v>
      </c>
      <c r="J765" t="s">
        <v>36</v>
      </c>
      <c r="K765" t="s">
        <v>46</v>
      </c>
      <c r="L765" t="s">
        <v>69</v>
      </c>
      <c r="M765" t="s">
        <v>46</v>
      </c>
      <c r="N765" t="s">
        <v>28</v>
      </c>
      <c r="O765" t="b">
        <v>0</v>
      </c>
      <c r="P765" t="b">
        <v>1</v>
      </c>
      <c r="Q765">
        <v>8.8000000000000007</v>
      </c>
      <c r="R765" t="b">
        <v>0</v>
      </c>
      <c r="T765">
        <v>0</v>
      </c>
      <c r="U765">
        <v>76.72</v>
      </c>
      <c r="V765" t="b">
        <v>1</v>
      </c>
      <c r="W765" t="s">
        <v>58</v>
      </c>
      <c r="AE765" t="str">
        <f t="shared" si="77"/>
        <v>No</v>
      </c>
      <c r="AF765" t="str">
        <f t="shared" si="78"/>
        <v>Low</v>
      </c>
      <c r="AG765" t="str">
        <f t="shared" si="79"/>
        <v>No</v>
      </c>
      <c r="AH765" t="str">
        <f t="shared" si="80"/>
        <v>Unknown</v>
      </c>
      <c r="AJ765" t="str">
        <f t="shared" si="81"/>
        <v>High Trust</v>
      </c>
      <c r="AL765">
        <f t="shared" si="82"/>
        <v>76.7</v>
      </c>
      <c r="AM765" t="str">
        <f t="shared" si="83"/>
        <v>PhD</v>
      </c>
    </row>
    <row r="766" spans="1:39" x14ac:dyDescent="0.25">
      <c r="A766" t="s">
        <v>56</v>
      </c>
      <c r="B766" t="s">
        <v>71</v>
      </c>
      <c r="C766">
        <v>59.41</v>
      </c>
      <c r="D766">
        <v>663</v>
      </c>
      <c r="E766" t="b">
        <v>1</v>
      </c>
      <c r="F766" t="b">
        <v>0</v>
      </c>
      <c r="G766" t="b">
        <v>0</v>
      </c>
      <c r="H766" t="s">
        <v>53</v>
      </c>
      <c r="I766" t="s">
        <v>57</v>
      </c>
      <c r="J766" t="s">
        <v>45</v>
      </c>
      <c r="K766" t="s">
        <v>37</v>
      </c>
      <c r="L766" t="s">
        <v>51</v>
      </c>
      <c r="M766" t="s">
        <v>46</v>
      </c>
      <c r="O766" t="b">
        <v>1</v>
      </c>
      <c r="P766" t="b">
        <v>0</v>
      </c>
      <c r="Q766">
        <v>8.4</v>
      </c>
      <c r="R766" t="b">
        <v>0</v>
      </c>
      <c r="T766">
        <v>0</v>
      </c>
      <c r="U766">
        <v>47.7</v>
      </c>
      <c r="V766" t="b">
        <v>0</v>
      </c>
      <c r="W766" t="s">
        <v>58</v>
      </c>
      <c r="AE766" t="str">
        <f t="shared" si="77"/>
        <v>No</v>
      </c>
      <c r="AF766" t="str">
        <f t="shared" si="78"/>
        <v>Unknown</v>
      </c>
      <c r="AG766" t="str">
        <f t="shared" si="79"/>
        <v>Yes</v>
      </c>
      <c r="AH766" t="str">
        <f t="shared" si="80"/>
        <v>Unknown</v>
      </c>
      <c r="AJ766" t="str">
        <f t="shared" si="81"/>
        <v>High Trust</v>
      </c>
      <c r="AL766">
        <f t="shared" si="82"/>
        <v>47.7</v>
      </c>
      <c r="AM766" t="str">
        <f t="shared" si="83"/>
        <v>High School</v>
      </c>
    </row>
    <row r="767" spans="1:39" x14ac:dyDescent="0.25">
      <c r="A767" t="s">
        <v>23</v>
      </c>
      <c r="B767" t="s">
        <v>42</v>
      </c>
      <c r="C767">
        <v>65.22</v>
      </c>
      <c r="D767">
        <v>528</v>
      </c>
      <c r="E767" t="b">
        <v>1</v>
      </c>
      <c r="F767" t="b">
        <v>0</v>
      </c>
      <c r="G767" t="b">
        <v>1</v>
      </c>
      <c r="H767" t="s">
        <v>53</v>
      </c>
      <c r="I767" t="s">
        <v>57</v>
      </c>
      <c r="J767" t="s">
        <v>45</v>
      </c>
      <c r="K767" t="s">
        <v>37</v>
      </c>
      <c r="L767" t="s">
        <v>51</v>
      </c>
      <c r="M767" t="s">
        <v>46</v>
      </c>
      <c r="P767" t="b">
        <v>1</v>
      </c>
      <c r="Q767">
        <v>7.4</v>
      </c>
      <c r="R767" t="b">
        <v>1</v>
      </c>
      <c r="S767" t="s">
        <v>52</v>
      </c>
      <c r="T767">
        <v>34.299999999999997</v>
      </c>
      <c r="U767">
        <v>50.29</v>
      </c>
      <c r="V767" t="b">
        <v>0</v>
      </c>
      <c r="W767" t="s">
        <v>41</v>
      </c>
      <c r="AE767" t="str">
        <f t="shared" si="77"/>
        <v>No</v>
      </c>
      <c r="AF767" t="str">
        <f t="shared" si="78"/>
        <v>Unknown</v>
      </c>
      <c r="AG767" t="str">
        <f t="shared" si="79"/>
        <v>No</v>
      </c>
      <c r="AH767" t="str">
        <f t="shared" si="80"/>
        <v>Checked Official Source</v>
      </c>
      <c r="AJ767" t="str">
        <f t="shared" si="81"/>
        <v>Moderate Trust</v>
      </c>
      <c r="AL767">
        <f t="shared" si="82"/>
        <v>50.3</v>
      </c>
      <c r="AM767" t="str">
        <f t="shared" si="83"/>
        <v>High School</v>
      </c>
    </row>
    <row r="768" spans="1:39" x14ac:dyDescent="0.25">
      <c r="A768" t="s">
        <v>61</v>
      </c>
      <c r="B768" t="s">
        <v>33</v>
      </c>
      <c r="C768">
        <v>85.62</v>
      </c>
      <c r="D768">
        <v>635</v>
      </c>
      <c r="E768" t="b">
        <v>0</v>
      </c>
      <c r="F768" t="b">
        <v>1</v>
      </c>
      <c r="G768" t="b">
        <v>0</v>
      </c>
      <c r="H768" t="s">
        <v>34</v>
      </c>
      <c r="I768" t="s">
        <v>63</v>
      </c>
      <c r="J768" t="s">
        <v>27</v>
      </c>
      <c r="K768" t="s">
        <v>28</v>
      </c>
      <c r="L768" t="s">
        <v>29</v>
      </c>
      <c r="M768" t="s">
        <v>46</v>
      </c>
      <c r="N768" t="s">
        <v>39</v>
      </c>
      <c r="P768" t="b">
        <v>1</v>
      </c>
      <c r="Q768">
        <v>8.5</v>
      </c>
      <c r="R768" t="b">
        <v>1</v>
      </c>
      <c r="S768" t="s">
        <v>48</v>
      </c>
      <c r="T768">
        <v>13.7</v>
      </c>
      <c r="U768">
        <v>97.17</v>
      </c>
      <c r="V768" t="b">
        <v>1</v>
      </c>
      <c r="W768" t="s">
        <v>31</v>
      </c>
      <c r="AE768" t="str">
        <f t="shared" si="77"/>
        <v>Yes</v>
      </c>
      <c r="AF768" t="str">
        <f t="shared" si="78"/>
        <v>High</v>
      </c>
      <c r="AG768" t="str">
        <f t="shared" si="79"/>
        <v>No</v>
      </c>
      <c r="AH768" t="str">
        <f t="shared" si="80"/>
        <v>Consulted Documentation</v>
      </c>
      <c r="AJ768" t="str">
        <f t="shared" si="81"/>
        <v>High Trust</v>
      </c>
      <c r="AL768">
        <f t="shared" si="82"/>
        <v>97.2</v>
      </c>
      <c r="AM768" t="str">
        <f t="shared" si="83"/>
        <v>Bachelors</v>
      </c>
    </row>
    <row r="769" spans="1:39" x14ac:dyDescent="0.25">
      <c r="A769" t="s">
        <v>32</v>
      </c>
      <c r="B769" t="s">
        <v>24</v>
      </c>
      <c r="C769">
        <v>94.67</v>
      </c>
      <c r="D769">
        <v>643</v>
      </c>
      <c r="E769" t="b">
        <v>1</v>
      </c>
      <c r="F769" t="b">
        <v>1</v>
      </c>
      <c r="G769" t="b">
        <v>1</v>
      </c>
      <c r="H769" t="s">
        <v>43</v>
      </c>
      <c r="I769" t="s">
        <v>26</v>
      </c>
      <c r="J769" t="s">
        <v>36</v>
      </c>
      <c r="K769" t="s">
        <v>39</v>
      </c>
      <c r="L769" t="s">
        <v>69</v>
      </c>
      <c r="M769" t="s">
        <v>39</v>
      </c>
      <c r="N769" t="s">
        <v>46</v>
      </c>
      <c r="O769" t="b">
        <v>0</v>
      </c>
      <c r="P769" t="b">
        <v>0</v>
      </c>
      <c r="Q769">
        <v>8.4</v>
      </c>
      <c r="R769" t="b">
        <v>0</v>
      </c>
      <c r="T769">
        <v>0</v>
      </c>
      <c r="U769">
        <v>79.83</v>
      </c>
      <c r="V769" t="b">
        <v>1</v>
      </c>
      <c r="W769" t="s">
        <v>58</v>
      </c>
      <c r="AE769" t="str">
        <f t="shared" si="77"/>
        <v>Yes</v>
      </c>
      <c r="AF769" t="str">
        <f t="shared" si="78"/>
        <v>Medium</v>
      </c>
      <c r="AG769" t="str">
        <f t="shared" si="79"/>
        <v>No</v>
      </c>
      <c r="AH769" t="str">
        <f t="shared" si="80"/>
        <v>Unknown</v>
      </c>
      <c r="AJ769" t="str">
        <f t="shared" si="81"/>
        <v>High Trust</v>
      </c>
      <c r="AL769">
        <f t="shared" si="82"/>
        <v>79.8</v>
      </c>
      <c r="AM769" t="str">
        <f t="shared" si="83"/>
        <v>PhD</v>
      </c>
    </row>
    <row r="770" spans="1:39" x14ac:dyDescent="0.25">
      <c r="A770" t="s">
        <v>68</v>
      </c>
      <c r="B770" t="s">
        <v>70</v>
      </c>
      <c r="C770">
        <v>90.32</v>
      </c>
      <c r="D770">
        <v>147</v>
      </c>
      <c r="E770" t="b">
        <v>1</v>
      </c>
      <c r="F770" t="b">
        <v>1</v>
      </c>
      <c r="G770" t="b">
        <v>0</v>
      </c>
      <c r="H770" t="s">
        <v>53</v>
      </c>
      <c r="I770" t="s">
        <v>67</v>
      </c>
      <c r="J770" t="s">
        <v>45</v>
      </c>
      <c r="K770" t="s">
        <v>39</v>
      </c>
      <c r="L770" t="s">
        <v>69</v>
      </c>
      <c r="M770" t="s">
        <v>39</v>
      </c>
      <c r="N770" t="s">
        <v>39</v>
      </c>
      <c r="P770" t="b">
        <v>0</v>
      </c>
      <c r="Q770">
        <v>10</v>
      </c>
      <c r="R770" t="b">
        <v>0</v>
      </c>
      <c r="T770">
        <v>0</v>
      </c>
      <c r="U770">
        <v>100</v>
      </c>
      <c r="V770" t="b">
        <v>1</v>
      </c>
      <c r="W770" t="s">
        <v>58</v>
      </c>
      <c r="AE770" t="str">
        <f t="shared" si="77"/>
        <v>Yes</v>
      </c>
      <c r="AF770" t="str">
        <f t="shared" si="78"/>
        <v>High</v>
      </c>
      <c r="AG770" t="str">
        <f t="shared" si="79"/>
        <v>No</v>
      </c>
      <c r="AH770" t="str">
        <f t="shared" si="80"/>
        <v>Unknown</v>
      </c>
      <c r="AJ770" t="str">
        <f t="shared" si="81"/>
        <v>High Trust</v>
      </c>
      <c r="AL770">
        <f t="shared" si="82"/>
        <v>100</v>
      </c>
      <c r="AM770" t="str">
        <f t="shared" si="83"/>
        <v>High School</v>
      </c>
    </row>
    <row r="771" spans="1:39" x14ac:dyDescent="0.25">
      <c r="A771" t="s">
        <v>23</v>
      </c>
      <c r="B771" t="s">
        <v>49</v>
      </c>
      <c r="C771">
        <v>70.680000000000007</v>
      </c>
      <c r="D771">
        <v>636</v>
      </c>
      <c r="E771" t="b">
        <v>1</v>
      </c>
      <c r="F771" t="b">
        <v>0</v>
      </c>
      <c r="G771" t="b">
        <v>0</v>
      </c>
      <c r="H771" t="s">
        <v>43</v>
      </c>
      <c r="I771" t="s">
        <v>63</v>
      </c>
      <c r="J771" t="s">
        <v>27</v>
      </c>
      <c r="K771" t="s">
        <v>37</v>
      </c>
      <c r="L771" t="s">
        <v>37</v>
      </c>
      <c r="M771" t="s">
        <v>46</v>
      </c>
      <c r="N771" t="s">
        <v>46</v>
      </c>
      <c r="O771" t="b">
        <v>1</v>
      </c>
      <c r="P771" t="b">
        <v>1</v>
      </c>
      <c r="Q771">
        <v>9.1999999999999993</v>
      </c>
      <c r="R771" t="b">
        <v>1</v>
      </c>
      <c r="S771" t="s">
        <v>64</v>
      </c>
      <c r="T771">
        <v>35.799999999999997</v>
      </c>
      <c r="U771">
        <v>79.58</v>
      </c>
      <c r="V771" t="b">
        <v>1</v>
      </c>
      <c r="W771" t="s">
        <v>31</v>
      </c>
      <c r="AE771" t="str">
        <f t="shared" ref="AE771:AE834" si="84">IF(F771=TRUE,"Yes","No")</f>
        <v>No</v>
      </c>
      <c r="AF771" t="str">
        <f t="shared" ref="AF771:AF834" si="85">IF(ISBLANK(N771),"Unknown",N771)</f>
        <v>Medium</v>
      </c>
      <c r="AG771" t="str">
        <f t="shared" ref="AG771:AG834" si="86">IF(O771=TRUE,"Yes","No")</f>
        <v>Yes</v>
      </c>
      <c r="AH771" t="str">
        <f t="shared" ref="AH771:AH834" si="87">IF(ISBLANK(S771),"Unknown",S771)</f>
        <v>Personal Testing</v>
      </c>
      <c r="AJ771" t="str">
        <f t="shared" ref="AJ771:AJ834" si="88">IF(Q771&gt;=8,"High Trust",
IF(Q772&gt;=5,"Moderate Trust","Low Trust"))</f>
        <v>High Trust</v>
      </c>
      <c r="AL771">
        <f t="shared" ref="AL771:AL834" si="89">ROUND(U771,1)</f>
        <v>79.599999999999994</v>
      </c>
      <c r="AM771" t="str">
        <f t="shared" ref="AM771:AM834" si="90">TRIM(J771)</f>
        <v>Bachelors</v>
      </c>
    </row>
    <row r="772" spans="1:39" x14ac:dyDescent="0.25">
      <c r="A772" t="s">
        <v>68</v>
      </c>
      <c r="B772" t="s">
        <v>33</v>
      </c>
      <c r="C772">
        <v>75.47</v>
      </c>
      <c r="D772">
        <v>439</v>
      </c>
      <c r="E772" t="b">
        <v>1</v>
      </c>
      <c r="F772" t="b">
        <v>1</v>
      </c>
      <c r="G772" t="b">
        <v>1</v>
      </c>
      <c r="H772" t="s">
        <v>34</v>
      </c>
      <c r="I772" t="s">
        <v>57</v>
      </c>
      <c r="J772" t="s">
        <v>50</v>
      </c>
      <c r="K772" t="s">
        <v>39</v>
      </c>
      <c r="L772" t="s">
        <v>29</v>
      </c>
      <c r="M772" t="s">
        <v>46</v>
      </c>
      <c r="P772" t="b">
        <v>1</v>
      </c>
      <c r="Q772">
        <v>7.9</v>
      </c>
      <c r="R772" t="b">
        <v>1</v>
      </c>
      <c r="S772" t="s">
        <v>75</v>
      </c>
      <c r="T772">
        <v>13.8</v>
      </c>
      <c r="U772">
        <v>68.48</v>
      </c>
      <c r="V772" t="b">
        <v>1</v>
      </c>
      <c r="W772" t="s">
        <v>41</v>
      </c>
      <c r="AE772" t="str">
        <f t="shared" si="84"/>
        <v>Yes</v>
      </c>
      <c r="AF772" t="str">
        <f t="shared" si="85"/>
        <v>Unknown</v>
      </c>
      <c r="AG772" t="str">
        <f t="shared" si="86"/>
        <v>No</v>
      </c>
      <c r="AH772" t="str">
        <f t="shared" si="87"/>
        <v>Asked Colleague</v>
      </c>
      <c r="AJ772" t="str">
        <f t="shared" si="88"/>
        <v>Moderate Trust</v>
      </c>
      <c r="AL772">
        <f t="shared" si="89"/>
        <v>68.5</v>
      </c>
      <c r="AM772" t="str">
        <f t="shared" si="90"/>
        <v>Professional</v>
      </c>
    </row>
    <row r="773" spans="1:39" x14ac:dyDescent="0.25">
      <c r="A773" t="s">
        <v>23</v>
      </c>
      <c r="B773" t="s">
        <v>70</v>
      </c>
      <c r="C773">
        <v>84.5</v>
      </c>
      <c r="D773">
        <v>143</v>
      </c>
      <c r="E773" t="b">
        <v>0</v>
      </c>
      <c r="F773" t="b">
        <v>0</v>
      </c>
      <c r="G773" t="b">
        <v>1</v>
      </c>
      <c r="H773" t="s">
        <v>43</v>
      </c>
      <c r="I773" t="s">
        <v>63</v>
      </c>
      <c r="J773" t="s">
        <v>54</v>
      </c>
      <c r="K773" t="s">
        <v>39</v>
      </c>
      <c r="L773" t="s">
        <v>69</v>
      </c>
      <c r="M773" t="s">
        <v>39</v>
      </c>
      <c r="N773" t="s">
        <v>39</v>
      </c>
      <c r="O773" t="b">
        <v>0</v>
      </c>
      <c r="P773" t="b">
        <v>1</v>
      </c>
      <c r="Q773">
        <v>8.1</v>
      </c>
      <c r="R773" t="b">
        <v>0</v>
      </c>
      <c r="T773">
        <v>0</v>
      </c>
      <c r="U773">
        <v>79.62</v>
      </c>
      <c r="V773" t="b">
        <v>1</v>
      </c>
      <c r="W773" t="s">
        <v>58</v>
      </c>
      <c r="AE773" t="str">
        <f t="shared" si="84"/>
        <v>No</v>
      </c>
      <c r="AF773" t="str">
        <f t="shared" si="85"/>
        <v>High</v>
      </c>
      <c r="AG773" t="str">
        <f t="shared" si="86"/>
        <v>No</v>
      </c>
      <c r="AH773" t="str">
        <f t="shared" si="87"/>
        <v>Unknown</v>
      </c>
      <c r="AJ773" t="str">
        <f t="shared" si="88"/>
        <v>High Trust</v>
      </c>
      <c r="AL773">
        <f t="shared" si="89"/>
        <v>79.599999999999994</v>
      </c>
      <c r="AM773" t="str">
        <f t="shared" si="90"/>
        <v>Masters</v>
      </c>
    </row>
    <row r="774" spans="1:39" x14ac:dyDescent="0.25">
      <c r="A774" t="s">
        <v>61</v>
      </c>
      <c r="B774" t="s">
        <v>49</v>
      </c>
      <c r="C774">
        <v>77.41</v>
      </c>
      <c r="D774">
        <v>251</v>
      </c>
      <c r="E774" t="b">
        <v>0</v>
      </c>
      <c r="F774" t="b">
        <v>1</v>
      </c>
      <c r="G774" t="b">
        <v>1</v>
      </c>
      <c r="H774" t="s">
        <v>25</v>
      </c>
      <c r="I774" t="s">
        <v>63</v>
      </c>
      <c r="J774" t="s">
        <v>50</v>
      </c>
      <c r="K774" t="s">
        <v>39</v>
      </c>
      <c r="L774" t="s">
        <v>69</v>
      </c>
      <c r="M774" t="s">
        <v>47</v>
      </c>
      <c r="N774" t="s">
        <v>39</v>
      </c>
      <c r="O774" t="b">
        <v>1</v>
      </c>
      <c r="P774" t="b">
        <v>1</v>
      </c>
      <c r="Q774">
        <v>8.6</v>
      </c>
      <c r="R774" t="b">
        <v>0</v>
      </c>
      <c r="T774">
        <v>0</v>
      </c>
      <c r="U774">
        <v>75.14</v>
      </c>
      <c r="V774" t="b">
        <v>1</v>
      </c>
      <c r="W774" t="s">
        <v>58</v>
      </c>
      <c r="AE774" t="str">
        <f t="shared" si="84"/>
        <v>Yes</v>
      </c>
      <c r="AF774" t="str">
        <f t="shared" si="85"/>
        <v>High</v>
      </c>
      <c r="AG774" t="str">
        <f t="shared" si="86"/>
        <v>Yes</v>
      </c>
      <c r="AH774" t="str">
        <f t="shared" si="87"/>
        <v>Unknown</v>
      </c>
      <c r="AJ774" t="str">
        <f t="shared" si="88"/>
        <v>High Trust</v>
      </c>
      <c r="AL774">
        <f t="shared" si="89"/>
        <v>75.099999999999994</v>
      </c>
      <c r="AM774" t="str">
        <f t="shared" si="90"/>
        <v>Professional</v>
      </c>
    </row>
    <row r="775" spans="1:39" x14ac:dyDescent="0.25">
      <c r="A775" t="s">
        <v>56</v>
      </c>
      <c r="B775" t="s">
        <v>59</v>
      </c>
      <c r="C775">
        <v>77.739999999999995</v>
      </c>
      <c r="D775">
        <v>275</v>
      </c>
      <c r="E775" t="b">
        <v>1</v>
      </c>
      <c r="F775" t="b">
        <v>1</v>
      </c>
      <c r="G775" t="b">
        <v>0</v>
      </c>
      <c r="H775" t="s">
        <v>53</v>
      </c>
      <c r="I775" t="s">
        <v>63</v>
      </c>
      <c r="J775" t="s">
        <v>36</v>
      </c>
      <c r="K775" t="s">
        <v>39</v>
      </c>
      <c r="L775" t="s">
        <v>37</v>
      </c>
      <c r="M775" t="s">
        <v>39</v>
      </c>
      <c r="N775" t="s">
        <v>39</v>
      </c>
      <c r="O775" t="b">
        <v>1</v>
      </c>
      <c r="P775" t="b">
        <v>1</v>
      </c>
      <c r="Q775">
        <v>8.9</v>
      </c>
      <c r="R775" t="b">
        <v>1</v>
      </c>
      <c r="S775" t="s">
        <v>30</v>
      </c>
      <c r="T775">
        <v>9.1999999999999993</v>
      </c>
      <c r="U775">
        <v>70.650000000000006</v>
      </c>
      <c r="V775" t="b">
        <v>1</v>
      </c>
      <c r="W775" t="s">
        <v>31</v>
      </c>
      <c r="AE775" t="str">
        <f t="shared" si="84"/>
        <v>Yes</v>
      </c>
      <c r="AF775" t="str">
        <f t="shared" si="85"/>
        <v>High</v>
      </c>
      <c r="AG775" t="str">
        <f t="shared" si="86"/>
        <v>Yes</v>
      </c>
      <c r="AH775" t="str">
        <f t="shared" si="87"/>
        <v>Google Search</v>
      </c>
      <c r="AJ775" t="str">
        <f t="shared" si="88"/>
        <v>High Trust</v>
      </c>
      <c r="AL775">
        <f t="shared" si="89"/>
        <v>70.7</v>
      </c>
      <c r="AM775" t="str">
        <f t="shared" si="90"/>
        <v>PhD</v>
      </c>
    </row>
    <row r="776" spans="1:39" x14ac:dyDescent="0.25">
      <c r="A776" t="s">
        <v>32</v>
      </c>
      <c r="B776" t="s">
        <v>33</v>
      </c>
      <c r="C776">
        <v>78.39</v>
      </c>
      <c r="D776">
        <v>517</v>
      </c>
      <c r="E776" t="b">
        <v>1</v>
      </c>
      <c r="F776" t="b">
        <v>1</v>
      </c>
      <c r="G776" t="b">
        <v>0</v>
      </c>
      <c r="H776" t="s">
        <v>25</v>
      </c>
      <c r="I776" t="s">
        <v>63</v>
      </c>
      <c r="J776" t="s">
        <v>45</v>
      </c>
      <c r="K776" t="s">
        <v>46</v>
      </c>
      <c r="L776" t="s">
        <v>37</v>
      </c>
      <c r="M776" t="s">
        <v>46</v>
      </c>
      <c r="O776" t="b">
        <v>0</v>
      </c>
      <c r="P776" t="b">
        <v>1</v>
      </c>
      <c r="Q776">
        <v>7.4</v>
      </c>
      <c r="R776" t="b">
        <v>0</v>
      </c>
      <c r="T776">
        <v>0</v>
      </c>
      <c r="U776">
        <v>83.84</v>
      </c>
      <c r="V776" t="b">
        <v>1</v>
      </c>
      <c r="W776" t="s">
        <v>31</v>
      </c>
      <c r="AE776" t="str">
        <f t="shared" si="84"/>
        <v>Yes</v>
      </c>
      <c r="AF776" t="str">
        <f t="shared" si="85"/>
        <v>Unknown</v>
      </c>
      <c r="AG776" t="str">
        <f t="shared" si="86"/>
        <v>No</v>
      </c>
      <c r="AH776" t="str">
        <f t="shared" si="87"/>
        <v>Unknown</v>
      </c>
      <c r="AJ776" t="str">
        <f t="shared" si="88"/>
        <v>Moderate Trust</v>
      </c>
      <c r="AL776">
        <f t="shared" si="89"/>
        <v>83.8</v>
      </c>
      <c r="AM776" t="str">
        <f t="shared" si="90"/>
        <v>High School</v>
      </c>
    </row>
    <row r="777" spans="1:39" x14ac:dyDescent="0.25">
      <c r="A777" t="s">
        <v>61</v>
      </c>
      <c r="B777" t="s">
        <v>70</v>
      </c>
      <c r="C777">
        <v>78.069999999999993</v>
      </c>
      <c r="D777">
        <v>80</v>
      </c>
      <c r="E777" t="b">
        <v>1</v>
      </c>
      <c r="F777" t="b">
        <v>0</v>
      </c>
      <c r="G777" t="b">
        <v>1</v>
      </c>
      <c r="H777" t="s">
        <v>43</v>
      </c>
      <c r="I777" t="s">
        <v>44</v>
      </c>
      <c r="J777" t="s">
        <v>50</v>
      </c>
      <c r="K777" t="s">
        <v>28</v>
      </c>
      <c r="L777" t="s">
        <v>69</v>
      </c>
      <c r="M777" t="s">
        <v>47</v>
      </c>
      <c r="N777" t="s">
        <v>28</v>
      </c>
      <c r="P777" t="b">
        <v>0</v>
      </c>
      <c r="Q777">
        <v>8.4</v>
      </c>
      <c r="R777" t="b">
        <v>1</v>
      </c>
      <c r="S777" t="s">
        <v>65</v>
      </c>
      <c r="T777">
        <v>5.0999999999999996</v>
      </c>
      <c r="U777">
        <v>90.32</v>
      </c>
      <c r="V777" t="b">
        <v>1</v>
      </c>
      <c r="W777" t="s">
        <v>31</v>
      </c>
      <c r="AE777" t="str">
        <f t="shared" si="84"/>
        <v>No</v>
      </c>
      <c r="AF777" t="str">
        <f t="shared" si="85"/>
        <v>Low</v>
      </c>
      <c r="AG777" t="str">
        <f t="shared" si="86"/>
        <v>No</v>
      </c>
      <c r="AH777" t="str">
        <f t="shared" si="87"/>
        <v>Cross-referenced Multiple AIs</v>
      </c>
      <c r="AJ777" t="str">
        <f t="shared" si="88"/>
        <v>High Trust</v>
      </c>
      <c r="AL777">
        <f t="shared" si="89"/>
        <v>90.3</v>
      </c>
      <c r="AM777" t="str">
        <f t="shared" si="90"/>
        <v>Professional</v>
      </c>
    </row>
    <row r="778" spans="1:39" x14ac:dyDescent="0.25">
      <c r="A778" t="s">
        <v>61</v>
      </c>
      <c r="B778" t="s">
        <v>42</v>
      </c>
      <c r="C778">
        <v>81.73</v>
      </c>
      <c r="D778">
        <v>482</v>
      </c>
      <c r="E778" t="b">
        <v>0</v>
      </c>
      <c r="F778" t="b">
        <v>0</v>
      </c>
      <c r="G778" t="b">
        <v>1</v>
      </c>
      <c r="H778" t="s">
        <v>43</v>
      </c>
      <c r="I778" t="s">
        <v>26</v>
      </c>
      <c r="J778" t="s">
        <v>27</v>
      </c>
      <c r="K778" t="s">
        <v>28</v>
      </c>
      <c r="L778" t="s">
        <v>29</v>
      </c>
      <c r="M778" t="s">
        <v>28</v>
      </c>
      <c r="N778" t="s">
        <v>39</v>
      </c>
      <c r="P778" t="b">
        <v>0</v>
      </c>
      <c r="Q778">
        <v>9.1999999999999993</v>
      </c>
      <c r="R778" t="b">
        <v>1</v>
      </c>
      <c r="S778" t="s">
        <v>75</v>
      </c>
      <c r="T778">
        <v>2.6</v>
      </c>
      <c r="U778">
        <v>85.3</v>
      </c>
      <c r="V778" t="b">
        <v>1</v>
      </c>
      <c r="W778" t="s">
        <v>31</v>
      </c>
      <c r="AE778" t="str">
        <f t="shared" si="84"/>
        <v>No</v>
      </c>
      <c r="AF778" t="str">
        <f t="shared" si="85"/>
        <v>High</v>
      </c>
      <c r="AG778" t="str">
        <f t="shared" si="86"/>
        <v>No</v>
      </c>
      <c r="AH778" t="str">
        <f t="shared" si="87"/>
        <v>Asked Colleague</v>
      </c>
      <c r="AJ778" t="str">
        <f t="shared" si="88"/>
        <v>High Trust</v>
      </c>
      <c r="AL778">
        <f t="shared" si="89"/>
        <v>85.3</v>
      </c>
      <c r="AM778" t="str">
        <f t="shared" si="90"/>
        <v>Bachelors</v>
      </c>
    </row>
    <row r="779" spans="1:39" x14ac:dyDescent="0.25">
      <c r="A779" t="s">
        <v>32</v>
      </c>
      <c r="B779" t="s">
        <v>70</v>
      </c>
      <c r="C779">
        <v>70.8</v>
      </c>
      <c r="D779">
        <v>562</v>
      </c>
      <c r="E779" t="b">
        <v>0</v>
      </c>
      <c r="F779" t="b">
        <v>1</v>
      </c>
      <c r="G779" t="b">
        <v>1</v>
      </c>
      <c r="H779" t="s">
        <v>43</v>
      </c>
      <c r="I779" t="s">
        <v>57</v>
      </c>
      <c r="J779" t="s">
        <v>36</v>
      </c>
      <c r="K779" t="s">
        <v>46</v>
      </c>
      <c r="L779" t="s">
        <v>51</v>
      </c>
      <c r="M779" t="s">
        <v>39</v>
      </c>
      <c r="N779" t="s">
        <v>39</v>
      </c>
      <c r="P779" t="b">
        <v>1</v>
      </c>
      <c r="Q779">
        <v>6.5</v>
      </c>
      <c r="R779" t="b">
        <v>1</v>
      </c>
      <c r="S779" t="s">
        <v>30</v>
      </c>
      <c r="T779">
        <v>44.8</v>
      </c>
      <c r="U779">
        <v>71.22</v>
      </c>
      <c r="V779" t="b">
        <v>1</v>
      </c>
      <c r="W779" t="s">
        <v>41</v>
      </c>
      <c r="AE779" t="str">
        <f t="shared" si="84"/>
        <v>Yes</v>
      </c>
      <c r="AF779" t="str">
        <f t="shared" si="85"/>
        <v>High</v>
      </c>
      <c r="AG779" t="str">
        <f t="shared" si="86"/>
        <v>No</v>
      </c>
      <c r="AH779" t="str">
        <f t="shared" si="87"/>
        <v>Google Search</v>
      </c>
      <c r="AJ779" t="str">
        <f t="shared" si="88"/>
        <v>Moderate Trust</v>
      </c>
      <c r="AL779">
        <f t="shared" si="89"/>
        <v>71.2</v>
      </c>
      <c r="AM779" t="str">
        <f t="shared" si="90"/>
        <v>PhD</v>
      </c>
    </row>
    <row r="780" spans="1:39" x14ac:dyDescent="0.25">
      <c r="A780" t="s">
        <v>61</v>
      </c>
      <c r="B780" t="s">
        <v>59</v>
      </c>
      <c r="C780">
        <v>79.849999999999994</v>
      </c>
      <c r="D780">
        <v>752</v>
      </c>
      <c r="E780" t="b">
        <v>0</v>
      </c>
      <c r="F780" t="b">
        <v>0</v>
      </c>
      <c r="G780" t="b">
        <v>1</v>
      </c>
      <c r="H780" t="s">
        <v>34</v>
      </c>
      <c r="I780" t="s">
        <v>26</v>
      </c>
      <c r="J780" t="s">
        <v>36</v>
      </c>
      <c r="K780" t="s">
        <v>28</v>
      </c>
      <c r="L780" t="s">
        <v>29</v>
      </c>
      <c r="M780" t="s">
        <v>47</v>
      </c>
      <c r="N780" t="s">
        <v>46</v>
      </c>
      <c r="P780" t="b">
        <v>0</v>
      </c>
      <c r="Q780">
        <v>7.9</v>
      </c>
      <c r="R780" t="b">
        <v>1</v>
      </c>
      <c r="S780" t="s">
        <v>48</v>
      </c>
      <c r="T780">
        <v>42.3</v>
      </c>
      <c r="U780">
        <v>86.66</v>
      </c>
      <c r="V780" t="b">
        <v>1</v>
      </c>
      <c r="W780" t="s">
        <v>41</v>
      </c>
      <c r="AE780" t="str">
        <f t="shared" si="84"/>
        <v>No</v>
      </c>
      <c r="AF780" t="str">
        <f t="shared" si="85"/>
        <v>Medium</v>
      </c>
      <c r="AG780" t="str">
        <f t="shared" si="86"/>
        <v>No</v>
      </c>
      <c r="AH780" t="str">
        <f t="shared" si="87"/>
        <v>Consulted Documentation</v>
      </c>
      <c r="AJ780" t="str">
        <f t="shared" si="88"/>
        <v>Moderate Trust</v>
      </c>
      <c r="AL780">
        <f t="shared" si="89"/>
        <v>86.7</v>
      </c>
      <c r="AM780" t="str">
        <f t="shared" si="90"/>
        <v>PhD</v>
      </c>
    </row>
    <row r="781" spans="1:39" x14ac:dyDescent="0.25">
      <c r="A781" t="s">
        <v>61</v>
      </c>
      <c r="B781" t="s">
        <v>24</v>
      </c>
      <c r="C781">
        <v>86.87</v>
      </c>
      <c r="D781">
        <v>359</v>
      </c>
      <c r="E781" t="b">
        <v>1</v>
      </c>
      <c r="F781" t="b">
        <v>0</v>
      </c>
      <c r="G781" t="b">
        <v>0</v>
      </c>
      <c r="H781" t="s">
        <v>53</v>
      </c>
      <c r="I781" t="s">
        <v>67</v>
      </c>
      <c r="J781" t="s">
        <v>45</v>
      </c>
      <c r="K781" t="s">
        <v>28</v>
      </c>
      <c r="L781" t="s">
        <v>37</v>
      </c>
      <c r="M781" t="s">
        <v>39</v>
      </c>
      <c r="N781" t="s">
        <v>39</v>
      </c>
      <c r="O781" t="b">
        <v>0</v>
      </c>
      <c r="P781" t="b">
        <v>1</v>
      </c>
      <c r="Q781">
        <v>8.6</v>
      </c>
      <c r="R781" t="b">
        <v>0</v>
      </c>
      <c r="T781">
        <v>0</v>
      </c>
      <c r="U781">
        <v>73.400000000000006</v>
      </c>
      <c r="V781" t="b">
        <v>1</v>
      </c>
      <c r="W781" t="s">
        <v>58</v>
      </c>
      <c r="AE781" t="str">
        <f t="shared" si="84"/>
        <v>No</v>
      </c>
      <c r="AF781" t="str">
        <f t="shared" si="85"/>
        <v>High</v>
      </c>
      <c r="AG781" t="str">
        <f t="shared" si="86"/>
        <v>No</v>
      </c>
      <c r="AH781" t="str">
        <f t="shared" si="87"/>
        <v>Unknown</v>
      </c>
      <c r="AJ781" t="str">
        <f t="shared" si="88"/>
        <v>High Trust</v>
      </c>
      <c r="AL781">
        <f t="shared" si="89"/>
        <v>73.400000000000006</v>
      </c>
      <c r="AM781" t="str">
        <f t="shared" si="90"/>
        <v>High School</v>
      </c>
    </row>
    <row r="782" spans="1:39" x14ac:dyDescent="0.25">
      <c r="A782" t="s">
        <v>74</v>
      </c>
      <c r="B782" t="s">
        <v>60</v>
      </c>
      <c r="C782">
        <v>54.43</v>
      </c>
      <c r="D782">
        <v>420</v>
      </c>
      <c r="E782" t="b">
        <v>1</v>
      </c>
      <c r="F782" t="b">
        <v>1</v>
      </c>
      <c r="G782" t="b">
        <v>0</v>
      </c>
      <c r="H782" t="s">
        <v>53</v>
      </c>
      <c r="I782" t="s">
        <v>57</v>
      </c>
      <c r="J782" t="s">
        <v>36</v>
      </c>
      <c r="K782" t="s">
        <v>39</v>
      </c>
      <c r="L782" t="s">
        <v>69</v>
      </c>
      <c r="M782" t="s">
        <v>28</v>
      </c>
      <c r="N782" t="s">
        <v>46</v>
      </c>
      <c r="O782" t="b">
        <v>0</v>
      </c>
      <c r="P782" t="b">
        <v>0</v>
      </c>
      <c r="Q782">
        <v>6.1</v>
      </c>
      <c r="R782" t="b">
        <v>1</v>
      </c>
      <c r="S782" t="s">
        <v>48</v>
      </c>
      <c r="T782">
        <v>16</v>
      </c>
      <c r="U782">
        <v>56.42</v>
      </c>
      <c r="V782" t="b">
        <v>1</v>
      </c>
      <c r="W782" t="s">
        <v>41</v>
      </c>
      <c r="AE782" t="str">
        <f t="shared" si="84"/>
        <v>Yes</v>
      </c>
      <c r="AF782" t="str">
        <f t="shared" si="85"/>
        <v>Medium</v>
      </c>
      <c r="AG782" t="str">
        <f t="shared" si="86"/>
        <v>No</v>
      </c>
      <c r="AH782" t="str">
        <f t="shared" si="87"/>
        <v>Consulted Documentation</v>
      </c>
      <c r="AJ782" t="str">
        <f t="shared" si="88"/>
        <v>Moderate Trust</v>
      </c>
      <c r="AL782">
        <f t="shared" si="89"/>
        <v>56.4</v>
      </c>
      <c r="AM782" t="str">
        <f t="shared" si="90"/>
        <v>PhD</v>
      </c>
    </row>
    <row r="783" spans="1:39" x14ac:dyDescent="0.25">
      <c r="A783" t="s">
        <v>32</v>
      </c>
      <c r="B783" t="s">
        <v>24</v>
      </c>
      <c r="C783">
        <v>92.18</v>
      </c>
      <c r="D783">
        <v>311</v>
      </c>
      <c r="E783" t="b">
        <v>0</v>
      </c>
      <c r="F783" t="b">
        <v>1</v>
      </c>
      <c r="G783" t="b">
        <v>1</v>
      </c>
      <c r="H783" t="s">
        <v>34</v>
      </c>
      <c r="I783" t="s">
        <v>35</v>
      </c>
      <c r="J783" t="s">
        <v>45</v>
      </c>
      <c r="K783" t="s">
        <v>46</v>
      </c>
      <c r="L783" t="s">
        <v>69</v>
      </c>
      <c r="M783" t="s">
        <v>47</v>
      </c>
      <c r="P783" t="b">
        <v>0</v>
      </c>
      <c r="Q783">
        <v>8.6</v>
      </c>
      <c r="R783" t="b">
        <v>1</v>
      </c>
      <c r="S783" t="s">
        <v>52</v>
      </c>
      <c r="T783">
        <v>39.799999999999997</v>
      </c>
      <c r="U783">
        <v>100</v>
      </c>
      <c r="V783" t="b">
        <v>1</v>
      </c>
      <c r="W783" t="s">
        <v>31</v>
      </c>
      <c r="AE783" t="str">
        <f t="shared" si="84"/>
        <v>Yes</v>
      </c>
      <c r="AF783" t="str">
        <f t="shared" si="85"/>
        <v>Unknown</v>
      </c>
      <c r="AG783" t="str">
        <f t="shared" si="86"/>
        <v>No</v>
      </c>
      <c r="AH783" t="str">
        <f t="shared" si="87"/>
        <v>Checked Official Source</v>
      </c>
      <c r="AJ783" t="str">
        <f t="shared" si="88"/>
        <v>High Trust</v>
      </c>
      <c r="AL783">
        <f t="shared" si="89"/>
        <v>100</v>
      </c>
      <c r="AM783" t="str">
        <f t="shared" si="90"/>
        <v>High School</v>
      </c>
    </row>
    <row r="784" spans="1:39" x14ac:dyDescent="0.25">
      <c r="A784" t="s">
        <v>56</v>
      </c>
      <c r="B784" t="s">
        <v>59</v>
      </c>
      <c r="C784">
        <v>81.099999999999994</v>
      </c>
      <c r="D784">
        <v>654</v>
      </c>
      <c r="E784" t="b">
        <v>0</v>
      </c>
      <c r="F784" t="b">
        <v>1</v>
      </c>
      <c r="G784" t="b">
        <v>1</v>
      </c>
      <c r="H784" t="s">
        <v>34</v>
      </c>
      <c r="I784" t="s">
        <v>35</v>
      </c>
      <c r="J784" t="s">
        <v>45</v>
      </c>
      <c r="K784" t="s">
        <v>37</v>
      </c>
      <c r="L784" t="s">
        <v>38</v>
      </c>
      <c r="M784" t="s">
        <v>39</v>
      </c>
      <c r="N784" t="s">
        <v>28</v>
      </c>
      <c r="O784" t="b">
        <v>0</v>
      </c>
      <c r="P784" t="b">
        <v>1</v>
      </c>
      <c r="Q784">
        <v>7</v>
      </c>
      <c r="R784" t="b">
        <v>1</v>
      </c>
      <c r="S784" t="s">
        <v>75</v>
      </c>
      <c r="T784">
        <v>28.3</v>
      </c>
      <c r="U784">
        <v>75.680000000000007</v>
      </c>
      <c r="V784" t="b">
        <v>1</v>
      </c>
      <c r="W784" t="s">
        <v>41</v>
      </c>
      <c r="AE784" t="str">
        <f t="shared" si="84"/>
        <v>Yes</v>
      </c>
      <c r="AF784" t="str">
        <f t="shared" si="85"/>
        <v>Low</v>
      </c>
      <c r="AG784" t="str">
        <f t="shared" si="86"/>
        <v>No</v>
      </c>
      <c r="AH784" t="str">
        <f t="shared" si="87"/>
        <v>Asked Colleague</v>
      </c>
      <c r="AJ784" t="str">
        <f t="shared" si="88"/>
        <v>Moderate Trust</v>
      </c>
      <c r="AL784">
        <f t="shared" si="89"/>
        <v>75.7</v>
      </c>
      <c r="AM784" t="str">
        <f t="shared" si="90"/>
        <v>High School</v>
      </c>
    </row>
    <row r="785" spans="1:39" x14ac:dyDescent="0.25">
      <c r="A785" t="s">
        <v>61</v>
      </c>
      <c r="B785" t="s">
        <v>76</v>
      </c>
      <c r="C785">
        <v>79.45</v>
      </c>
      <c r="D785">
        <v>185</v>
      </c>
      <c r="E785" t="b">
        <v>1</v>
      </c>
      <c r="F785" t="b">
        <v>0</v>
      </c>
      <c r="G785" t="b">
        <v>0</v>
      </c>
      <c r="H785" t="s">
        <v>43</v>
      </c>
      <c r="I785" t="s">
        <v>35</v>
      </c>
      <c r="J785" t="s">
        <v>50</v>
      </c>
      <c r="K785" t="s">
        <v>37</v>
      </c>
      <c r="L785" t="s">
        <v>29</v>
      </c>
      <c r="M785" t="s">
        <v>46</v>
      </c>
      <c r="N785" t="s">
        <v>39</v>
      </c>
      <c r="O785" t="b">
        <v>0</v>
      </c>
      <c r="P785" t="b">
        <v>0</v>
      </c>
      <c r="Q785">
        <v>8.1999999999999993</v>
      </c>
      <c r="R785" t="b">
        <v>1</v>
      </c>
      <c r="S785" t="s">
        <v>30</v>
      </c>
      <c r="T785">
        <v>28</v>
      </c>
      <c r="U785">
        <v>93.81</v>
      </c>
      <c r="V785" t="b">
        <v>1</v>
      </c>
      <c r="W785" t="s">
        <v>31</v>
      </c>
      <c r="AE785" t="str">
        <f t="shared" si="84"/>
        <v>No</v>
      </c>
      <c r="AF785" t="str">
        <f t="shared" si="85"/>
        <v>High</v>
      </c>
      <c r="AG785" t="str">
        <f t="shared" si="86"/>
        <v>No</v>
      </c>
      <c r="AH785" t="str">
        <f t="shared" si="87"/>
        <v>Google Search</v>
      </c>
      <c r="AJ785" t="str">
        <f t="shared" si="88"/>
        <v>High Trust</v>
      </c>
      <c r="AL785">
        <f t="shared" si="89"/>
        <v>93.8</v>
      </c>
      <c r="AM785" t="str">
        <f t="shared" si="90"/>
        <v>Professional</v>
      </c>
    </row>
    <row r="786" spans="1:39" x14ac:dyDescent="0.25">
      <c r="A786" t="s">
        <v>32</v>
      </c>
      <c r="B786" t="s">
        <v>66</v>
      </c>
      <c r="C786">
        <v>65.459999999999994</v>
      </c>
      <c r="D786">
        <v>653</v>
      </c>
      <c r="E786" t="b">
        <v>0</v>
      </c>
      <c r="F786" t="b">
        <v>1</v>
      </c>
      <c r="G786" t="b">
        <v>0</v>
      </c>
      <c r="H786" t="s">
        <v>34</v>
      </c>
      <c r="I786" t="s">
        <v>57</v>
      </c>
      <c r="J786" t="s">
        <v>50</v>
      </c>
      <c r="K786" t="s">
        <v>46</v>
      </c>
      <c r="L786" t="s">
        <v>51</v>
      </c>
      <c r="M786" t="s">
        <v>47</v>
      </c>
      <c r="N786" t="s">
        <v>39</v>
      </c>
      <c r="P786" t="b">
        <v>0</v>
      </c>
      <c r="Q786">
        <v>5.6</v>
      </c>
      <c r="R786" t="b">
        <v>1</v>
      </c>
      <c r="S786" t="s">
        <v>40</v>
      </c>
      <c r="T786">
        <v>21.5</v>
      </c>
      <c r="U786">
        <v>50.08</v>
      </c>
      <c r="V786" t="b">
        <v>1</v>
      </c>
      <c r="W786" t="s">
        <v>41</v>
      </c>
      <c r="AE786" t="str">
        <f t="shared" si="84"/>
        <v>Yes</v>
      </c>
      <c r="AF786" t="str">
        <f t="shared" si="85"/>
        <v>High</v>
      </c>
      <c r="AG786" t="str">
        <f t="shared" si="86"/>
        <v>No</v>
      </c>
      <c r="AH786" t="str">
        <f t="shared" si="87"/>
        <v>Asked Expert</v>
      </c>
      <c r="AJ786" t="str">
        <f t="shared" si="88"/>
        <v>Moderate Trust</v>
      </c>
      <c r="AL786">
        <f t="shared" si="89"/>
        <v>50.1</v>
      </c>
      <c r="AM786" t="str">
        <f t="shared" si="90"/>
        <v>Professional</v>
      </c>
    </row>
    <row r="787" spans="1:39" x14ac:dyDescent="0.25">
      <c r="A787" t="s">
        <v>23</v>
      </c>
      <c r="B787" t="s">
        <v>49</v>
      </c>
      <c r="C787">
        <v>72.95</v>
      </c>
      <c r="D787">
        <v>787</v>
      </c>
      <c r="E787" t="b">
        <v>1</v>
      </c>
      <c r="F787" t="b">
        <v>0</v>
      </c>
      <c r="G787" t="b">
        <v>0</v>
      </c>
      <c r="H787" t="s">
        <v>53</v>
      </c>
      <c r="I787" t="s">
        <v>57</v>
      </c>
      <c r="J787" t="s">
        <v>45</v>
      </c>
      <c r="K787" t="s">
        <v>39</v>
      </c>
      <c r="L787" t="s">
        <v>38</v>
      </c>
      <c r="M787" t="s">
        <v>28</v>
      </c>
      <c r="N787" t="s">
        <v>46</v>
      </c>
      <c r="P787" t="b">
        <v>1</v>
      </c>
      <c r="Q787">
        <v>9.3000000000000007</v>
      </c>
      <c r="R787" t="b">
        <v>0</v>
      </c>
      <c r="T787">
        <v>0</v>
      </c>
      <c r="U787">
        <v>66.62</v>
      </c>
      <c r="V787" t="b">
        <v>0</v>
      </c>
      <c r="W787" t="s">
        <v>58</v>
      </c>
      <c r="AE787" t="str">
        <f t="shared" si="84"/>
        <v>No</v>
      </c>
      <c r="AF787" t="str">
        <f t="shared" si="85"/>
        <v>Medium</v>
      </c>
      <c r="AG787" t="str">
        <f t="shared" si="86"/>
        <v>No</v>
      </c>
      <c r="AH787" t="str">
        <f t="shared" si="87"/>
        <v>Unknown</v>
      </c>
      <c r="AJ787" t="str">
        <f t="shared" si="88"/>
        <v>High Trust</v>
      </c>
      <c r="AL787">
        <f t="shared" si="89"/>
        <v>66.599999999999994</v>
      </c>
      <c r="AM787" t="str">
        <f t="shared" si="90"/>
        <v>High School</v>
      </c>
    </row>
    <row r="788" spans="1:39" x14ac:dyDescent="0.25">
      <c r="A788" t="s">
        <v>56</v>
      </c>
      <c r="B788" t="s">
        <v>76</v>
      </c>
      <c r="C788">
        <v>89.23</v>
      </c>
      <c r="D788">
        <v>759</v>
      </c>
      <c r="E788" t="b">
        <v>1</v>
      </c>
      <c r="F788" t="b">
        <v>1</v>
      </c>
      <c r="G788" t="b">
        <v>0</v>
      </c>
      <c r="H788" t="s">
        <v>25</v>
      </c>
      <c r="I788" t="s">
        <v>63</v>
      </c>
      <c r="J788" t="s">
        <v>27</v>
      </c>
      <c r="K788" t="s">
        <v>39</v>
      </c>
      <c r="L788" t="s">
        <v>51</v>
      </c>
      <c r="M788" t="s">
        <v>46</v>
      </c>
      <c r="N788" t="s">
        <v>39</v>
      </c>
      <c r="O788" t="b">
        <v>1</v>
      </c>
      <c r="P788" t="b">
        <v>0</v>
      </c>
      <c r="Q788">
        <v>10</v>
      </c>
      <c r="R788" t="b">
        <v>1</v>
      </c>
      <c r="S788" t="s">
        <v>75</v>
      </c>
      <c r="T788">
        <v>13.4</v>
      </c>
      <c r="U788">
        <v>81.62</v>
      </c>
      <c r="V788" t="b">
        <v>1</v>
      </c>
      <c r="W788" t="s">
        <v>31</v>
      </c>
      <c r="AE788" t="str">
        <f t="shared" si="84"/>
        <v>Yes</v>
      </c>
      <c r="AF788" t="str">
        <f t="shared" si="85"/>
        <v>High</v>
      </c>
      <c r="AG788" t="str">
        <f t="shared" si="86"/>
        <v>Yes</v>
      </c>
      <c r="AH788" t="str">
        <f t="shared" si="87"/>
        <v>Asked Colleague</v>
      </c>
      <c r="AJ788" t="str">
        <f t="shared" si="88"/>
        <v>High Trust</v>
      </c>
      <c r="AL788">
        <f t="shared" si="89"/>
        <v>81.599999999999994</v>
      </c>
      <c r="AM788" t="str">
        <f t="shared" si="90"/>
        <v>Bachelors</v>
      </c>
    </row>
    <row r="789" spans="1:39" x14ac:dyDescent="0.25">
      <c r="A789" t="s">
        <v>68</v>
      </c>
      <c r="B789" t="s">
        <v>42</v>
      </c>
      <c r="C789">
        <v>68.959999999999994</v>
      </c>
      <c r="D789">
        <v>196</v>
      </c>
      <c r="E789" t="b">
        <v>0</v>
      </c>
      <c r="F789" t="b">
        <v>1</v>
      </c>
      <c r="G789" t="b">
        <v>1</v>
      </c>
      <c r="H789" t="s">
        <v>25</v>
      </c>
      <c r="I789" t="s">
        <v>67</v>
      </c>
      <c r="J789" t="s">
        <v>54</v>
      </c>
      <c r="K789" t="s">
        <v>39</v>
      </c>
      <c r="L789" t="s">
        <v>69</v>
      </c>
      <c r="M789" t="s">
        <v>46</v>
      </c>
      <c r="N789" t="s">
        <v>28</v>
      </c>
      <c r="O789" t="b">
        <v>1</v>
      </c>
      <c r="P789" t="b">
        <v>1</v>
      </c>
      <c r="Q789">
        <v>8.4</v>
      </c>
      <c r="R789" t="b">
        <v>0</v>
      </c>
      <c r="T789">
        <v>0</v>
      </c>
      <c r="U789">
        <v>68.98</v>
      </c>
      <c r="V789" t="b">
        <v>1</v>
      </c>
      <c r="W789" t="s">
        <v>58</v>
      </c>
      <c r="AE789" t="str">
        <f t="shared" si="84"/>
        <v>Yes</v>
      </c>
      <c r="AF789" t="str">
        <f t="shared" si="85"/>
        <v>Low</v>
      </c>
      <c r="AG789" t="str">
        <f t="shared" si="86"/>
        <v>Yes</v>
      </c>
      <c r="AH789" t="str">
        <f t="shared" si="87"/>
        <v>Unknown</v>
      </c>
      <c r="AJ789" t="str">
        <f t="shared" si="88"/>
        <v>High Trust</v>
      </c>
      <c r="AL789">
        <f t="shared" si="89"/>
        <v>69</v>
      </c>
      <c r="AM789" t="str">
        <f t="shared" si="90"/>
        <v>Masters</v>
      </c>
    </row>
    <row r="790" spans="1:39" x14ac:dyDescent="0.25">
      <c r="A790" t="s">
        <v>68</v>
      </c>
      <c r="B790" t="s">
        <v>71</v>
      </c>
      <c r="C790">
        <v>56.78</v>
      </c>
      <c r="D790">
        <v>280</v>
      </c>
      <c r="E790" t="b">
        <v>0</v>
      </c>
      <c r="F790" t="b">
        <v>1</v>
      </c>
      <c r="G790" t="b">
        <v>0</v>
      </c>
      <c r="H790" t="s">
        <v>43</v>
      </c>
      <c r="I790" t="s">
        <v>26</v>
      </c>
      <c r="J790" t="s">
        <v>36</v>
      </c>
      <c r="K790" t="s">
        <v>39</v>
      </c>
      <c r="L790" t="s">
        <v>69</v>
      </c>
      <c r="M790" t="s">
        <v>47</v>
      </c>
      <c r="N790" t="s">
        <v>28</v>
      </c>
      <c r="O790" t="b">
        <v>0</v>
      </c>
      <c r="P790" t="b">
        <v>0</v>
      </c>
      <c r="Q790">
        <v>4.3</v>
      </c>
      <c r="R790" t="b">
        <v>1</v>
      </c>
      <c r="S790" t="s">
        <v>75</v>
      </c>
      <c r="T790">
        <v>38.6</v>
      </c>
      <c r="U790">
        <v>59.34</v>
      </c>
      <c r="V790" t="b">
        <v>1</v>
      </c>
      <c r="W790" t="s">
        <v>72</v>
      </c>
      <c r="AE790" t="str">
        <f t="shared" si="84"/>
        <v>Yes</v>
      </c>
      <c r="AF790" t="str">
        <f t="shared" si="85"/>
        <v>Low</v>
      </c>
      <c r="AG790" t="str">
        <f t="shared" si="86"/>
        <v>No</v>
      </c>
      <c r="AH790" t="str">
        <f t="shared" si="87"/>
        <v>Asked Colleague</v>
      </c>
      <c r="AJ790" t="str">
        <f t="shared" si="88"/>
        <v>Moderate Trust</v>
      </c>
      <c r="AL790">
        <f t="shared" si="89"/>
        <v>59.3</v>
      </c>
      <c r="AM790" t="str">
        <f t="shared" si="90"/>
        <v>PhD</v>
      </c>
    </row>
    <row r="791" spans="1:39" x14ac:dyDescent="0.25">
      <c r="A791" t="s">
        <v>61</v>
      </c>
      <c r="B791" t="s">
        <v>73</v>
      </c>
      <c r="C791">
        <v>59.88</v>
      </c>
      <c r="D791">
        <v>183</v>
      </c>
      <c r="E791" t="b">
        <v>0</v>
      </c>
      <c r="F791" t="b">
        <v>1</v>
      </c>
      <c r="G791" t="b">
        <v>0</v>
      </c>
      <c r="H791" t="s">
        <v>34</v>
      </c>
      <c r="I791" t="s">
        <v>57</v>
      </c>
      <c r="J791" t="s">
        <v>45</v>
      </c>
      <c r="K791" t="s">
        <v>37</v>
      </c>
      <c r="L791" t="s">
        <v>38</v>
      </c>
      <c r="M791" t="s">
        <v>46</v>
      </c>
      <c r="N791" t="s">
        <v>39</v>
      </c>
      <c r="O791" t="b">
        <v>0</v>
      </c>
      <c r="P791" t="b">
        <v>0</v>
      </c>
      <c r="Q791">
        <v>6.2</v>
      </c>
      <c r="R791" t="b">
        <v>0</v>
      </c>
      <c r="T791">
        <v>0</v>
      </c>
      <c r="U791">
        <v>58.57</v>
      </c>
      <c r="V791" t="b">
        <v>1</v>
      </c>
      <c r="W791" t="s">
        <v>31</v>
      </c>
      <c r="AE791" t="str">
        <f t="shared" si="84"/>
        <v>Yes</v>
      </c>
      <c r="AF791" t="str">
        <f t="shared" si="85"/>
        <v>High</v>
      </c>
      <c r="AG791" t="str">
        <f t="shared" si="86"/>
        <v>No</v>
      </c>
      <c r="AH791" t="str">
        <f t="shared" si="87"/>
        <v>Unknown</v>
      </c>
      <c r="AJ791" t="str">
        <f t="shared" si="88"/>
        <v>Moderate Trust</v>
      </c>
      <c r="AL791">
        <f t="shared" si="89"/>
        <v>58.6</v>
      </c>
      <c r="AM791" t="str">
        <f t="shared" si="90"/>
        <v>High School</v>
      </c>
    </row>
    <row r="792" spans="1:39" x14ac:dyDescent="0.25">
      <c r="A792" t="s">
        <v>23</v>
      </c>
      <c r="B792" t="s">
        <v>66</v>
      </c>
      <c r="C792">
        <v>66.16</v>
      </c>
      <c r="D792">
        <v>150</v>
      </c>
      <c r="E792" t="b">
        <v>1</v>
      </c>
      <c r="F792" t="b">
        <v>1</v>
      </c>
      <c r="G792" t="b">
        <v>0</v>
      </c>
      <c r="H792" t="s">
        <v>43</v>
      </c>
      <c r="I792" t="s">
        <v>57</v>
      </c>
      <c r="J792" t="s">
        <v>27</v>
      </c>
      <c r="K792" t="s">
        <v>46</v>
      </c>
      <c r="L792" t="s">
        <v>38</v>
      </c>
      <c r="M792" t="s">
        <v>46</v>
      </c>
      <c r="N792" t="s">
        <v>39</v>
      </c>
      <c r="P792" t="b">
        <v>0</v>
      </c>
      <c r="Q792">
        <v>8.6</v>
      </c>
      <c r="R792" t="b">
        <v>0</v>
      </c>
      <c r="T792">
        <v>0</v>
      </c>
      <c r="U792">
        <v>51.68</v>
      </c>
      <c r="V792" t="b">
        <v>0</v>
      </c>
      <c r="W792" t="s">
        <v>58</v>
      </c>
      <c r="AE792" t="str">
        <f t="shared" si="84"/>
        <v>Yes</v>
      </c>
      <c r="AF792" t="str">
        <f t="shared" si="85"/>
        <v>High</v>
      </c>
      <c r="AG792" t="str">
        <f t="shared" si="86"/>
        <v>No</v>
      </c>
      <c r="AH792" t="str">
        <f t="shared" si="87"/>
        <v>Unknown</v>
      </c>
      <c r="AJ792" t="str">
        <f t="shared" si="88"/>
        <v>High Trust</v>
      </c>
      <c r="AL792">
        <f t="shared" si="89"/>
        <v>51.7</v>
      </c>
      <c r="AM792" t="str">
        <f t="shared" si="90"/>
        <v>Bachelors</v>
      </c>
    </row>
    <row r="793" spans="1:39" x14ac:dyDescent="0.25">
      <c r="A793" t="s">
        <v>61</v>
      </c>
      <c r="B793" t="s">
        <v>42</v>
      </c>
      <c r="C793">
        <v>77.59</v>
      </c>
      <c r="D793">
        <v>423</v>
      </c>
      <c r="E793" t="b">
        <v>0</v>
      </c>
      <c r="F793" t="b">
        <v>0</v>
      </c>
      <c r="G793" t="b">
        <v>1</v>
      </c>
      <c r="H793" t="s">
        <v>43</v>
      </c>
      <c r="I793" t="s">
        <v>44</v>
      </c>
      <c r="J793" t="s">
        <v>50</v>
      </c>
      <c r="K793" t="s">
        <v>46</v>
      </c>
      <c r="L793" t="s">
        <v>51</v>
      </c>
      <c r="M793" t="s">
        <v>47</v>
      </c>
      <c r="N793" t="s">
        <v>39</v>
      </c>
      <c r="O793" t="b">
        <v>0</v>
      </c>
      <c r="P793" t="b">
        <v>0</v>
      </c>
      <c r="Q793">
        <v>6.8</v>
      </c>
      <c r="R793" t="b">
        <v>0</v>
      </c>
      <c r="T793">
        <v>0</v>
      </c>
      <c r="U793">
        <v>67.45</v>
      </c>
      <c r="V793" t="b">
        <v>1</v>
      </c>
      <c r="W793" t="s">
        <v>31</v>
      </c>
      <c r="AE793" t="str">
        <f t="shared" si="84"/>
        <v>No</v>
      </c>
      <c r="AF793" t="str">
        <f t="shared" si="85"/>
        <v>High</v>
      </c>
      <c r="AG793" t="str">
        <f t="shared" si="86"/>
        <v>No</v>
      </c>
      <c r="AH793" t="str">
        <f t="shared" si="87"/>
        <v>Unknown</v>
      </c>
      <c r="AJ793" t="str">
        <f t="shared" si="88"/>
        <v>Moderate Trust</v>
      </c>
      <c r="AL793">
        <f t="shared" si="89"/>
        <v>67.5</v>
      </c>
      <c r="AM793" t="str">
        <f t="shared" si="90"/>
        <v>Professional</v>
      </c>
    </row>
    <row r="794" spans="1:39" x14ac:dyDescent="0.25">
      <c r="A794" t="s">
        <v>23</v>
      </c>
      <c r="B794" t="s">
        <v>49</v>
      </c>
      <c r="C794">
        <v>68.150000000000006</v>
      </c>
      <c r="D794">
        <v>331</v>
      </c>
      <c r="E794" t="b">
        <v>1</v>
      </c>
      <c r="F794" t="b">
        <v>1</v>
      </c>
      <c r="G794" t="b">
        <v>0</v>
      </c>
      <c r="H794" t="s">
        <v>25</v>
      </c>
      <c r="I794" t="s">
        <v>63</v>
      </c>
      <c r="J794" t="s">
        <v>45</v>
      </c>
      <c r="K794" t="s">
        <v>37</v>
      </c>
      <c r="L794" t="s">
        <v>69</v>
      </c>
      <c r="M794" t="s">
        <v>39</v>
      </c>
      <c r="N794" t="s">
        <v>28</v>
      </c>
      <c r="O794" t="b">
        <v>1</v>
      </c>
      <c r="P794" t="b">
        <v>1</v>
      </c>
      <c r="Q794">
        <v>9.4</v>
      </c>
      <c r="R794" t="b">
        <v>0</v>
      </c>
      <c r="T794">
        <v>0</v>
      </c>
      <c r="U794">
        <v>73.62</v>
      </c>
      <c r="V794" t="b">
        <v>0</v>
      </c>
      <c r="W794" t="s">
        <v>58</v>
      </c>
      <c r="AE794" t="str">
        <f t="shared" si="84"/>
        <v>Yes</v>
      </c>
      <c r="AF794" t="str">
        <f t="shared" si="85"/>
        <v>Low</v>
      </c>
      <c r="AG794" t="str">
        <f t="shared" si="86"/>
        <v>Yes</v>
      </c>
      <c r="AH794" t="str">
        <f t="shared" si="87"/>
        <v>Unknown</v>
      </c>
      <c r="AJ794" t="str">
        <f t="shared" si="88"/>
        <v>High Trust</v>
      </c>
      <c r="AL794">
        <f t="shared" si="89"/>
        <v>73.599999999999994</v>
      </c>
      <c r="AM794" t="str">
        <f t="shared" si="90"/>
        <v>High School</v>
      </c>
    </row>
    <row r="795" spans="1:39" x14ac:dyDescent="0.25">
      <c r="A795" t="s">
        <v>56</v>
      </c>
      <c r="B795" t="s">
        <v>59</v>
      </c>
      <c r="C795">
        <v>81.569999999999993</v>
      </c>
      <c r="D795">
        <v>594</v>
      </c>
      <c r="E795" t="b">
        <v>1</v>
      </c>
      <c r="F795" t="b">
        <v>1</v>
      </c>
      <c r="G795" t="b">
        <v>1</v>
      </c>
      <c r="H795" t="s">
        <v>43</v>
      </c>
      <c r="I795" t="s">
        <v>67</v>
      </c>
      <c r="J795" t="s">
        <v>50</v>
      </c>
      <c r="K795" t="s">
        <v>39</v>
      </c>
      <c r="L795" t="s">
        <v>38</v>
      </c>
      <c r="M795" t="s">
        <v>39</v>
      </c>
      <c r="N795" t="s">
        <v>28</v>
      </c>
      <c r="O795" t="b">
        <v>0</v>
      </c>
      <c r="P795" t="b">
        <v>0</v>
      </c>
      <c r="Q795">
        <v>7.6</v>
      </c>
      <c r="R795" t="b">
        <v>1</v>
      </c>
      <c r="S795" t="s">
        <v>75</v>
      </c>
      <c r="T795">
        <v>33.1</v>
      </c>
      <c r="U795">
        <v>91.32</v>
      </c>
      <c r="V795" t="b">
        <v>1</v>
      </c>
      <c r="W795" t="s">
        <v>41</v>
      </c>
      <c r="AE795" t="str">
        <f t="shared" si="84"/>
        <v>Yes</v>
      </c>
      <c r="AF795" t="str">
        <f t="shared" si="85"/>
        <v>Low</v>
      </c>
      <c r="AG795" t="str">
        <f t="shared" si="86"/>
        <v>No</v>
      </c>
      <c r="AH795" t="str">
        <f t="shared" si="87"/>
        <v>Asked Colleague</v>
      </c>
      <c r="AJ795" t="str">
        <f t="shared" si="88"/>
        <v>Moderate Trust</v>
      </c>
      <c r="AL795">
        <f t="shared" si="89"/>
        <v>91.3</v>
      </c>
      <c r="AM795" t="str">
        <f t="shared" si="90"/>
        <v>Professional</v>
      </c>
    </row>
    <row r="796" spans="1:39" x14ac:dyDescent="0.25">
      <c r="A796" t="s">
        <v>68</v>
      </c>
      <c r="B796" t="s">
        <v>76</v>
      </c>
      <c r="C796">
        <v>70.12</v>
      </c>
      <c r="D796">
        <v>520</v>
      </c>
      <c r="E796" t="b">
        <v>1</v>
      </c>
      <c r="F796" t="b">
        <v>1</v>
      </c>
      <c r="G796" t="b">
        <v>0</v>
      </c>
      <c r="H796" t="s">
        <v>34</v>
      </c>
      <c r="I796" t="s">
        <v>57</v>
      </c>
      <c r="J796" t="s">
        <v>50</v>
      </c>
      <c r="K796" t="s">
        <v>37</v>
      </c>
      <c r="L796" t="s">
        <v>69</v>
      </c>
      <c r="M796" t="s">
        <v>39</v>
      </c>
      <c r="O796" t="b">
        <v>1</v>
      </c>
      <c r="P796" t="b">
        <v>1</v>
      </c>
      <c r="Q796">
        <v>10</v>
      </c>
      <c r="R796" t="b">
        <v>1</v>
      </c>
      <c r="S796" t="s">
        <v>40</v>
      </c>
      <c r="T796">
        <v>38.200000000000003</v>
      </c>
      <c r="U796">
        <v>79.2</v>
      </c>
      <c r="V796" t="b">
        <v>0</v>
      </c>
      <c r="W796" t="s">
        <v>31</v>
      </c>
      <c r="AE796" t="str">
        <f t="shared" si="84"/>
        <v>Yes</v>
      </c>
      <c r="AF796" t="str">
        <f t="shared" si="85"/>
        <v>Unknown</v>
      </c>
      <c r="AG796" t="str">
        <f t="shared" si="86"/>
        <v>Yes</v>
      </c>
      <c r="AH796" t="str">
        <f t="shared" si="87"/>
        <v>Asked Expert</v>
      </c>
      <c r="AJ796" t="str">
        <f t="shared" si="88"/>
        <v>High Trust</v>
      </c>
      <c r="AL796">
        <f t="shared" si="89"/>
        <v>79.2</v>
      </c>
      <c r="AM796" t="str">
        <f t="shared" si="90"/>
        <v>Professional</v>
      </c>
    </row>
    <row r="797" spans="1:39" x14ac:dyDescent="0.25">
      <c r="A797" t="s">
        <v>23</v>
      </c>
      <c r="B797" t="s">
        <v>71</v>
      </c>
      <c r="C797">
        <v>52.19</v>
      </c>
      <c r="D797">
        <v>691</v>
      </c>
      <c r="E797" t="b">
        <v>1</v>
      </c>
      <c r="F797" t="b">
        <v>1</v>
      </c>
      <c r="G797" t="b">
        <v>0</v>
      </c>
      <c r="H797" t="s">
        <v>34</v>
      </c>
      <c r="I797" t="s">
        <v>57</v>
      </c>
      <c r="J797" t="s">
        <v>36</v>
      </c>
      <c r="K797" t="s">
        <v>28</v>
      </c>
      <c r="L797" t="s">
        <v>51</v>
      </c>
      <c r="M797" t="s">
        <v>47</v>
      </c>
      <c r="N797" t="s">
        <v>28</v>
      </c>
      <c r="P797" t="b">
        <v>1</v>
      </c>
      <c r="Q797">
        <v>4.7</v>
      </c>
      <c r="R797" t="b">
        <v>1</v>
      </c>
      <c r="S797" t="s">
        <v>52</v>
      </c>
      <c r="T797">
        <v>36.700000000000003</v>
      </c>
      <c r="U797">
        <v>29.04</v>
      </c>
      <c r="V797" t="b">
        <v>1</v>
      </c>
      <c r="W797" t="s">
        <v>72</v>
      </c>
      <c r="AE797" t="str">
        <f t="shared" si="84"/>
        <v>Yes</v>
      </c>
      <c r="AF797" t="str">
        <f t="shared" si="85"/>
        <v>Low</v>
      </c>
      <c r="AG797" t="str">
        <f t="shared" si="86"/>
        <v>No</v>
      </c>
      <c r="AH797" t="str">
        <f t="shared" si="87"/>
        <v>Checked Official Source</v>
      </c>
      <c r="AJ797" t="str">
        <f t="shared" si="88"/>
        <v>Moderate Trust</v>
      </c>
      <c r="AL797">
        <f t="shared" si="89"/>
        <v>29</v>
      </c>
      <c r="AM797" t="str">
        <f t="shared" si="90"/>
        <v>PhD</v>
      </c>
    </row>
    <row r="798" spans="1:39" x14ac:dyDescent="0.25">
      <c r="A798" t="s">
        <v>68</v>
      </c>
      <c r="B798" t="s">
        <v>70</v>
      </c>
      <c r="C798">
        <v>91.23</v>
      </c>
      <c r="D798">
        <v>176</v>
      </c>
      <c r="E798" t="b">
        <v>1</v>
      </c>
      <c r="F798" t="b">
        <v>0</v>
      </c>
      <c r="G798" t="b">
        <v>0</v>
      </c>
      <c r="H798" t="s">
        <v>25</v>
      </c>
      <c r="I798" t="s">
        <v>35</v>
      </c>
      <c r="J798" t="s">
        <v>36</v>
      </c>
      <c r="K798" t="s">
        <v>37</v>
      </c>
      <c r="L798" t="s">
        <v>38</v>
      </c>
      <c r="M798" t="s">
        <v>39</v>
      </c>
      <c r="O798" t="b">
        <v>1</v>
      </c>
      <c r="P798" t="b">
        <v>0</v>
      </c>
      <c r="Q798">
        <v>10</v>
      </c>
      <c r="R798" t="b">
        <v>1</v>
      </c>
      <c r="S798" t="s">
        <v>52</v>
      </c>
      <c r="T798">
        <v>22.3</v>
      </c>
      <c r="U798">
        <v>98.31</v>
      </c>
      <c r="V798" t="b">
        <v>1</v>
      </c>
      <c r="W798" t="s">
        <v>31</v>
      </c>
      <c r="AE798" t="str">
        <f t="shared" si="84"/>
        <v>No</v>
      </c>
      <c r="AF798" t="str">
        <f t="shared" si="85"/>
        <v>Unknown</v>
      </c>
      <c r="AG798" t="str">
        <f t="shared" si="86"/>
        <v>Yes</v>
      </c>
      <c r="AH798" t="str">
        <f t="shared" si="87"/>
        <v>Checked Official Source</v>
      </c>
      <c r="AJ798" t="str">
        <f t="shared" si="88"/>
        <v>High Trust</v>
      </c>
      <c r="AL798">
        <f t="shared" si="89"/>
        <v>98.3</v>
      </c>
      <c r="AM798" t="str">
        <f t="shared" si="90"/>
        <v>PhD</v>
      </c>
    </row>
    <row r="799" spans="1:39" x14ac:dyDescent="0.25">
      <c r="A799" t="s">
        <v>56</v>
      </c>
      <c r="B799" t="s">
        <v>62</v>
      </c>
      <c r="C799">
        <v>70.53</v>
      </c>
      <c r="D799">
        <v>409</v>
      </c>
      <c r="E799" t="b">
        <v>1</v>
      </c>
      <c r="F799" t="b">
        <v>1</v>
      </c>
      <c r="G799" t="b">
        <v>0</v>
      </c>
      <c r="H799" t="s">
        <v>25</v>
      </c>
      <c r="I799" t="s">
        <v>35</v>
      </c>
      <c r="J799" t="s">
        <v>50</v>
      </c>
      <c r="K799" t="s">
        <v>39</v>
      </c>
      <c r="L799" t="s">
        <v>38</v>
      </c>
      <c r="M799" t="s">
        <v>39</v>
      </c>
      <c r="N799" t="s">
        <v>46</v>
      </c>
      <c r="O799" t="b">
        <v>0</v>
      </c>
      <c r="P799" t="b">
        <v>0</v>
      </c>
      <c r="Q799">
        <v>7.2</v>
      </c>
      <c r="R799" t="b">
        <v>1</v>
      </c>
      <c r="S799" t="s">
        <v>65</v>
      </c>
      <c r="T799">
        <v>13.6</v>
      </c>
      <c r="U799">
        <v>81.510000000000005</v>
      </c>
      <c r="V799" t="b">
        <v>1</v>
      </c>
      <c r="W799" t="s">
        <v>41</v>
      </c>
      <c r="AE799" t="str">
        <f t="shared" si="84"/>
        <v>Yes</v>
      </c>
      <c r="AF799" t="str">
        <f t="shared" si="85"/>
        <v>Medium</v>
      </c>
      <c r="AG799" t="str">
        <f t="shared" si="86"/>
        <v>No</v>
      </c>
      <c r="AH799" t="str">
        <f t="shared" si="87"/>
        <v>Cross-referenced Multiple AIs</v>
      </c>
      <c r="AJ799" t="str">
        <f t="shared" si="88"/>
        <v>Moderate Trust</v>
      </c>
      <c r="AL799">
        <f t="shared" si="89"/>
        <v>81.5</v>
      </c>
      <c r="AM799" t="str">
        <f t="shared" si="90"/>
        <v>Professional</v>
      </c>
    </row>
    <row r="800" spans="1:39" x14ac:dyDescent="0.25">
      <c r="A800" t="s">
        <v>68</v>
      </c>
      <c r="B800" t="s">
        <v>33</v>
      </c>
      <c r="C800">
        <v>84.23</v>
      </c>
      <c r="D800">
        <v>542</v>
      </c>
      <c r="E800" t="b">
        <v>0</v>
      </c>
      <c r="F800" t="b">
        <v>1</v>
      </c>
      <c r="G800" t="b">
        <v>1</v>
      </c>
      <c r="H800" t="s">
        <v>43</v>
      </c>
      <c r="I800" t="s">
        <v>57</v>
      </c>
      <c r="J800" t="s">
        <v>45</v>
      </c>
      <c r="K800" t="s">
        <v>46</v>
      </c>
      <c r="L800" t="s">
        <v>37</v>
      </c>
      <c r="M800" t="s">
        <v>39</v>
      </c>
      <c r="N800" t="s">
        <v>28</v>
      </c>
      <c r="O800" t="b">
        <v>1</v>
      </c>
      <c r="P800" t="b">
        <v>1</v>
      </c>
      <c r="Q800">
        <v>9.9</v>
      </c>
      <c r="R800" t="b">
        <v>0</v>
      </c>
      <c r="T800">
        <v>0</v>
      </c>
      <c r="U800">
        <v>93.29</v>
      </c>
      <c r="V800" t="b">
        <v>1</v>
      </c>
      <c r="W800" t="s">
        <v>58</v>
      </c>
      <c r="AE800" t="str">
        <f t="shared" si="84"/>
        <v>Yes</v>
      </c>
      <c r="AF800" t="str">
        <f t="shared" si="85"/>
        <v>Low</v>
      </c>
      <c r="AG800" t="str">
        <f t="shared" si="86"/>
        <v>Yes</v>
      </c>
      <c r="AH800" t="str">
        <f t="shared" si="87"/>
        <v>Unknown</v>
      </c>
      <c r="AJ800" t="str">
        <f t="shared" si="88"/>
        <v>High Trust</v>
      </c>
      <c r="AL800">
        <f t="shared" si="89"/>
        <v>93.3</v>
      </c>
      <c r="AM800" t="str">
        <f t="shared" si="90"/>
        <v>High School</v>
      </c>
    </row>
    <row r="801" spans="1:39" x14ac:dyDescent="0.25">
      <c r="A801" t="s">
        <v>68</v>
      </c>
      <c r="B801" t="s">
        <v>73</v>
      </c>
      <c r="C801">
        <v>47.73</v>
      </c>
      <c r="D801">
        <v>189</v>
      </c>
      <c r="E801" t="b">
        <v>0</v>
      </c>
      <c r="F801" t="b">
        <v>0</v>
      </c>
      <c r="G801" t="b">
        <v>0</v>
      </c>
      <c r="H801" t="s">
        <v>53</v>
      </c>
      <c r="I801" t="s">
        <v>67</v>
      </c>
      <c r="J801" t="s">
        <v>54</v>
      </c>
      <c r="K801" t="s">
        <v>28</v>
      </c>
      <c r="L801" t="s">
        <v>69</v>
      </c>
      <c r="M801" t="s">
        <v>47</v>
      </c>
      <c r="N801" t="s">
        <v>39</v>
      </c>
      <c r="O801" t="b">
        <v>1</v>
      </c>
      <c r="P801" t="b">
        <v>1</v>
      </c>
      <c r="Q801">
        <v>6.3</v>
      </c>
      <c r="R801" t="b">
        <v>1</v>
      </c>
      <c r="S801" t="s">
        <v>75</v>
      </c>
      <c r="T801">
        <v>30.2</v>
      </c>
      <c r="U801">
        <v>60.58</v>
      </c>
      <c r="V801" t="b">
        <v>1</v>
      </c>
      <c r="W801" t="s">
        <v>41</v>
      </c>
      <c r="AE801" t="str">
        <f t="shared" si="84"/>
        <v>No</v>
      </c>
      <c r="AF801" t="str">
        <f t="shared" si="85"/>
        <v>High</v>
      </c>
      <c r="AG801" t="str">
        <f t="shared" si="86"/>
        <v>Yes</v>
      </c>
      <c r="AH801" t="str">
        <f t="shared" si="87"/>
        <v>Asked Colleague</v>
      </c>
      <c r="AJ801" t="str">
        <f t="shared" si="88"/>
        <v>Moderate Trust</v>
      </c>
      <c r="AL801">
        <f t="shared" si="89"/>
        <v>60.6</v>
      </c>
      <c r="AM801" t="str">
        <f t="shared" si="90"/>
        <v>Masters</v>
      </c>
    </row>
    <row r="802" spans="1:39" x14ac:dyDescent="0.25">
      <c r="A802" t="s">
        <v>32</v>
      </c>
      <c r="B802" t="s">
        <v>60</v>
      </c>
      <c r="C802">
        <v>49.06</v>
      </c>
      <c r="D802">
        <v>784</v>
      </c>
      <c r="E802" t="b">
        <v>1</v>
      </c>
      <c r="F802" t="b">
        <v>0</v>
      </c>
      <c r="G802" t="b">
        <v>0</v>
      </c>
      <c r="H802" t="s">
        <v>43</v>
      </c>
      <c r="I802" t="s">
        <v>57</v>
      </c>
      <c r="J802" t="s">
        <v>27</v>
      </c>
      <c r="K802" t="s">
        <v>46</v>
      </c>
      <c r="L802" t="s">
        <v>38</v>
      </c>
      <c r="M802" t="s">
        <v>47</v>
      </c>
      <c r="P802" t="b">
        <v>0</v>
      </c>
      <c r="Q802">
        <v>6.1</v>
      </c>
      <c r="R802" t="b">
        <v>1</v>
      </c>
      <c r="S802" t="s">
        <v>48</v>
      </c>
      <c r="T802">
        <v>2.6</v>
      </c>
      <c r="U802">
        <v>44.56</v>
      </c>
      <c r="V802" t="b">
        <v>1</v>
      </c>
      <c r="W802" t="s">
        <v>41</v>
      </c>
      <c r="AE802" t="str">
        <f t="shared" si="84"/>
        <v>No</v>
      </c>
      <c r="AF802" t="str">
        <f t="shared" si="85"/>
        <v>Unknown</v>
      </c>
      <c r="AG802" t="str">
        <f t="shared" si="86"/>
        <v>No</v>
      </c>
      <c r="AH802" t="str">
        <f t="shared" si="87"/>
        <v>Consulted Documentation</v>
      </c>
      <c r="AJ802" t="str">
        <f t="shared" si="88"/>
        <v>Moderate Trust</v>
      </c>
      <c r="AL802">
        <f t="shared" si="89"/>
        <v>44.6</v>
      </c>
      <c r="AM802" t="str">
        <f t="shared" si="90"/>
        <v>Bachelors</v>
      </c>
    </row>
    <row r="803" spans="1:39" x14ac:dyDescent="0.25">
      <c r="A803" t="s">
        <v>61</v>
      </c>
      <c r="B803" t="s">
        <v>62</v>
      </c>
      <c r="C803">
        <v>55.37</v>
      </c>
      <c r="D803">
        <v>244</v>
      </c>
      <c r="E803" t="b">
        <v>1</v>
      </c>
      <c r="F803" t="b">
        <v>1</v>
      </c>
      <c r="G803" t="b">
        <v>1</v>
      </c>
      <c r="H803" t="s">
        <v>53</v>
      </c>
      <c r="I803" t="s">
        <v>44</v>
      </c>
      <c r="J803" t="s">
        <v>27</v>
      </c>
      <c r="K803" t="s">
        <v>39</v>
      </c>
      <c r="L803" t="s">
        <v>69</v>
      </c>
      <c r="M803" t="s">
        <v>46</v>
      </c>
      <c r="N803" t="s">
        <v>46</v>
      </c>
      <c r="P803" t="b">
        <v>0</v>
      </c>
      <c r="Q803">
        <v>7</v>
      </c>
      <c r="R803" t="b">
        <v>1</v>
      </c>
      <c r="S803" t="s">
        <v>40</v>
      </c>
      <c r="T803">
        <v>3.6</v>
      </c>
      <c r="U803">
        <v>68.78</v>
      </c>
      <c r="V803" t="b">
        <v>1</v>
      </c>
      <c r="W803" t="s">
        <v>41</v>
      </c>
      <c r="AE803" t="str">
        <f t="shared" si="84"/>
        <v>Yes</v>
      </c>
      <c r="AF803" t="str">
        <f t="shared" si="85"/>
        <v>Medium</v>
      </c>
      <c r="AG803" t="str">
        <f t="shared" si="86"/>
        <v>No</v>
      </c>
      <c r="AH803" t="str">
        <f t="shared" si="87"/>
        <v>Asked Expert</v>
      </c>
      <c r="AJ803" t="str">
        <f t="shared" si="88"/>
        <v>Moderate Trust</v>
      </c>
      <c r="AL803">
        <f t="shared" si="89"/>
        <v>68.8</v>
      </c>
      <c r="AM803" t="str">
        <f t="shared" si="90"/>
        <v>Bachelors</v>
      </c>
    </row>
    <row r="804" spans="1:39" x14ac:dyDescent="0.25">
      <c r="A804" t="s">
        <v>61</v>
      </c>
      <c r="B804" t="s">
        <v>76</v>
      </c>
      <c r="C804">
        <v>72.05</v>
      </c>
      <c r="D804">
        <v>635</v>
      </c>
      <c r="E804" t="b">
        <v>1</v>
      </c>
      <c r="F804" t="b">
        <v>1</v>
      </c>
      <c r="G804" t="b">
        <v>0</v>
      </c>
      <c r="H804" t="s">
        <v>25</v>
      </c>
      <c r="I804" t="s">
        <v>26</v>
      </c>
      <c r="J804" t="s">
        <v>50</v>
      </c>
      <c r="K804" t="s">
        <v>39</v>
      </c>
      <c r="L804" t="s">
        <v>37</v>
      </c>
      <c r="M804" t="s">
        <v>39</v>
      </c>
      <c r="N804" t="s">
        <v>39</v>
      </c>
      <c r="O804" t="b">
        <v>0</v>
      </c>
      <c r="P804" t="b">
        <v>1</v>
      </c>
      <c r="Q804">
        <v>6.7</v>
      </c>
      <c r="R804" t="b">
        <v>1</v>
      </c>
      <c r="S804" t="s">
        <v>30</v>
      </c>
      <c r="T804">
        <v>38.4</v>
      </c>
      <c r="U804">
        <v>65.319999999999993</v>
      </c>
      <c r="V804" t="b">
        <v>1</v>
      </c>
      <c r="W804" t="s">
        <v>41</v>
      </c>
      <c r="AE804" t="str">
        <f t="shared" si="84"/>
        <v>Yes</v>
      </c>
      <c r="AF804" t="str">
        <f t="shared" si="85"/>
        <v>High</v>
      </c>
      <c r="AG804" t="str">
        <f t="shared" si="86"/>
        <v>No</v>
      </c>
      <c r="AH804" t="str">
        <f t="shared" si="87"/>
        <v>Google Search</v>
      </c>
      <c r="AJ804" t="str">
        <f t="shared" si="88"/>
        <v>Moderate Trust</v>
      </c>
      <c r="AL804">
        <f t="shared" si="89"/>
        <v>65.3</v>
      </c>
      <c r="AM804" t="str">
        <f t="shared" si="90"/>
        <v>Professional</v>
      </c>
    </row>
    <row r="805" spans="1:39" x14ac:dyDescent="0.25">
      <c r="A805" t="s">
        <v>74</v>
      </c>
      <c r="B805" t="s">
        <v>66</v>
      </c>
      <c r="C805">
        <v>60.46</v>
      </c>
      <c r="D805">
        <v>268</v>
      </c>
      <c r="E805" t="b">
        <v>1</v>
      </c>
      <c r="F805" t="b">
        <v>1</v>
      </c>
      <c r="G805" t="b">
        <v>0</v>
      </c>
      <c r="H805" t="s">
        <v>53</v>
      </c>
      <c r="I805" t="s">
        <v>67</v>
      </c>
      <c r="J805" t="s">
        <v>36</v>
      </c>
      <c r="K805" t="s">
        <v>46</v>
      </c>
      <c r="L805" t="s">
        <v>37</v>
      </c>
      <c r="M805" t="s">
        <v>46</v>
      </c>
      <c r="N805" t="s">
        <v>28</v>
      </c>
      <c r="P805" t="b">
        <v>0</v>
      </c>
      <c r="Q805">
        <v>6.9</v>
      </c>
      <c r="R805" t="b">
        <v>1</v>
      </c>
      <c r="S805" t="s">
        <v>75</v>
      </c>
      <c r="T805">
        <v>9.1</v>
      </c>
      <c r="U805">
        <v>37.409999999999997</v>
      </c>
      <c r="V805" t="b">
        <v>0</v>
      </c>
      <c r="W805" t="s">
        <v>41</v>
      </c>
      <c r="AE805" t="str">
        <f t="shared" si="84"/>
        <v>Yes</v>
      </c>
      <c r="AF805" t="str">
        <f t="shared" si="85"/>
        <v>Low</v>
      </c>
      <c r="AG805" t="str">
        <f t="shared" si="86"/>
        <v>No</v>
      </c>
      <c r="AH805" t="str">
        <f t="shared" si="87"/>
        <v>Asked Colleague</v>
      </c>
      <c r="AJ805" t="str">
        <f t="shared" si="88"/>
        <v>Moderate Trust</v>
      </c>
      <c r="AL805">
        <f t="shared" si="89"/>
        <v>37.4</v>
      </c>
      <c r="AM805" t="str">
        <f t="shared" si="90"/>
        <v>PhD</v>
      </c>
    </row>
    <row r="806" spans="1:39" x14ac:dyDescent="0.25">
      <c r="A806" t="s">
        <v>68</v>
      </c>
      <c r="B806" t="s">
        <v>66</v>
      </c>
      <c r="C806">
        <v>64.58</v>
      </c>
      <c r="D806">
        <v>608</v>
      </c>
      <c r="E806" t="b">
        <v>0</v>
      </c>
      <c r="F806" t="b">
        <v>1</v>
      </c>
      <c r="G806" t="b">
        <v>0</v>
      </c>
      <c r="H806" t="s">
        <v>34</v>
      </c>
      <c r="I806" t="s">
        <v>57</v>
      </c>
      <c r="J806" t="s">
        <v>27</v>
      </c>
      <c r="K806" t="s">
        <v>37</v>
      </c>
      <c r="L806" t="s">
        <v>37</v>
      </c>
      <c r="M806" t="s">
        <v>39</v>
      </c>
      <c r="N806" t="s">
        <v>46</v>
      </c>
      <c r="O806" t="b">
        <v>1</v>
      </c>
      <c r="P806" t="b">
        <v>1</v>
      </c>
      <c r="Q806">
        <v>6.6</v>
      </c>
      <c r="R806" t="b">
        <v>1</v>
      </c>
      <c r="S806" t="s">
        <v>75</v>
      </c>
      <c r="T806">
        <v>7.1</v>
      </c>
      <c r="U806">
        <v>65.069999999999993</v>
      </c>
      <c r="V806" t="b">
        <v>1</v>
      </c>
      <c r="W806" t="s">
        <v>41</v>
      </c>
      <c r="AE806" t="str">
        <f t="shared" si="84"/>
        <v>Yes</v>
      </c>
      <c r="AF806" t="str">
        <f t="shared" si="85"/>
        <v>Medium</v>
      </c>
      <c r="AG806" t="str">
        <f t="shared" si="86"/>
        <v>Yes</v>
      </c>
      <c r="AH806" t="str">
        <f t="shared" si="87"/>
        <v>Asked Colleague</v>
      </c>
      <c r="AJ806" t="str">
        <f t="shared" si="88"/>
        <v>Low Trust</v>
      </c>
      <c r="AL806">
        <f t="shared" si="89"/>
        <v>65.099999999999994</v>
      </c>
      <c r="AM806" t="str">
        <f t="shared" si="90"/>
        <v>Bachelors</v>
      </c>
    </row>
    <row r="807" spans="1:39" x14ac:dyDescent="0.25">
      <c r="A807" t="s">
        <v>74</v>
      </c>
      <c r="B807" t="s">
        <v>71</v>
      </c>
      <c r="C807">
        <v>44.61</v>
      </c>
      <c r="D807">
        <v>604</v>
      </c>
      <c r="E807" t="b">
        <v>0</v>
      </c>
      <c r="F807" t="b">
        <v>1</v>
      </c>
      <c r="G807" t="b">
        <v>0</v>
      </c>
      <c r="H807" t="s">
        <v>25</v>
      </c>
      <c r="I807" t="s">
        <v>44</v>
      </c>
      <c r="J807" t="s">
        <v>27</v>
      </c>
      <c r="K807" t="s">
        <v>39</v>
      </c>
      <c r="L807" t="s">
        <v>69</v>
      </c>
      <c r="M807" t="s">
        <v>46</v>
      </c>
      <c r="N807" t="s">
        <v>39</v>
      </c>
      <c r="O807" t="b">
        <v>0</v>
      </c>
      <c r="P807" t="b">
        <v>0</v>
      </c>
      <c r="Q807">
        <v>3.7</v>
      </c>
      <c r="R807" t="b">
        <v>0</v>
      </c>
      <c r="T807">
        <v>0</v>
      </c>
      <c r="U807">
        <v>45.31</v>
      </c>
      <c r="V807" t="b">
        <v>1</v>
      </c>
      <c r="W807" t="s">
        <v>41</v>
      </c>
      <c r="AE807" t="str">
        <f t="shared" si="84"/>
        <v>Yes</v>
      </c>
      <c r="AF807" t="str">
        <f t="shared" si="85"/>
        <v>High</v>
      </c>
      <c r="AG807" t="str">
        <f t="shared" si="86"/>
        <v>No</v>
      </c>
      <c r="AH807" t="str">
        <f t="shared" si="87"/>
        <v>Unknown</v>
      </c>
      <c r="AJ807" t="str">
        <f t="shared" si="88"/>
        <v>Moderate Trust</v>
      </c>
      <c r="AL807">
        <f t="shared" si="89"/>
        <v>45.3</v>
      </c>
      <c r="AM807" t="str">
        <f t="shared" si="90"/>
        <v>Bachelors</v>
      </c>
    </row>
    <row r="808" spans="1:39" x14ac:dyDescent="0.25">
      <c r="A808" t="s">
        <v>68</v>
      </c>
      <c r="B808" t="s">
        <v>76</v>
      </c>
      <c r="C808">
        <v>82.35</v>
      </c>
      <c r="D808">
        <v>115</v>
      </c>
      <c r="E808" t="b">
        <v>1</v>
      </c>
      <c r="F808" t="b">
        <v>1</v>
      </c>
      <c r="G808" t="b">
        <v>0</v>
      </c>
      <c r="H808" t="s">
        <v>53</v>
      </c>
      <c r="I808" t="s">
        <v>63</v>
      </c>
      <c r="J808" t="s">
        <v>36</v>
      </c>
      <c r="K808" t="s">
        <v>39</v>
      </c>
      <c r="L808" t="s">
        <v>38</v>
      </c>
      <c r="M808" t="s">
        <v>46</v>
      </c>
      <c r="N808" t="s">
        <v>46</v>
      </c>
      <c r="O808" t="b">
        <v>1</v>
      </c>
      <c r="P808" t="b">
        <v>1</v>
      </c>
      <c r="Q808">
        <v>9.9</v>
      </c>
      <c r="R808" t="b">
        <v>1</v>
      </c>
      <c r="S808" t="s">
        <v>48</v>
      </c>
      <c r="T808">
        <v>38</v>
      </c>
      <c r="U808">
        <v>90.81</v>
      </c>
      <c r="V808" t="b">
        <v>1</v>
      </c>
      <c r="W808" t="s">
        <v>31</v>
      </c>
      <c r="AE808" t="str">
        <f t="shared" si="84"/>
        <v>Yes</v>
      </c>
      <c r="AF808" t="str">
        <f t="shared" si="85"/>
        <v>Medium</v>
      </c>
      <c r="AG808" t="str">
        <f t="shared" si="86"/>
        <v>Yes</v>
      </c>
      <c r="AH808" t="str">
        <f t="shared" si="87"/>
        <v>Consulted Documentation</v>
      </c>
      <c r="AJ808" t="str">
        <f t="shared" si="88"/>
        <v>High Trust</v>
      </c>
      <c r="AL808">
        <f t="shared" si="89"/>
        <v>90.8</v>
      </c>
      <c r="AM808" t="str">
        <f t="shared" si="90"/>
        <v>PhD</v>
      </c>
    </row>
    <row r="809" spans="1:39" x14ac:dyDescent="0.25">
      <c r="A809" t="s">
        <v>61</v>
      </c>
      <c r="B809" t="s">
        <v>66</v>
      </c>
      <c r="C809">
        <v>75.790000000000006</v>
      </c>
      <c r="D809">
        <v>116</v>
      </c>
      <c r="E809" t="b">
        <v>0</v>
      </c>
      <c r="F809" t="b">
        <v>1</v>
      </c>
      <c r="G809" t="b">
        <v>0</v>
      </c>
      <c r="H809" t="s">
        <v>34</v>
      </c>
      <c r="I809" t="s">
        <v>35</v>
      </c>
      <c r="J809" t="s">
        <v>50</v>
      </c>
      <c r="K809" t="s">
        <v>39</v>
      </c>
      <c r="L809" t="s">
        <v>29</v>
      </c>
      <c r="M809" t="s">
        <v>39</v>
      </c>
      <c r="N809" t="s">
        <v>28</v>
      </c>
      <c r="P809" t="b">
        <v>1</v>
      </c>
      <c r="Q809">
        <v>6.6</v>
      </c>
      <c r="R809" t="b">
        <v>0</v>
      </c>
      <c r="T809">
        <v>0</v>
      </c>
      <c r="U809">
        <v>62.75</v>
      </c>
      <c r="V809" t="b">
        <v>1</v>
      </c>
      <c r="W809" t="s">
        <v>31</v>
      </c>
      <c r="AE809" t="str">
        <f t="shared" si="84"/>
        <v>Yes</v>
      </c>
      <c r="AF809" t="str">
        <f t="shared" si="85"/>
        <v>Low</v>
      </c>
      <c r="AG809" t="str">
        <f t="shared" si="86"/>
        <v>No</v>
      </c>
      <c r="AH809" t="str">
        <f t="shared" si="87"/>
        <v>Unknown</v>
      </c>
      <c r="AJ809" t="str">
        <f t="shared" si="88"/>
        <v>Low Trust</v>
      </c>
      <c r="AL809">
        <f t="shared" si="89"/>
        <v>62.8</v>
      </c>
      <c r="AM809" t="str">
        <f t="shared" si="90"/>
        <v>Professional</v>
      </c>
    </row>
    <row r="810" spans="1:39" x14ac:dyDescent="0.25">
      <c r="A810" t="s">
        <v>68</v>
      </c>
      <c r="B810" t="s">
        <v>71</v>
      </c>
      <c r="C810">
        <v>42.38</v>
      </c>
      <c r="D810">
        <v>784</v>
      </c>
      <c r="E810" t="b">
        <v>0</v>
      </c>
      <c r="F810" t="b">
        <v>1</v>
      </c>
      <c r="G810" t="b">
        <v>0</v>
      </c>
      <c r="H810" t="s">
        <v>25</v>
      </c>
      <c r="I810" t="s">
        <v>26</v>
      </c>
      <c r="J810" t="s">
        <v>50</v>
      </c>
      <c r="K810" t="s">
        <v>46</v>
      </c>
      <c r="L810" t="s">
        <v>51</v>
      </c>
      <c r="M810" t="s">
        <v>46</v>
      </c>
      <c r="N810" t="s">
        <v>28</v>
      </c>
      <c r="O810" t="b">
        <v>0</v>
      </c>
      <c r="P810" t="b">
        <v>0</v>
      </c>
      <c r="Q810">
        <v>3.6</v>
      </c>
      <c r="R810" t="b">
        <v>1</v>
      </c>
      <c r="S810" t="s">
        <v>75</v>
      </c>
      <c r="T810">
        <v>21.3</v>
      </c>
      <c r="U810">
        <v>25.28</v>
      </c>
      <c r="V810" t="b">
        <v>1</v>
      </c>
      <c r="W810" t="s">
        <v>72</v>
      </c>
      <c r="AE810" t="str">
        <f t="shared" si="84"/>
        <v>Yes</v>
      </c>
      <c r="AF810" t="str">
        <f t="shared" si="85"/>
        <v>Low</v>
      </c>
      <c r="AG810" t="str">
        <f t="shared" si="86"/>
        <v>No</v>
      </c>
      <c r="AH810" t="str">
        <f t="shared" si="87"/>
        <v>Asked Colleague</v>
      </c>
      <c r="AJ810" t="str">
        <f t="shared" si="88"/>
        <v>Moderate Trust</v>
      </c>
      <c r="AL810">
        <f t="shared" si="89"/>
        <v>25.3</v>
      </c>
      <c r="AM810" t="str">
        <f t="shared" si="90"/>
        <v>Professional</v>
      </c>
    </row>
    <row r="811" spans="1:39" x14ac:dyDescent="0.25">
      <c r="A811" t="s">
        <v>32</v>
      </c>
      <c r="B811" t="s">
        <v>49</v>
      </c>
      <c r="C811">
        <v>69.31</v>
      </c>
      <c r="D811">
        <v>389</v>
      </c>
      <c r="E811" t="b">
        <v>1</v>
      </c>
      <c r="F811" t="b">
        <v>0</v>
      </c>
      <c r="G811" t="b">
        <v>0</v>
      </c>
      <c r="H811" t="s">
        <v>25</v>
      </c>
      <c r="I811" t="s">
        <v>44</v>
      </c>
      <c r="J811" t="s">
        <v>36</v>
      </c>
      <c r="K811" t="s">
        <v>46</v>
      </c>
      <c r="L811" t="s">
        <v>37</v>
      </c>
      <c r="M811" t="s">
        <v>47</v>
      </c>
      <c r="N811" t="s">
        <v>39</v>
      </c>
      <c r="O811" t="b">
        <v>1</v>
      </c>
      <c r="P811" t="b">
        <v>0</v>
      </c>
      <c r="Q811">
        <v>8.8000000000000007</v>
      </c>
      <c r="R811" t="b">
        <v>1</v>
      </c>
      <c r="S811" t="s">
        <v>65</v>
      </c>
      <c r="T811">
        <v>9.1</v>
      </c>
      <c r="U811">
        <v>82.32</v>
      </c>
      <c r="V811" t="b">
        <v>1</v>
      </c>
      <c r="W811" t="s">
        <v>31</v>
      </c>
      <c r="AE811" t="str">
        <f t="shared" si="84"/>
        <v>No</v>
      </c>
      <c r="AF811" t="str">
        <f t="shared" si="85"/>
        <v>High</v>
      </c>
      <c r="AG811" t="str">
        <f t="shared" si="86"/>
        <v>Yes</v>
      </c>
      <c r="AH811" t="str">
        <f t="shared" si="87"/>
        <v>Cross-referenced Multiple AIs</v>
      </c>
      <c r="AJ811" t="str">
        <f t="shared" si="88"/>
        <v>High Trust</v>
      </c>
      <c r="AL811">
        <f t="shared" si="89"/>
        <v>82.3</v>
      </c>
      <c r="AM811" t="str">
        <f t="shared" si="90"/>
        <v>PhD</v>
      </c>
    </row>
    <row r="812" spans="1:39" x14ac:dyDescent="0.25">
      <c r="A812" t="s">
        <v>56</v>
      </c>
      <c r="B812" t="s">
        <v>33</v>
      </c>
      <c r="C812">
        <v>82.59</v>
      </c>
      <c r="D812">
        <v>372</v>
      </c>
      <c r="E812" t="b">
        <v>0</v>
      </c>
      <c r="F812" t="b">
        <v>1</v>
      </c>
      <c r="G812" t="b">
        <v>0</v>
      </c>
      <c r="H812" t="s">
        <v>43</v>
      </c>
      <c r="I812" t="s">
        <v>35</v>
      </c>
      <c r="J812" t="s">
        <v>27</v>
      </c>
      <c r="K812" t="s">
        <v>28</v>
      </c>
      <c r="L812" t="s">
        <v>51</v>
      </c>
      <c r="M812" t="s">
        <v>47</v>
      </c>
      <c r="N812" t="s">
        <v>46</v>
      </c>
      <c r="O812" t="b">
        <v>1</v>
      </c>
      <c r="P812" t="b">
        <v>1</v>
      </c>
      <c r="Q812">
        <v>8.9</v>
      </c>
      <c r="R812" t="b">
        <v>0</v>
      </c>
      <c r="T812">
        <v>0</v>
      </c>
      <c r="U812">
        <v>77.599999999999994</v>
      </c>
      <c r="V812" t="b">
        <v>1</v>
      </c>
      <c r="W812" t="s">
        <v>58</v>
      </c>
      <c r="AE812" t="str">
        <f t="shared" si="84"/>
        <v>Yes</v>
      </c>
      <c r="AF812" t="str">
        <f t="shared" si="85"/>
        <v>Medium</v>
      </c>
      <c r="AG812" t="str">
        <f t="shared" si="86"/>
        <v>Yes</v>
      </c>
      <c r="AH812" t="str">
        <f t="shared" si="87"/>
        <v>Unknown</v>
      </c>
      <c r="AJ812" t="str">
        <f t="shared" si="88"/>
        <v>High Trust</v>
      </c>
      <c r="AL812">
        <f t="shared" si="89"/>
        <v>77.599999999999994</v>
      </c>
      <c r="AM812" t="str">
        <f t="shared" si="90"/>
        <v>Bachelors</v>
      </c>
    </row>
    <row r="813" spans="1:39" x14ac:dyDescent="0.25">
      <c r="A813" t="s">
        <v>74</v>
      </c>
      <c r="B813" t="s">
        <v>33</v>
      </c>
      <c r="C813">
        <v>76.8</v>
      </c>
      <c r="D813">
        <v>535</v>
      </c>
      <c r="E813" t="b">
        <v>0</v>
      </c>
      <c r="F813" t="b">
        <v>0</v>
      </c>
      <c r="G813" t="b">
        <v>1</v>
      </c>
      <c r="H813" t="s">
        <v>43</v>
      </c>
      <c r="I813" t="s">
        <v>35</v>
      </c>
      <c r="J813" t="s">
        <v>27</v>
      </c>
      <c r="K813" t="s">
        <v>46</v>
      </c>
      <c r="L813" t="s">
        <v>29</v>
      </c>
      <c r="M813" t="s">
        <v>28</v>
      </c>
      <c r="N813" t="s">
        <v>28</v>
      </c>
      <c r="O813" t="b">
        <v>0</v>
      </c>
      <c r="P813" t="b">
        <v>1</v>
      </c>
      <c r="Q813">
        <v>7.6</v>
      </c>
      <c r="R813" t="b">
        <v>0</v>
      </c>
      <c r="T813">
        <v>0</v>
      </c>
      <c r="U813">
        <v>82.67</v>
      </c>
      <c r="V813" t="b">
        <v>1</v>
      </c>
      <c r="W813" t="s">
        <v>31</v>
      </c>
      <c r="AE813" t="str">
        <f t="shared" si="84"/>
        <v>No</v>
      </c>
      <c r="AF813" t="str">
        <f t="shared" si="85"/>
        <v>Low</v>
      </c>
      <c r="AG813" t="str">
        <f t="shared" si="86"/>
        <v>No</v>
      </c>
      <c r="AH813" t="str">
        <f t="shared" si="87"/>
        <v>Unknown</v>
      </c>
      <c r="AJ813" t="str">
        <f t="shared" si="88"/>
        <v>Moderate Trust</v>
      </c>
      <c r="AL813">
        <f t="shared" si="89"/>
        <v>82.7</v>
      </c>
      <c r="AM813" t="str">
        <f t="shared" si="90"/>
        <v>Bachelors</v>
      </c>
    </row>
    <row r="814" spans="1:39" x14ac:dyDescent="0.25">
      <c r="A814" t="s">
        <v>61</v>
      </c>
      <c r="B814" t="s">
        <v>71</v>
      </c>
      <c r="C814">
        <v>48.8</v>
      </c>
      <c r="D814">
        <v>678</v>
      </c>
      <c r="E814" t="b">
        <v>1</v>
      </c>
      <c r="F814" t="b">
        <v>0</v>
      </c>
      <c r="G814" t="b">
        <v>1</v>
      </c>
      <c r="H814" t="s">
        <v>25</v>
      </c>
      <c r="I814" t="s">
        <v>44</v>
      </c>
      <c r="J814" t="s">
        <v>54</v>
      </c>
      <c r="K814" t="s">
        <v>46</v>
      </c>
      <c r="L814" t="s">
        <v>29</v>
      </c>
      <c r="M814" t="s">
        <v>46</v>
      </c>
      <c r="N814" t="s">
        <v>46</v>
      </c>
      <c r="P814" t="b">
        <v>1</v>
      </c>
      <c r="Q814">
        <v>6.3</v>
      </c>
      <c r="R814" t="b">
        <v>1</v>
      </c>
      <c r="S814" t="s">
        <v>40</v>
      </c>
      <c r="T814">
        <v>40.1</v>
      </c>
      <c r="U814">
        <v>53.4</v>
      </c>
      <c r="V814" t="b">
        <v>1</v>
      </c>
      <c r="W814" t="s">
        <v>41</v>
      </c>
      <c r="AE814" t="str">
        <f t="shared" si="84"/>
        <v>No</v>
      </c>
      <c r="AF814" t="str">
        <f t="shared" si="85"/>
        <v>Medium</v>
      </c>
      <c r="AG814" t="str">
        <f t="shared" si="86"/>
        <v>No</v>
      </c>
      <c r="AH814" t="str">
        <f t="shared" si="87"/>
        <v>Asked Expert</v>
      </c>
      <c r="AJ814" t="str">
        <f t="shared" si="88"/>
        <v>Moderate Trust</v>
      </c>
      <c r="AL814">
        <f t="shared" si="89"/>
        <v>53.4</v>
      </c>
      <c r="AM814" t="str">
        <f t="shared" si="90"/>
        <v>Masters</v>
      </c>
    </row>
    <row r="815" spans="1:39" x14ac:dyDescent="0.25">
      <c r="A815" t="s">
        <v>56</v>
      </c>
      <c r="B815" t="s">
        <v>24</v>
      </c>
      <c r="C815">
        <v>95.04</v>
      </c>
      <c r="D815">
        <v>553</v>
      </c>
      <c r="E815" t="b">
        <v>0</v>
      </c>
      <c r="F815" t="b">
        <v>1</v>
      </c>
      <c r="G815" t="b">
        <v>1</v>
      </c>
      <c r="H815" t="s">
        <v>43</v>
      </c>
      <c r="I815" t="s">
        <v>44</v>
      </c>
      <c r="J815" t="s">
        <v>50</v>
      </c>
      <c r="K815" t="s">
        <v>28</v>
      </c>
      <c r="L815" t="s">
        <v>51</v>
      </c>
      <c r="M815" t="s">
        <v>39</v>
      </c>
      <c r="N815" t="s">
        <v>39</v>
      </c>
      <c r="O815" t="b">
        <v>1</v>
      </c>
      <c r="P815" t="b">
        <v>0</v>
      </c>
      <c r="Q815">
        <v>10</v>
      </c>
      <c r="R815" t="b">
        <v>0</v>
      </c>
      <c r="T815">
        <v>0</v>
      </c>
      <c r="U815">
        <v>94.98</v>
      </c>
      <c r="V815" t="b">
        <v>1</v>
      </c>
      <c r="W815" t="s">
        <v>58</v>
      </c>
      <c r="AE815" t="str">
        <f t="shared" si="84"/>
        <v>Yes</v>
      </c>
      <c r="AF815" t="str">
        <f t="shared" si="85"/>
        <v>High</v>
      </c>
      <c r="AG815" t="str">
        <f t="shared" si="86"/>
        <v>Yes</v>
      </c>
      <c r="AH815" t="str">
        <f t="shared" si="87"/>
        <v>Unknown</v>
      </c>
      <c r="AJ815" t="str">
        <f t="shared" si="88"/>
        <v>High Trust</v>
      </c>
      <c r="AL815">
        <f t="shared" si="89"/>
        <v>95</v>
      </c>
      <c r="AM815" t="str">
        <f t="shared" si="90"/>
        <v>Professional</v>
      </c>
    </row>
    <row r="816" spans="1:39" x14ac:dyDescent="0.25">
      <c r="A816" t="s">
        <v>23</v>
      </c>
      <c r="B816" t="s">
        <v>42</v>
      </c>
      <c r="C816">
        <v>66.650000000000006</v>
      </c>
      <c r="D816">
        <v>171</v>
      </c>
      <c r="E816" t="b">
        <v>1</v>
      </c>
      <c r="F816" t="b">
        <v>1</v>
      </c>
      <c r="G816" t="b">
        <v>0</v>
      </c>
      <c r="H816" t="s">
        <v>25</v>
      </c>
      <c r="I816" t="s">
        <v>35</v>
      </c>
      <c r="J816" t="s">
        <v>50</v>
      </c>
      <c r="K816" t="s">
        <v>28</v>
      </c>
      <c r="L816" t="s">
        <v>38</v>
      </c>
      <c r="M816" t="s">
        <v>39</v>
      </c>
      <c r="N816" t="s">
        <v>28</v>
      </c>
      <c r="P816" t="b">
        <v>1</v>
      </c>
      <c r="Q816">
        <v>8.3000000000000007</v>
      </c>
      <c r="R816" t="b">
        <v>1</v>
      </c>
      <c r="S816" t="s">
        <v>75</v>
      </c>
      <c r="T816">
        <v>23.5</v>
      </c>
      <c r="U816">
        <v>58.86</v>
      </c>
      <c r="V816" t="b">
        <v>0</v>
      </c>
      <c r="W816" t="s">
        <v>31</v>
      </c>
      <c r="AE816" t="str">
        <f t="shared" si="84"/>
        <v>Yes</v>
      </c>
      <c r="AF816" t="str">
        <f t="shared" si="85"/>
        <v>Low</v>
      </c>
      <c r="AG816" t="str">
        <f t="shared" si="86"/>
        <v>No</v>
      </c>
      <c r="AH816" t="str">
        <f t="shared" si="87"/>
        <v>Asked Colleague</v>
      </c>
      <c r="AJ816" t="str">
        <f t="shared" si="88"/>
        <v>High Trust</v>
      </c>
      <c r="AL816">
        <f t="shared" si="89"/>
        <v>58.9</v>
      </c>
      <c r="AM816" t="str">
        <f t="shared" si="90"/>
        <v>Professional</v>
      </c>
    </row>
    <row r="817" spans="1:39" x14ac:dyDescent="0.25">
      <c r="A817" t="s">
        <v>32</v>
      </c>
      <c r="B817" t="s">
        <v>59</v>
      </c>
      <c r="C817">
        <v>75.930000000000007</v>
      </c>
      <c r="D817">
        <v>774</v>
      </c>
      <c r="E817" t="b">
        <v>0</v>
      </c>
      <c r="F817" t="b">
        <v>1</v>
      </c>
      <c r="G817" t="b">
        <v>1</v>
      </c>
      <c r="H817" t="s">
        <v>53</v>
      </c>
      <c r="I817" t="s">
        <v>57</v>
      </c>
      <c r="J817" t="s">
        <v>45</v>
      </c>
      <c r="K817" t="s">
        <v>37</v>
      </c>
      <c r="L817" t="s">
        <v>51</v>
      </c>
      <c r="M817" t="s">
        <v>28</v>
      </c>
      <c r="N817" t="s">
        <v>46</v>
      </c>
      <c r="O817" t="b">
        <v>1</v>
      </c>
      <c r="P817" t="b">
        <v>0</v>
      </c>
      <c r="Q817">
        <v>9.3000000000000007</v>
      </c>
      <c r="R817" t="b">
        <v>0</v>
      </c>
      <c r="T817">
        <v>0</v>
      </c>
      <c r="U817">
        <v>63.94</v>
      </c>
      <c r="V817" t="b">
        <v>0</v>
      </c>
      <c r="W817" t="s">
        <v>58</v>
      </c>
      <c r="AE817" t="str">
        <f t="shared" si="84"/>
        <v>Yes</v>
      </c>
      <c r="AF817" t="str">
        <f t="shared" si="85"/>
        <v>Medium</v>
      </c>
      <c r="AG817" t="str">
        <f t="shared" si="86"/>
        <v>Yes</v>
      </c>
      <c r="AH817" t="str">
        <f t="shared" si="87"/>
        <v>Unknown</v>
      </c>
      <c r="AJ817" t="str">
        <f t="shared" si="88"/>
        <v>High Trust</v>
      </c>
      <c r="AL817">
        <f t="shared" si="89"/>
        <v>63.9</v>
      </c>
      <c r="AM817" t="str">
        <f t="shared" si="90"/>
        <v>High School</v>
      </c>
    </row>
    <row r="818" spans="1:39" x14ac:dyDescent="0.25">
      <c r="A818" t="s">
        <v>61</v>
      </c>
      <c r="B818" t="s">
        <v>76</v>
      </c>
      <c r="C818">
        <v>75.69</v>
      </c>
      <c r="D818">
        <v>259</v>
      </c>
      <c r="E818" t="b">
        <v>0</v>
      </c>
      <c r="F818" t="b">
        <v>0</v>
      </c>
      <c r="G818" t="b">
        <v>1</v>
      </c>
      <c r="H818" t="s">
        <v>25</v>
      </c>
      <c r="I818" t="s">
        <v>44</v>
      </c>
      <c r="J818" t="s">
        <v>27</v>
      </c>
      <c r="K818" t="s">
        <v>28</v>
      </c>
      <c r="L818" t="s">
        <v>69</v>
      </c>
      <c r="M818" t="s">
        <v>47</v>
      </c>
      <c r="N818" t="s">
        <v>39</v>
      </c>
      <c r="O818" t="b">
        <v>1</v>
      </c>
      <c r="P818" t="b">
        <v>0</v>
      </c>
      <c r="Q818">
        <v>9.3000000000000007</v>
      </c>
      <c r="R818" t="b">
        <v>1</v>
      </c>
      <c r="S818" t="s">
        <v>48</v>
      </c>
      <c r="T818">
        <v>26.7</v>
      </c>
      <c r="U818">
        <v>87.9</v>
      </c>
      <c r="V818" t="b">
        <v>1</v>
      </c>
      <c r="W818" t="s">
        <v>31</v>
      </c>
      <c r="AE818" t="str">
        <f t="shared" si="84"/>
        <v>No</v>
      </c>
      <c r="AF818" t="str">
        <f t="shared" si="85"/>
        <v>High</v>
      </c>
      <c r="AG818" t="str">
        <f t="shared" si="86"/>
        <v>Yes</v>
      </c>
      <c r="AH818" t="str">
        <f t="shared" si="87"/>
        <v>Consulted Documentation</v>
      </c>
      <c r="AJ818" t="str">
        <f t="shared" si="88"/>
        <v>High Trust</v>
      </c>
      <c r="AL818">
        <f t="shared" si="89"/>
        <v>87.9</v>
      </c>
      <c r="AM818" t="str">
        <f t="shared" si="90"/>
        <v>Bachelors</v>
      </c>
    </row>
    <row r="819" spans="1:39" x14ac:dyDescent="0.25">
      <c r="A819" t="s">
        <v>23</v>
      </c>
      <c r="B819" t="s">
        <v>73</v>
      </c>
      <c r="C819">
        <v>53.8</v>
      </c>
      <c r="D819">
        <v>696</v>
      </c>
      <c r="E819" t="b">
        <v>0</v>
      </c>
      <c r="F819" t="b">
        <v>1</v>
      </c>
      <c r="G819" t="b">
        <v>1</v>
      </c>
      <c r="H819" t="s">
        <v>34</v>
      </c>
      <c r="I819" t="s">
        <v>35</v>
      </c>
      <c r="J819" t="s">
        <v>36</v>
      </c>
      <c r="K819" t="s">
        <v>39</v>
      </c>
      <c r="L819" t="s">
        <v>29</v>
      </c>
      <c r="M819" t="s">
        <v>39</v>
      </c>
      <c r="N819" t="s">
        <v>39</v>
      </c>
      <c r="O819" t="b">
        <v>1</v>
      </c>
      <c r="P819" t="b">
        <v>1</v>
      </c>
      <c r="Q819">
        <v>6.3</v>
      </c>
      <c r="R819" t="b">
        <v>1</v>
      </c>
      <c r="S819" t="s">
        <v>30</v>
      </c>
      <c r="T819">
        <v>14.7</v>
      </c>
      <c r="U819">
        <v>62.94</v>
      </c>
      <c r="V819" t="b">
        <v>1</v>
      </c>
      <c r="W819" t="s">
        <v>41</v>
      </c>
      <c r="AE819" t="str">
        <f t="shared" si="84"/>
        <v>Yes</v>
      </c>
      <c r="AF819" t="str">
        <f t="shared" si="85"/>
        <v>High</v>
      </c>
      <c r="AG819" t="str">
        <f t="shared" si="86"/>
        <v>Yes</v>
      </c>
      <c r="AH819" t="str">
        <f t="shared" si="87"/>
        <v>Google Search</v>
      </c>
      <c r="AJ819" t="str">
        <f t="shared" si="88"/>
        <v>Moderate Trust</v>
      </c>
      <c r="AL819">
        <f t="shared" si="89"/>
        <v>62.9</v>
      </c>
      <c r="AM819" t="str">
        <f t="shared" si="90"/>
        <v>PhD</v>
      </c>
    </row>
    <row r="820" spans="1:39" x14ac:dyDescent="0.25">
      <c r="A820" t="s">
        <v>61</v>
      </c>
      <c r="B820" t="s">
        <v>62</v>
      </c>
      <c r="C820">
        <v>74.25</v>
      </c>
      <c r="D820">
        <v>712</v>
      </c>
      <c r="E820" t="b">
        <v>1</v>
      </c>
      <c r="F820" t="b">
        <v>0</v>
      </c>
      <c r="G820" t="b">
        <v>1</v>
      </c>
      <c r="H820" t="s">
        <v>25</v>
      </c>
      <c r="I820" t="s">
        <v>26</v>
      </c>
      <c r="J820" t="s">
        <v>54</v>
      </c>
      <c r="K820" t="s">
        <v>28</v>
      </c>
      <c r="L820" t="s">
        <v>38</v>
      </c>
      <c r="M820" t="s">
        <v>47</v>
      </c>
      <c r="O820" t="b">
        <v>0</v>
      </c>
      <c r="P820" t="b">
        <v>1</v>
      </c>
      <c r="Q820">
        <v>8.8000000000000007</v>
      </c>
      <c r="R820" t="b">
        <v>1</v>
      </c>
      <c r="S820" t="s">
        <v>48</v>
      </c>
      <c r="T820">
        <v>15</v>
      </c>
      <c r="U820">
        <v>64.510000000000005</v>
      </c>
      <c r="V820" t="b">
        <v>0</v>
      </c>
      <c r="W820" t="s">
        <v>31</v>
      </c>
      <c r="AE820" t="str">
        <f t="shared" si="84"/>
        <v>No</v>
      </c>
      <c r="AF820" t="str">
        <f t="shared" si="85"/>
        <v>Unknown</v>
      </c>
      <c r="AG820" t="str">
        <f t="shared" si="86"/>
        <v>No</v>
      </c>
      <c r="AH820" t="str">
        <f t="shared" si="87"/>
        <v>Consulted Documentation</v>
      </c>
      <c r="AJ820" t="str">
        <f t="shared" si="88"/>
        <v>High Trust</v>
      </c>
      <c r="AL820">
        <f t="shared" si="89"/>
        <v>64.5</v>
      </c>
      <c r="AM820" t="str">
        <f t="shared" si="90"/>
        <v>Masters</v>
      </c>
    </row>
    <row r="821" spans="1:39" x14ac:dyDescent="0.25">
      <c r="A821" t="s">
        <v>74</v>
      </c>
      <c r="B821" t="s">
        <v>62</v>
      </c>
      <c r="C821">
        <v>72.53</v>
      </c>
      <c r="D821">
        <v>740</v>
      </c>
      <c r="E821" t="b">
        <v>1</v>
      </c>
      <c r="F821" t="b">
        <v>0</v>
      </c>
      <c r="G821" t="b">
        <v>0</v>
      </c>
      <c r="H821" t="s">
        <v>25</v>
      </c>
      <c r="I821" t="s">
        <v>63</v>
      </c>
      <c r="J821" t="s">
        <v>45</v>
      </c>
      <c r="K821" t="s">
        <v>46</v>
      </c>
      <c r="L821" t="s">
        <v>51</v>
      </c>
      <c r="M821" t="s">
        <v>47</v>
      </c>
      <c r="N821" t="s">
        <v>39</v>
      </c>
      <c r="P821" t="b">
        <v>1</v>
      </c>
      <c r="Q821">
        <v>7.5</v>
      </c>
      <c r="R821" t="b">
        <v>1</v>
      </c>
      <c r="S821" t="s">
        <v>55</v>
      </c>
      <c r="T821">
        <v>8.4</v>
      </c>
      <c r="U821">
        <v>65.92</v>
      </c>
      <c r="V821" t="b">
        <v>1</v>
      </c>
      <c r="W821" t="s">
        <v>41</v>
      </c>
      <c r="AE821" t="str">
        <f t="shared" si="84"/>
        <v>No</v>
      </c>
      <c r="AF821" t="str">
        <f t="shared" si="85"/>
        <v>High</v>
      </c>
      <c r="AG821" t="str">
        <f t="shared" si="86"/>
        <v>No</v>
      </c>
      <c r="AH821" t="str">
        <f t="shared" si="87"/>
        <v>Academic Paper</v>
      </c>
      <c r="AJ821" t="str">
        <f t="shared" si="88"/>
        <v>Low Trust</v>
      </c>
      <c r="AL821">
        <f t="shared" si="89"/>
        <v>65.900000000000006</v>
      </c>
      <c r="AM821" t="str">
        <f t="shared" si="90"/>
        <v>High School</v>
      </c>
    </row>
    <row r="822" spans="1:39" x14ac:dyDescent="0.25">
      <c r="A822" t="s">
        <v>68</v>
      </c>
      <c r="B822" t="s">
        <v>49</v>
      </c>
      <c r="C822">
        <v>62.4</v>
      </c>
      <c r="D822">
        <v>261</v>
      </c>
      <c r="E822" t="b">
        <v>0</v>
      </c>
      <c r="F822" t="b">
        <v>1</v>
      </c>
      <c r="G822" t="b">
        <v>0</v>
      </c>
      <c r="H822" t="s">
        <v>34</v>
      </c>
      <c r="I822" t="s">
        <v>44</v>
      </c>
      <c r="J822" t="s">
        <v>36</v>
      </c>
      <c r="K822" t="s">
        <v>37</v>
      </c>
      <c r="L822" t="s">
        <v>29</v>
      </c>
      <c r="M822" t="s">
        <v>28</v>
      </c>
      <c r="N822" t="s">
        <v>46</v>
      </c>
      <c r="O822" t="b">
        <v>0</v>
      </c>
      <c r="P822" t="b">
        <v>0</v>
      </c>
      <c r="Q822">
        <v>4.8</v>
      </c>
      <c r="R822" t="b">
        <v>1</v>
      </c>
      <c r="S822" t="s">
        <v>30</v>
      </c>
      <c r="T822">
        <v>7.3</v>
      </c>
      <c r="U822">
        <v>60.04</v>
      </c>
      <c r="V822" t="b">
        <v>1</v>
      </c>
      <c r="W822" t="s">
        <v>72</v>
      </c>
      <c r="AE822" t="str">
        <f t="shared" si="84"/>
        <v>Yes</v>
      </c>
      <c r="AF822" t="str">
        <f t="shared" si="85"/>
        <v>Medium</v>
      </c>
      <c r="AG822" t="str">
        <f t="shared" si="86"/>
        <v>No</v>
      </c>
      <c r="AH822" t="str">
        <f t="shared" si="87"/>
        <v>Google Search</v>
      </c>
      <c r="AJ822" t="str">
        <f t="shared" si="88"/>
        <v>Moderate Trust</v>
      </c>
      <c r="AL822">
        <f t="shared" si="89"/>
        <v>60</v>
      </c>
      <c r="AM822" t="str">
        <f t="shared" si="90"/>
        <v>PhD</v>
      </c>
    </row>
    <row r="823" spans="1:39" x14ac:dyDescent="0.25">
      <c r="A823" t="s">
        <v>68</v>
      </c>
      <c r="B823" t="s">
        <v>76</v>
      </c>
      <c r="C823">
        <v>89.69</v>
      </c>
      <c r="D823">
        <v>415</v>
      </c>
      <c r="E823" t="b">
        <v>1</v>
      </c>
      <c r="F823" t="b">
        <v>1</v>
      </c>
      <c r="G823" t="b">
        <v>0</v>
      </c>
      <c r="H823" t="s">
        <v>43</v>
      </c>
      <c r="I823" t="s">
        <v>35</v>
      </c>
      <c r="J823" t="s">
        <v>54</v>
      </c>
      <c r="K823" t="s">
        <v>39</v>
      </c>
      <c r="L823" t="s">
        <v>51</v>
      </c>
      <c r="M823" t="s">
        <v>46</v>
      </c>
      <c r="O823" t="b">
        <v>0</v>
      </c>
      <c r="P823" t="b">
        <v>1</v>
      </c>
      <c r="Q823">
        <v>8</v>
      </c>
      <c r="R823" t="b">
        <v>1</v>
      </c>
      <c r="S823" t="s">
        <v>64</v>
      </c>
      <c r="T823">
        <v>20.7</v>
      </c>
      <c r="U823">
        <v>90.59</v>
      </c>
      <c r="V823" t="b">
        <v>1</v>
      </c>
      <c r="W823" t="s">
        <v>31</v>
      </c>
      <c r="AE823" t="str">
        <f t="shared" si="84"/>
        <v>Yes</v>
      </c>
      <c r="AF823" t="str">
        <f t="shared" si="85"/>
        <v>Unknown</v>
      </c>
      <c r="AG823" t="str">
        <f t="shared" si="86"/>
        <v>No</v>
      </c>
      <c r="AH823" t="str">
        <f t="shared" si="87"/>
        <v>Personal Testing</v>
      </c>
      <c r="AJ823" t="str">
        <f t="shared" si="88"/>
        <v>High Trust</v>
      </c>
      <c r="AL823">
        <f t="shared" si="89"/>
        <v>90.6</v>
      </c>
      <c r="AM823" t="str">
        <f t="shared" si="90"/>
        <v>Masters</v>
      </c>
    </row>
    <row r="824" spans="1:39" x14ac:dyDescent="0.25">
      <c r="A824" t="s">
        <v>23</v>
      </c>
      <c r="B824" t="s">
        <v>62</v>
      </c>
      <c r="C824">
        <v>59.77</v>
      </c>
      <c r="D824">
        <v>622</v>
      </c>
      <c r="E824" t="b">
        <v>1</v>
      </c>
      <c r="F824" t="b">
        <v>0</v>
      </c>
      <c r="G824" t="b">
        <v>1</v>
      </c>
      <c r="H824" t="s">
        <v>34</v>
      </c>
      <c r="I824" t="s">
        <v>26</v>
      </c>
      <c r="J824" t="s">
        <v>27</v>
      </c>
      <c r="K824" t="s">
        <v>39</v>
      </c>
      <c r="L824" t="s">
        <v>69</v>
      </c>
      <c r="M824" t="s">
        <v>46</v>
      </c>
      <c r="N824" t="s">
        <v>28</v>
      </c>
      <c r="O824" t="b">
        <v>0</v>
      </c>
      <c r="P824" t="b">
        <v>0</v>
      </c>
      <c r="Q824">
        <v>6.8</v>
      </c>
      <c r="R824" t="b">
        <v>1</v>
      </c>
      <c r="S824" t="s">
        <v>64</v>
      </c>
      <c r="T824">
        <v>7.7</v>
      </c>
      <c r="U824">
        <v>72.650000000000006</v>
      </c>
      <c r="V824" t="b">
        <v>1</v>
      </c>
      <c r="W824" t="s">
        <v>41</v>
      </c>
      <c r="AE824" t="str">
        <f t="shared" si="84"/>
        <v>No</v>
      </c>
      <c r="AF824" t="str">
        <f t="shared" si="85"/>
        <v>Low</v>
      </c>
      <c r="AG824" t="str">
        <f t="shared" si="86"/>
        <v>No</v>
      </c>
      <c r="AH824" t="str">
        <f t="shared" si="87"/>
        <v>Personal Testing</v>
      </c>
      <c r="AJ824" t="str">
        <f t="shared" si="88"/>
        <v>Moderate Trust</v>
      </c>
      <c r="AL824">
        <f t="shared" si="89"/>
        <v>72.7</v>
      </c>
      <c r="AM824" t="str">
        <f t="shared" si="90"/>
        <v>Bachelors</v>
      </c>
    </row>
    <row r="825" spans="1:39" x14ac:dyDescent="0.25">
      <c r="A825" t="s">
        <v>56</v>
      </c>
      <c r="B825" t="s">
        <v>33</v>
      </c>
      <c r="C825">
        <v>85.53</v>
      </c>
      <c r="D825">
        <v>798</v>
      </c>
      <c r="E825" t="b">
        <v>0</v>
      </c>
      <c r="F825" t="b">
        <v>1</v>
      </c>
      <c r="G825" t="b">
        <v>1</v>
      </c>
      <c r="H825" t="s">
        <v>43</v>
      </c>
      <c r="I825" t="s">
        <v>35</v>
      </c>
      <c r="J825" t="s">
        <v>54</v>
      </c>
      <c r="K825" t="s">
        <v>28</v>
      </c>
      <c r="L825" t="s">
        <v>37</v>
      </c>
      <c r="M825" t="s">
        <v>28</v>
      </c>
      <c r="N825" t="s">
        <v>46</v>
      </c>
      <c r="P825" t="b">
        <v>0</v>
      </c>
      <c r="Q825">
        <v>9</v>
      </c>
      <c r="R825" t="b">
        <v>1</v>
      </c>
      <c r="S825" t="s">
        <v>52</v>
      </c>
      <c r="T825">
        <v>39.6</v>
      </c>
      <c r="U825">
        <v>73.489999999999995</v>
      </c>
      <c r="V825" t="b">
        <v>1</v>
      </c>
      <c r="W825" t="s">
        <v>31</v>
      </c>
      <c r="AE825" t="str">
        <f t="shared" si="84"/>
        <v>Yes</v>
      </c>
      <c r="AF825" t="str">
        <f t="shared" si="85"/>
        <v>Medium</v>
      </c>
      <c r="AG825" t="str">
        <f t="shared" si="86"/>
        <v>No</v>
      </c>
      <c r="AH825" t="str">
        <f t="shared" si="87"/>
        <v>Checked Official Source</v>
      </c>
      <c r="AJ825" t="str">
        <f t="shared" si="88"/>
        <v>High Trust</v>
      </c>
      <c r="AL825">
        <f t="shared" si="89"/>
        <v>73.5</v>
      </c>
      <c r="AM825" t="str">
        <f t="shared" si="90"/>
        <v>Masters</v>
      </c>
    </row>
    <row r="826" spans="1:39" x14ac:dyDescent="0.25">
      <c r="A826" t="s">
        <v>68</v>
      </c>
      <c r="B826" t="s">
        <v>70</v>
      </c>
      <c r="C826">
        <v>75.45</v>
      </c>
      <c r="D826">
        <v>237</v>
      </c>
      <c r="E826" t="b">
        <v>0</v>
      </c>
      <c r="F826" t="b">
        <v>1</v>
      </c>
      <c r="G826" t="b">
        <v>0</v>
      </c>
      <c r="H826" t="s">
        <v>34</v>
      </c>
      <c r="I826" t="s">
        <v>26</v>
      </c>
      <c r="J826" t="s">
        <v>50</v>
      </c>
      <c r="K826" t="s">
        <v>39</v>
      </c>
      <c r="L826" t="s">
        <v>51</v>
      </c>
      <c r="M826" t="s">
        <v>47</v>
      </c>
      <c r="N826" t="s">
        <v>39</v>
      </c>
      <c r="O826" t="b">
        <v>0</v>
      </c>
      <c r="P826" t="b">
        <v>1</v>
      </c>
      <c r="Q826">
        <v>5.0999999999999996</v>
      </c>
      <c r="R826" t="b">
        <v>0</v>
      </c>
      <c r="T826">
        <v>0</v>
      </c>
      <c r="U826">
        <v>66.180000000000007</v>
      </c>
      <c r="V826" t="b">
        <v>1</v>
      </c>
      <c r="W826" t="s">
        <v>41</v>
      </c>
      <c r="AE826" t="str">
        <f t="shared" si="84"/>
        <v>Yes</v>
      </c>
      <c r="AF826" t="str">
        <f t="shared" si="85"/>
        <v>High</v>
      </c>
      <c r="AG826" t="str">
        <f t="shared" si="86"/>
        <v>No</v>
      </c>
      <c r="AH826" t="str">
        <f t="shared" si="87"/>
        <v>Unknown</v>
      </c>
      <c r="AJ826" t="str">
        <f t="shared" si="88"/>
        <v>Moderate Trust</v>
      </c>
      <c r="AL826">
        <f t="shared" si="89"/>
        <v>66.2</v>
      </c>
      <c r="AM826" t="str">
        <f t="shared" si="90"/>
        <v>Professional</v>
      </c>
    </row>
    <row r="827" spans="1:39" x14ac:dyDescent="0.25">
      <c r="A827" t="s">
        <v>32</v>
      </c>
      <c r="B827" t="s">
        <v>70</v>
      </c>
      <c r="C827">
        <v>72.7</v>
      </c>
      <c r="D827">
        <v>632</v>
      </c>
      <c r="E827" t="b">
        <v>1</v>
      </c>
      <c r="F827" t="b">
        <v>1</v>
      </c>
      <c r="G827" t="b">
        <v>1</v>
      </c>
      <c r="H827" t="s">
        <v>53</v>
      </c>
      <c r="I827" t="s">
        <v>35</v>
      </c>
      <c r="J827" t="s">
        <v>45</v>
      </c>
      <c r="K827" t="s">
        <v>39</v>
      </c>
      <c r="L827" t="s">
        <v>37</v>
      </c>
      <c r="M827" t="s">
        <v>47</v>
      </c>
      <c r="N827" t="s">
        <v>39</v>
      </c>
      <c r="P827" t="b">
        <v>0</v>
      </c>
      <c r="Q827">
        <v>6.9</v>
      </c>
      <c r="R827" t="b">
        <v>1</v>
      </c>
      <c r="S827" t="s">
        <v>48</v>
      </c>
      <c r="T827">
        <v>29</v>
      </c>
      <c r="U827">
        <v>69.650000000000006</v>
      </c>
      <c r="V827" t="b">
        <v>1</v>
      </c>
      <c r="W827" t="s">
        <v>41</v>
      </c>
      <c r="AE827" t="str">
        <f t="shared" si="84"/>
        <v>Yes</v>
      </c>
      <c r="AF827" t="str">
        <f t="shared" si="85"/>
        <v>High</v>
      </c>
      <c r="AG827" t="str">
        <f t="shared" si="86"/>
        <v>No</v>
      </c>
      <c r="AH827" t="str">
        <f t="shared" si="87"/>
        <v>Consulted Documentation</v>
      </c>
      <c r="AJ827" t="str">
        <f t="shared" si="88"/>
        <v>Moderate Trust</v>
      </c>
      <c r="AL827">
        <f t="shared" si="89"/>
        <v>69.7</v>
      </c>
      <c r="AM827" t="str">
        <f t="shared" si="90"/>
        <v>High School</v>
      </c>
    </row>
    <row r="828" spans="1:39" x14ac:dyDescent="0.25">
      <c r="A828" t="s">
        <v>23</v>
      </c>
      <c r="B828" t="s">
        <v>66</v>
      </c>
      <c r="C828">
        <v>64.239999999999995</v>
      </c>
      <c r="D828">
        <v>476</v>
      </c>
      <c r="E828" t="b">
        <v>0</v>
      </c>
      <c r="F828" t="b">
        <v>1</v>
      </c>
      <c r="G828" t="b">
        <v>1</v>
      </c>
      <c r="H828" t="s">
        <v>43</v>
      </c>
      <c r="I828" t="s">
        <v>57</v>
      </c>
      <c r="J828" t="s">
        <v>54</v>
      </c>
      <c r="K828" t="s">
        <v>28</v>
      </c>
      <c r="L828" t="s">
        <v>37</v>
      </c>
      <c r="M828" t="s">
        <v>39</v>
      </c>
      <c r="N828" t="s">
        <v>46</v>
      </c>
      <c r="O828" t="b">
        <v>1</v>
      </c>
      <c r="P828" t="b">
        <v>0</v>
      </c>
      <c r="Q828">
        <v>7.9</v>
      </c>
      <c r="R828" t="b">
        <v>1</v>
      </c>
      <c r="S828" t="s">
        <v>64</v>
      </c>
      <c r="T828">
        <v>9.6</v>
      </c>
      <c r="U828">
        <v>65.83</v>
      </c>
      <c r="V828" t="b">
        <v>1</v>
      </c>
      <c r="W828" t="s">
        <v>41</v>
      </c>
      <c r="AE828" t="str">
        <f t="shared" si="84"/>
        <v>Yes</v>
      </c>
      <c r="AF828" t="str">
        <f t="shared" si="85"/>
        <v>Medium</v>
      </c>
      <c r="AG828" t="str">
        <f t="shared" si="86"/>
        <v>Yes</v>
      </c>
      <c r="AH828" t="str">
        <f t="shared" si="87"/>
        <v>Personal Testing</v>
      </c>
      <c r="AJ828" t="str">
        <f t="shared" si="88"/>
        <v>Moderate Trust</v>
      </c>
      <c r="AL828">
        <f t="shared" si="89"/>
        <v>65.8</v>
      </c>
      <c r="AM828" t="str">
        <f t="shared" si="90"/>
        <v>Masters</v>
      </c>
    </row>
    <row r="829" spans="1:39" x14ac:dyDescent="0.25">
      <c r="A829" t="s">
        <v>23</v>
      </c>
      <c r="B829" t="s">
        <v>59</v>
      </c>
      <c r="C829">
        <v>78.56</v>
      </c>
      <c r="D829">
        <v>72</v>
      </c>
      <c r="E829" t="b">
        <v>1</v>
      </c>
      <c r="F829" t="b">
        <v>0</v>
      </c>
      <c r="G829" t="b">
        <v>0</v>
      </c>
      <c r="H829" t="s">
        <v>25</v>
      </c>
      <c r="I829" t="s">
        <v>44</v>
      </c>
      <c r="J829" t="s">
        <v>50</v>
      </c>
      <c r="K829" t="s">
        <v>37</v>
      </c>
      <c r="L829" t="s">
        <v>37</v>
      </c>
      <c r="M829" t="s">
        <v>28</v>
      </c>
      <c r="N829" t="s">
        <v>28</v>
      </c>
      <c r="P829" t="b">
        <v>0</v>
      </c>
      <c r="Q829">
        <v>9</v>
      </c>
      <c r="R829" t="b">
        <v>0</v>
      </c>
      <c r="T829">
        <v>0</v>
      </c>
      <c r="U829">
        <v>83.32</v>
      </c>
      <c r="V829" t="b">
        <v>1</v>
      </c>
      <c r="W829" t="s">
        <v>58</v>
      </c>
      <c r="AE829" t="str">
        <f t="shared" si="84"/>
        <v>No</v>
      </c>
      <c r="AF829" t="str">
        <f t="shared" si="85"/>
        <v>Low</v>
      </c>
      <c r="AG829" t="str">
        <f t="shared" si="86"/>
        <v>No</v>
      </c>
      <c r="AH829" t="str">
        <f t="shared" si="87"/>
        <v>Unknown</v>
      </c>
      <c r="AJ829" t="str">
        <f t="shared" si="88"/>
        <v>High Trust</v>
      </c>
      <c r="AL829">
        <f t="shared" si="89"/>
        <v>83.3</v>
      </c>
      <c r="AM829" t="str">
        <f t="shared" si="90"/>
        <v>Professional</v>
      </c>
    </row>
    <row r="830" spans="1:39" x14ac:dyDescent="0.25">
      <c r="A830" t="s">
        <v>61</v>
      </c>
      <c r="B830" t="s">
        <v>73</v>
      </c>
      <c r="C830">
        <v>56.91</v>
      </c>
      <c r="D830">
        <v>662</v>
      </c>
      <c r="E830" t="b">
        <v>0</v>
      </c>
      <c r="F830" t="b">
        <v>1</v>
      </c>
      <c r="G830" t="b">
        <v>1</v>
      </c>
      <c r="H830" t="s">
        <v>53</v>
      </c>
      <c r="I830" t="s">
        <v>67</v>
      </c>
      <c r="J830" t="s">
        <v>50</v>
      </c>
      <c r="K830" t="s">
        <v>39</v>
      </c>
      <c r="L830" t="s">
        <v>38</v>
      </c>
      <c r="M830" t="s">
        <v>28</v>
      </c>
      <c r="N830" t="s">
        <v>46</v>
      </c>
      <c r="O830" t="b">
        <v>1</v>
      </c>
      <c r="P830" t="b">
        <v>1</v>
      </c>
      <c r="Q830">
        <v>8.4</v>
      </c>
      <c r="R830" t="b">
        <v>1</v>
      </c>
      <c r="S830" t="s">
        <v>64</v>
      </c>
      <c r="T830">
        <v>44.3</v>
      </c>
      <c r="U830">
        <v>58.84</v>
      </c>
      <c r="V830" t="b">
        <v>0</v>
      </c>
      <c r="W830" t="s">
        <v>31</v>
      </c>
      <c r="AE830" t="str">
        <f t="shared" si="84"/>
        <v>Yes</v>
      </c>
      <c r="AF830" t="str">
        <f t="shared" si="85"/>
        <v>Medium</v>
      </c>
      <c r="AG830" t="str">
        <f t="shared" si="86"/>
        <v>Yes</v>
      </c>
      <c r="AH830" t="str">
        <f t="shared" si="87"/>
        <v>Personal Testing</v>
      </c>
      <c r="AJ830" t="str">
        <f t="shared" si="88"/>
        <v>High Trust</v>
      </c>
      <c r="AL830">
        <f t="shared" si="89"/>
        <v>58.8</v>
      </c>
      <c r="AM830" t="str">
        <f t="shared" si="90"/>
        <v>Professional</v>
      </c>
    </row>
    <row r="831" spans="1:39" x14ac:dyDescent="0.25">
      <c r="A831" t="s">
        <v>61</v>
      </c>
      <c r="B831" t="s">
        <v>73</v>
      </c>
      <c r="C831">
        <v>54.09</v>
      </c>
      <c r="D831">
        <v>150</v>
      </c>
      <c r="E831" t="b">
        <v>0</v>
      </c>
      <c r="F831" t="b">
        <v>1</v>
      </c>
      <c r="G831" t="b">
        <v>1</v>
      </c>
      <c r="H831" t="s">
        <v>53</v>
      </c>
      <c r="I831" t="s">
        <v>44</v>
      </c>
      <c r="J831" t="s">
        <v>54</v>
      </c>
      <c r="K831" t="s">
        <v>37</v>
      </c>
      <c r="L831" t="s">
        <v>38</v>
      </c>
      <c r="M831" t="s">
        <v>46</v>
      </c>
      <c r="N831" t="s">
        <v>46</v>
      </c>
      <c r="O831" t="b">
        <v>0</v>
      </c>
      <c r="P831" t="b">
        <v>0</v>
      </c>
      <c r="Q831">
        <v>5.0999999999999996</v>
      </c>
      <c r="R831" t="b">
        <v>1</v>
      </c>
      <c r="S831" t="s">
        <v>30</v>
      </c>
      <c r="T831">
        <v>21.5</v>
      </c>
      <c r="U831">
        <v>67.349999999999994</v>
      </c>
      <c r="V831" t="b">
        <v>1</v>
      </c>
      <c r="W831" t="s">
        <v>41</v>
      </c>
      <c r="AE831" t="str">
        <f t="shared" si="84"/>
        <v>Yes</v>
      </c>
      <c r="AF831" t="str">
        <f t="shared" si="85"/>
        <v>Medium</v>
      </c>
      <c r="AG831" t="str">
        <f t="shared" si="86"/>
        <v>No</v>
      </c>
      <c r="AH831" t="str">
        <f t="shared" si="87"/>
        <v>Google Search</v>
      </c>
      <c r="AJ831" t="str">
        <f t="shared" si="88"/>
        <v>Moderate Trust</v>
      </c>
      <c r="AL831">
        <f t="shared" si="89"/>
        <v>67.400000000000006</v>
      </c>
      <c r="AM831" t="str">
        <f t="shared" si="90"/>
        <v>Masters</v>
      </c>
    </row>
    <row r="832" spans="1:39" x14ac:dyDescent="0.25">
      <c r="A832" t="s">
        <v>68</v>
      </c>
      <c r="B832" t="s">
        <v>76</v>
      </c>
      <c r="C832">
        <v>73.14</v>
      </c>
      <c r="D832">
        <v>711</v>
      </c>
      <c r="E832" t="b">
        <v>0</v>
      </c>
      <c r="F832" t="b">
        <v>0</v>
      </c>
      <c r="G832" t="b">
        <v>0</v>
      </c>
      <c r="H832" t="s">
        <v>25</v>
      </c>
      <c r="I832" t="s">
        <v>35</v>
      </c>
      <c r="J832" t="s">
        <v>54</v>
      </c>
      <c r="K832" t="s">
        <v>39</v>
      </c>
      <c r="L832" t="s">
        <v>37</v>
      </c>
      <c r="M832" t="s">
        <v>28</v>
      </c>
      <c r="N832" t="s">
        <v>46</v>
      </c>
      <c r="P832" t="b">
        <v>0</v>
      </c>
      <c r="Q832">
        <v>7.8</v>
      </c>
      <c r="R832" t="b">
        <v>1</v>
      </c>
      <c r="S832" t="s">
        <v>52</v>
      </c>
      <c r="T832">
        <v>36.9</v>
      </c>
      <c r="U832">
        <v>72.319999999999993</v>
      </c>
      <c r="V832" t="b">
        <v>1</v>
      </c>
      <c r="W832" t="s">
        <v>41</v>
      </c>
      <c r="AE832" t="str">
        <f t="shared" si="84"/>
        <v>No</v>
      </c>
      <c r="AF832" t="str">
        <f t="shared" si="85"/>
        <v>Medium</v>
      </c>
      <c r="AG832" t="str">
        <f t="shared" si="86"/>
        <v>No</v>
      </c>
      <c r="AH832" t="str">
        <f t="shared" si="87"/>
        <v>Checked Official Source</v>
      </c>
      <c r="AJ832" t="str">
        <f t="shared" si="88"/>
        <v>Low Trust</v>
      </c>
      <c r="AL832">
        <f t="shared" si="89"/>
        <v>72.3</v>
      </c>
      <c r="AM832" t="str">
        <f t="shared" si="90"/>
        <v>Masters</v>
      </c>
    </row>
    <row r="833" spans="1:39" x14ac:dyDescent="0.25">
      <c r="A833" t="s">
        <v>68</v>
      </c>
      <c r="B833" t="s">
        <v>62</v>
      </c>
      <c r="C833">
        <v>53.74</v>
      </c>
      <c r="D833">
        <v>94</v>
      </c>
      <c r="E833" t="b">
        <v>0</v>
      </c>
      <c r="F833" t="b">
        <v>1</v>
      </c>
      <c r="G833" t="b">
        <v>0</v>
      </c>
      <c r="H833" t="s">
        <v>25</v>
      </c>
      <c r="I833" t="s">
        <v>26</v>
      </c>
      <c r="J833" t="s">
        <v>45</v>
      </c>
      <c r="K833" t="s">
        <v>28</v>
      </c>
      <c r="L833" t="s">
        <v>37</v>
      </c>
      <c r="M833" t="s">
        <v>39</v>
      </c>
      <c r="N833" t="s">
        <v>28</v>
      </c>
      <c r="P833" t="b">
        <v>0</v>
      </c>
      <c r="Q833">
        <v>4.5999999999999996</v>
      </c>
      <c r="R833" t="b">
        <v>1</v>
      </c>
      <c r="S833" t="s">
        <v>30</v>
      </c>
      <c r="T833">
        <v>27.9</v>
      </c>
      <c r="U833">
        <v>41.21</v>
      </c>
      <c r="V833" t="b">
        <v>1</v>
      </c>
      <c r="W833" t="s">
        <v>72</v>
      </c>
      <c r="AE833" t="str">
        <f t="shared" si="84"/>
        <v>Yes</v>
      </c>
      <c r="AF833" t="str">
        <f t="shared" si="85"/>
        <v>Low</v>
      </c>
      <c r="AG833" t="str">
        <f t="shared" si="86"/>
        <v>No</v>
      </c>
      <c r="AH833" t="str">
        <f t="shared" si="87"/>
        <v>Google Search</v>
      </c>
      <c r="AJ833" t="str">
        <f t="shared" si="88"/>
        <v>Moderate Trust</v>
      </c>
      <c r="AL833">
        <f t="shared" si="89"/>
        <v>41.2</v>
      </c>
      <c r="AM833" t="str">
        <f t="shared" si="90"/>
        <v>High School</v>
      </c>
    </row>
    <row r="834" spans="1:39" x14ac:dyDescent="0.25">
      <c r="A834" t="s">
        <v>61</v>
      </c>
      <c r="B834" t="s">
        <v>42</v>
      </c>
      <c r="C834">
        <v>78.39</v>
      </c>
      <c r="D834">
        <v>501</v>
      </c>
      <c r="E834" t="b">
        <v>0</v>
      </c>
      <c r="F834" t="b">
        <v>1</v>
      </c>
      <c r="G834" t="b">
        <v>1</v>
      </c>
      <c r="H834" t="s">
        <v>53</v>
      </c>
      <c r="I834" t="s">
        <v>44</v>
      </c>
      <c r="J834" t="s">
        <v>27</v>
      </c>
      <c r="K834" t="s">
        <v>37</v>
      </c>
      <c r="L834" t="s">
        <v>29</v>
      </c>
      <c r="M834" t="s">
        <v>39</v>
      </c>
      <c r="N834" t="s">
        <v>39</v>
      </c>
      <c r="P834" t="b">
        <v>0</v>
      </c>
      <c r="Q834">
        <v>6.7</v>
      </c>
      <c r="R834" t="b">
        <v>0</v>
      </c>
      <c r="T834">
        <v>0</v>
      </c>
      <c r="U834">
        <v>83.58</v>
      </c>
      <c r="V834" t="b">
        <v>1</v>
      </c>
      <c r="W834" t="s">
        <v>31</v>
      </c>
      <c r="AE834" t="str">
        <f t="shared" si="84"/>
        <v>Yes</v>
      </c>
      <c r="AF834" t="str">
        <f t="shared" si="85"/>
        <v>High</v>
      </c>
      <c r="AG834" t="str">
        <f t="shared" si="86"/>
        <v>No</v>
      </c>
      <c r="AH834" t="str">
        <f t="shared" si="87"/>
        <v>Unknown</v>
      </c>
      <c r="AJ834" t="str">
        <f t="shared" si="88"/>
        <v>Moderate Trust</v>
      </c>
      <c r="AL834">
        <f t="shared" si="89"/>
        <v>83.6</v>
      </c>
      <c r="AM834" t="str">
        <f t="shared" si="90"/>
        <v>Bachelors</v>
      </c>
    </row>
    <row r="835" spans="1:39" x14ac:dyDescent="0.25">
      <c r="A835" t="s">
        <v>74</v>
      </c>
      <c r="B835" t="s">
        <v>24</v>
      </c>
      <c r="C835">
        <v>86.39</v>
      </c>
      <c r="D835">
        <v>261</v>
      </c>
      <c r="E835" t="b">
        <v>1</v>
      </c>
      <c r="F835" t="b">
        <v>0</v>
      </c>
      <c r="G835" t="b">
        <v>0</v>
      </c>
      <c r="H835" t="s">
        <v>43</v>
      </c>
      <c r="I835" t="s">
        <v>67</v>
      </c>
      <c r="J835" t="s">
        <v>45</v>
      </c>
      <c r="K835" t="s">
        <v>46</v>
      </c>
      <c r="L835" t="s">
        <v>51</v>
      </c>
      <c r="M835" t="s">
        <v>39</v>
      </c>
      <c r="N835" t="s">
        <v>39</v>
      </c>
      <c r="O835" t="b">
        <v>0</v>
      </c>
      <c r="P835" t="b">
        <v>1</v>
      </c>
      <c r="Q835">
        <v>9</v>
      </c>
      <c r="R835" t="b">
        <v>0</v>
      </c>
      <c r="T835">
        <v>0</v>
      </c>
      <c r="U835">
        <v>97.58</v>
      </c>
      <c r="V835" t="b">
        <v>1</v>
      </c>
      <c r="W835" t="s">
        <v>58</v>
      </c>
      <c r="AE835" t="str">
        <f t="shared" ref="AE835:AE898" si="91">IF(F835=TRUE,"Yes","No")</f>
        <v>No</v>
      </c>
      <c r="AF835" t="str">
        <f t="shared" ref="AF835:AF898" si="92">IF(ISBLANK(N835),"Unknown",N835)</f>
        <v>High</v>
      </c>
      <c r="AG835" t="str">
        <f t="shared" ref="AG835:AG898" si="93">IF(O835=TRUE,"Yes","No")</f>
        <v>No</v>
      </c>
      <c r="AH835" t="str">
        <f t="shared" ref="AH835:AH898" si="94">IF(ISBLANK(S835),"Unknown",S835)</f>
        <v>Unknown</v>
      </c>
      <c r="AJ835" t="str">
        <f t="shared" ref="AJ835:AJ898" si="95">IF(Q835&gt;=8,"High Trust",
IF(Q836&gt;=5,"Moderate Trust","Low Trust"))</f>
        <v>High Trust</v>
      </c>
      <c r="AL835">
        <f t="shared" ref="AL835:AL898" si="96">ROUND(U835,1)</f>
        <v>97.6</v>
      </c>
      <c r="AM835" t="str">
        <f t="shared" ref="AM835:AM898" si="97">TRIM(J835)</f>
        <v>High School</v>
      </c>
    </row>
    <row r="836" spans="1:39" x14ac:dyDescent="0.25">
      <c r="A836" t="s">
        <v>56</v>
      </c>
      <c r="B836" t="s">
        <v>71</v>
      </c>
      <c r="C836">
        <v>51.29</v>
      </c>
      <c r="D836">
        <v>384</v>
      </c>
      <c r="E836" t="b">
        <v>1</v>
      </c>
      <c r="F836" t="b">
        <v>1</v>
      </c>
      <c r="G836" t="b">
        <v>1</v>
      </c>
      <c r="H836" t="s">
        <v>43</v>
      </c>
      <c r="I836" t="s">
        <v>57</v>
      </c>
      <c r="J836" t="s">
        <v>45</v>
      </c>
      <c r="K836" t="s">
        <v>37</v>
      </c>
      <c r="L836" t="s">
        <v>29</v>
      </c>
      <c r="M836" t="s">
        <v>46</v>
      </c>
      <c r="O836" t="b">
        <v>0</v>
      </c>
      <c r="P836" t="b">
        <v>0</v>
      </c>
      <c r="Q836">
        <v>4.7</v>
      </c>
      <c r="R836" t="b">
        <v>0</v>
      </c>
      <c r="T836">
        <v>0</v>
      </c>
      <c r="U836">
        <v>40.72</v>
      </c>
      <c r="V836" t="b">
        <v>1</v>
      </c>
      <c r="W836" t="s">
        <v>41</v>
      </c>
      <c r="AE836" t="str">
        <f t="shared" si="91"/>
        <v>Yes</v>
      </c>
      <c r="AF836" t="str">
        <f t="shared" si="92"/>
        <v>Unknown</v>
      </c>
      <c r="AG836" t="str">
        <f t="shared" si="93"/>
        <v>No</v>
      </c>
      <c r="AH836" t="str">
        <f t="shared" si="94"/>
        <v>Unknown</v>
      </c>
      <c r="AJ836" t="str">
        <f t="shared" si="95"/>
        <v>Moderate Trust</v>
      </c>
      <c r="AL836">
        <f t="shared" si="96"/>
        <v>40.700000000000003</v>
      </c>
      <c r="AM836" t="str">
        <f t="shared" si="97"/>
        <v>High School</v>
      </c>
    </row>
    <row r="837" spans="1:39" x14ac:dyDescent="0.25">
      <c r="A837" t="s">
        <v>56</v>
      </c>
      <c r="B837" t="s">
        <v>24</v>
      </c>
      <c r="C837">
        <v>85.45</v>
      </c>
      <c r="D837">
        <v>193</v>
      </c>
      <c r="E837" t="b">
        <v>0</v>
      </c>
      <c r="F837" t="b">
        <v>0</v>
      </c>
      <c r="G837" t="b">
        <v>0</v>
      </c>
      <c r="H837" t="s">
        <v>53</v>
      </c>
      <c r="I837" t="s">
        <v>26</v>
      </c>
      <c r="J837" t="s">
        <v>36</v>
      </c>
      <c r="K837" t="s">
        <v>28</v>
      </c>
      <c r="L837" t="s">
        <v>51</v>
      </c>
      <c r="M837" t="s">
        <v>28</v>
      </c>
      <c r="N837" t="s">
        <v>39</v>
      </c>
      <c r="O837" t="b">
        <v>1</v>
      </c>
      <c r="P837" t="b">
        <v>0</v>
      </c>
      <c r="Q837">
        <v>10</v>
      </c>
      <c r="R837" t="b">
        <v>0</v>
      </c>
      <c r="T837">
        <v>0</v>
      </c>
      <c r="U837">
        <v>91.48</v>
      </c>
      <c r="V837" t="b">
        <v>1</v>
      </c>
      <c r="W837" t="s">
        <v>58</v>
      </c>
      <c r="AE837" t="str">
        <f t="shared" si="91"/>
        <v>No</v>
      </c>
      <c r="AF837" t="str">
        <f t="shared" si="92"/>
        <v>High</v>
      </c>
      <c r="AG837" t="str">
        <f t="shared" si="93"/>
        <v>Yes</v>
      </c>
      <c r="AH837" t="str">
        <f t="shared" si="94"/>
        <v>Unknown</v>
      </c>
      <c r="AJ837" t="str">
        <f t="shared" si="95"/>
        <v>High Trust</v>
      </c>
      <c r="AL837">
        <f t="shared" si="96"/>
        <v>91.5</v>
      </c>
      <c r="AM837" t="str">
        <f t="shared" si="97"/>
        <v>PhD</v>
      </c>
    </row>
    <row r="838" spans="1:39" x14ac:dyDescent="0.25">
      <c r="A838" t="s">
        <v>23</v>
      </c>
      <c r="B838" t="s">
        <v>62</v>
      </c>
      <c r="C838">
        <v>50.79</v>
      </c>
      <c r="D838">
        <v>307</v>
      </c>
      <c r="E838" t="b">
        <v>0</v>
      </c>
      <c r="F838" t="b">
        <v>0</v>
      </c>
      <c r="G838" t="b">
        <v>1</v>
      </c>
      <c r="H838" t="s">
        <v>34</v>
      </c>
      <c r="I838" t="s">
        <v>26</v>
      </c>
      <c r="J838" t="s">
        <v>36</v>
      </c>
      <c r="K838" t="s">
        <v>28</v>
      </c>
      <c r="L838" t="s">
        <v>38</v>
      </c>
      <c r="M838" t="s">
        <v>28</v>
      </c>
      <c r="O838" t="b">
        <v>1</v>
      </c>
      <c r="P838" t="b">
        <v>1</v>
      </c>
      <c r="Q838">
        <v>7.7</v>
      </c>
      <c r="R838" t="b">
        <v>1</v>
      </c>
      <c r="S838" t="s">
        <v>52</v>
      </c>
      <c r="T838">
        <v>31.2</v>
      </c>
      <c r="U838">
        <v>63.14</v>
      </c>
      <c r="V838" t="b">
        <v>1</v>
      </c>
      <c r="W838" t="s">
        <v>41</v>
      </c>
      <c r="AE838" t="str">
        <f t="shared" si="91"/>
        <v>No</v>
      </c>
      <c r="AF838" t="str">
        <f t="shared" si="92"/>
        <v>Unknown</v>
      </c>
      <c r="AG838" t="str">
        <f t="shared" si="93"/>
        <v>Yes</v>
      </c>
      <c r="AH838" t="str">
        <f t="shared" si="94"/>
        <v>Checked Official Source</v>
      </c>
      <c r="AJ838" t="str">
        <f t="shared" si="95"/>
        <v>Moderate Trust</v>
      </c>
      <c r="AL838">
        <f t="shared" si="96"/>
        <v>63.1</v>
      </c>
      <c r="AM838" t="str">
        <f t="shared" si="97"/>
        <v>PhD</v>
      </c>
    </row>
    <row r="839" spans="1:39" x14ac:dyDescent="0.25">
      <c r="A839" t="s">
        <v>74</v>
      </c>
      <c r="B839" t="s">
        <v>24</v>
      </c>
      <c r="C839">
        <v>90.05</v>
      </c>
      <c r="D839">
        <v>208</v>
      </c>
      <c r="E839" t="b">
        <v>0</v>
      </c>
      <c r="F839" t="b">
        <v>0</v>
      </c>
      <c r="G839" t="b">
        <v>0</v>
      </c>
      <c r="H839" t="s">
        <v>25</v>
      </c>
      <c r="I839" t="s">
        <v>35</v>
      </c>
      <c r="J839" t="s">
        <v>36</v>
      </c>
      <c r="K839" t="s">
        <v>28</v>
      </c>
      <c r="L839" t="s">
        <v>38</v>
      </c>
      <c r="M839" t="s">
        <v>47</v>
      </c>
      <c r="N839" t="s">
        <v>28</v>
      </c>
      <c r="P839" t="b">
        <v>1</v>
      </c>
      <c r="Q839">
        <v>9.6</v>
      </c>
      <c r="R839" t="b">
        <v>1</v>
      </c>
      <c r="S839" t="s">
        <v>65</v>
      </c>
      <c r="T839">
        <v>17.2</v>
      </c>
      <c r="U839">
        <v>100</v>
      </c>
      <c r="V839" t="b">
        <v>1</v>
      </c>
      <c r="W839" t="s">
        <v>31</v>
      </c>
      <c r="AE839" t="str">
        <f t="shared" si="91"/>
        <v>No</v>
      </c>
      <c r="AF839" t="str">
        <f t="shared" si="92"/>
        <v>Low</v>
      </c>
      <c r="AG839" t="str">
        <f t="shared" si="93"/>
        <v>No</v>
      </c>
      <c r="AH839" t="str">
        <f t="shared" si="94"/>
        <v>Cross-referenced Multiple AIs</v>
      </c>
      <c r="AJ839" t="str">
        <f t="shared" si="95"/>
        <v>High Trust</v>
      </c>
      <c r="AL839">
        <f t="shared" si="96"/>
        <v>100</v>
      </c>
      <c r="AM839" t="str">
        <f t="shared" si="97"/>
        <v>PhD</v>
      </c>
    </row>
    <row r="840" spans="1:39" x14ac:dyDescent="0.25">
      <c r="A840" t="s">
        <v>23</v>
      </c>
      <c r="B840" t="s">
        <v>66</v>
      </c>
      <c r="C840">
        <v>71.459999999999994</v>
      </c>
      <c r="D840">
        <v>305</v>
      </c>
      <c r="E840" t="b">
        <v>1</v>
      </c>
      <c r="F840" t="b">
        <v>1</v>
      </c>
      <c r="G840" t="b">
        <v>0</v>
      </c>
      <c r="H840" t="s">
        <v>25</v>
      </c>
      <c r="I840" t="s">
        <v>57</v>
      </c>
      <c r="J840" t="s">
        <v>45</v>
      </c>
      <c r="K840" t="s">
        <v>37</v>
      </c>
      <c r="L840" t="s">
        <v>69</v>
      </c>
      <c r="M840" t="s">
        <v>46</v>
      </c>
      <c r="N840" t="s">
        <v>39</v>
      </c>
      <c r="P840" t="b">
        <v>1</v>
      </c>
      <c r="Q840">
        <v>9.1</v>
      </c>
      <c r="R840" t="b">
        <v>0</v>
      </c>
      <c r="T840">
        <v>0</v>
      </c>
      <c r="U840">
        <v>68.02</v>
      </c>
      <c r="V840" t="b">
        <v>0</v>
      </c>
      <c r="W840" t="s">
        <v>58</v>
      </c>
      <c r="AE840" t="str">
        <f t="shared" si="91"/>
        <v>Yes</v>
      </c>
      <c r="AF840" t="str">
        <f t="shared" si="92"/>
        <v>High</v>
      </c>
      <c r="AG840" t="str">
        <f t="shared" si="93"/>
        <v>No</v>
      </c>
      <c r="AH840" t="str">
        <f t="shared" si="94"/>
        <v>Unknown</v>
      </c>
      <c r="AJ840" t="str">
        <f t="shared" si="95"/>
        <v>High Trust</v>
      </c>
      <c r="AL840">
        <f t="shared" si="96"/>
        <v>68</v>
      </c>
      <c r="AM840" t="str">
        <f t="shared" si="97"/>
        <v>High School</v>
      </c>
    </row>
    <row r="841" spans="1:39" x14ac:dyDescent="0.25">
      <c r="A841" t="s">
        <v>56</v>
      </c>
      <c r="B841" t="s">
        <v>70</v>
      </c>
      <c r="C841">
        <v>70.16</v>
      </c>
      <c r="D841">
        <v>776</v>
      </c>
      <c r="E841" t="b">
        <v>1</v>
      </c>
      <c r="F841" t="b">
        <v>1</v>
      </c>
      <c r="G841" t="b">
        <v>1</v>
      </c>
      <c r="H841" t="s">
        <v>53</v>
      </c>
      <c r="I841" t="s">
        <v>63</v>
      </c>
      <c r="J841" t="s">
        <v>27</v>
      </c>
      <c r="K841" t="s">
        <v>28</v>
      </c>
      <c r="L841" t="s">
        <v>37</v>
      </c>
      <c r="M841" t="s">
        <v>28</v>
      </c>
      <c r="N841" t="s">
        <v>39</v>
      </c>
      <c r="O841" t="b">
        <v>0</v>
      </c>
      <c r="P841" t="b">
        <v>0</v>
      </c>
      <c r="Q841">
        <v>6.9</v>
      </c>
      <c r="R841" t="b">
        <v>0</v>
      </c>
      <c r="T841">
        <v>0</v>
      </c>
      <c r="U841">
        <v>73.349999999999994</v>
      </c>
      <c r="V841" t="b">
        <v>1</v>
      </c>
      <c r="W841" t="s">
        <v>31</v>
      </c>
      <c r="AE841" t="str">
        <f t="shared" si="91"/>
        <v>Yes</v>
      </c>
      <c r="AF841" t="str">
        <f t="shared" si="92"/>
        <v>High</v>
      </c>
      <c r="AG841" t="str">
        <f t="shared" si="93"/>
        <v>No</v>
      </c>
      <c r="AH841" t="str">
        <f t="shared" si="94"/>
        <v>Unknown</v>
      </c>
      <c r="AJ841" t="str">
        <f t="shared" si="95"/>
        <v>Moderate Trust</v>
      </c>
      <c r="AL841">
        <f t="shared" si="96"/>
        <v>73.400000000000006</v>
      </c>
      <c r="AM841" t="str">
        <f t="shared" si="97"/>
        <v>Bachelors</v>
      </c>
    </row>
    <row r="842" spans="1:39" x14ac:dyDescent="0.25">
      <c r="A842" t="s">
        <v>56</v>
      </c>
      <c r="B842" t="s">
        <v>76</v>
      </c>
      <c r="C842">
        <v>89.12</v>
      </c>
      <c r="D842">
        <v>87</v>
      </c>
      <c r="E842" t="b">
        <v>1</v>
      </c>
      <c r="F842" t="b">
        <v>0</v>
      </c>
      <c r="G842" t="b">
        <v>0</v>
      </c>
      <c r="H842" t="s">
        <v>25</v>
      </c>
      <c r="I842" t="s">
        <v>26</v>
      </c>
      <c r="J842" t="s">
        <v>54</v>
      </c>
      <c r="K842" t="s">
        <v>37</v>
      </c>
      <c r="L842" t="s">
        <v>51</v>
      </c>
      <c r="M842" t="s">
        <v>46</v>
      </c>
      <c r="N842" t="s">
        <v>46</v>
      </c>
      <c r="P842" t="b">
        <v>1</v>
      </c>
      <c r="Q842">
        <v>9.6</v>
      </c>
      <c r="R842" t="b">
        <v>1</v>
      </c>
      <c r="S842" t="s">
        <v>30</v>
      </c>
      <c r="T842">
        <v>14.3</v>
      </c>
      <c r="U842">
        <v>85.82</v>
      </c>
      <c r="V842" t="b">
        <v>1</v>
      </c>
      <c r="W842" t="s">
        <v>31</v>
      </c>
      <c r="AE842" t="str">
        <f t="shared" si="91"/>
        <v>No</v>
      </c>
      <c r="AF842" t="str">
        <f t="shared" si="92"/>
        <v>Medium</v>
      </c>
      <c r="AG842" t="str">
        <f t="shared" si="93"/>
        <v>No</v>
      </c>
      <c r="AH842" t="str">
        <f t="shared" si="94"/>
        <v>Google Search</v>
      </c>
      <c r="AJ842" t="str">
        <f t="shared" si="95"/>
        <v>High Trust</v>
      </c>
      <c r="AL842">
        <f t="shared" si="96"/>
        <v>85.8</v>
      </c>
      <c r="AM842" t="str">
        <f t="shared" si="97"/>
        <v>Masters</v>
      </c>
    </row>
    <row r="843" spans="1:39" x14ac:dyDescent="0.25">
      <c r="A843" t="s">
        <v>61</v>
      </c>
      <c r="B843" t="s">
        <v>42</v>
      </c>
      <c r="C843">
        <v>69.239999999999995</v>
      </c>
      <c r="D843">
        <v>98</v>
      </c>
      <c r="E843" t="b">
        <v>1</v>
      </c>
      <c r="F843" t="b">
        <v>1</v>
      </c>
      <c r="G843" t="b">
        <v>1</v>
      </c>
      <c r="H843" t="s">
        <v>34</v>
      </c>
      <c r="I843" t="s">
        <v>35</v>
      </c>
      <c r="J843" t="s">
        <v>36</v>
      </c>
      <c r="K843" t="s">
        <v>37</v>
      </c>
      <c r="L843" t="s">
        <v>69</v>
      </c>
      <c r="M843" t="s">
        <v>28</v>
      </c>
      <c r="N843" t="s">
        <v>28</v>
      </c>
      <c r="P843" t="b">
        <v>0</v>
      </c>
      <c r="Q843">
        <v>8.6999999999999993</v>
      </c>
      <c r="R843" t="b">
        <v>1</v>
      </c>
      <c r="S843" t="s">
        <v>52</v>
      </c>
      <c r="T843">
        <v>14.2</v>
      </c>
      <c r="U843">
        <v>59.03</v>
      </c>
      <c r="V843" t="b">
        <v>0</v>
      </c>
      <c r="W843" t="s">
        <v>31</v>
      </c>
      <c r="AE843" t="str">
        <f t="shared" si="91"/>
        <v>Yes</v>
      </c>
      <c r="AF843" t="str">
        <f t="shared" si="92"/>
        <v>Low</v>
      </c>
      <c r="AG843" t="str">
        <f t="shared" si="93"/>
        <v>No</v>
      </c>
      <c r="AH843" t="str">
        <f t="shared" si="94"/>
        <v>Checked Official Source</v>
      </c>
      <c r="AJ843" t="str">
        <f t="shared" si="95"/>
        <v>High Trust</v>
      </c>
      <c r="AL843">
        <f t="shared" si="96"/>
        <v>59</v>
      </c>
      <c r="AM843" t="str">
        <f t="shared" si="97"/>
        <v>PhD</v>
      </c>
    </row>
    <row r="844" spans="1:39" x14ac:dyDescent="0.25">
      <c r="A844" t="s">
        <v>68</v>
      </c>
      <c r="B844" t="s">
        <v>24</v>
      </c>
      <c r="C844">
        <v>95.49</v>
      </c>
      <c r="D844">
        <v>366</v>
      </c>
      <c r="E844" t="b">
        <v>1</v>
      </c>
      <c r="F844" t="b">
        <v>0</v>
      </c>
      <c r="G844" t="b">
        <v>0</v>
      </c>
      <c r="H844" t="s">
        <v>53</v>
      </c>
      <c r="I844" t="s">
        <v>35</v>
      </c>
      <c r="J844" t="s">
        <v>54</v>
      </c>
      <c r="K844" t="s">
        <v>28</v>
      </c>
      <c r="L844" t="s">
        <v>38</v>
      </c>
      <c r="M844" t="s">
        <v>39</v>
      </c>
      <c r="N844" t="s">
        <v>46</v>
      </c>
      <c r="O844" t="b">
        <v>1</v>
      </c>
      <c r="P844" t="b">
        <v>1</v>
      </c>
      <c r="Q844">
        <v>10</v>
      </c>
      <c r="R844" t="b">
        <v>1</v>
      </c>
      <c r="S844" t="s">
        <v>75</v>
      </c>
      <c r="T844">
        <v>37.700000000000003</v>
      </c>
      <c r="U844">
        <v>98.12</v>
      </c>
      <c r="V844" t="b">
        <v>1</v>
      </c>
      <c r="W844" t="s">
        <v>31</v>
      </c>
      <c r="AE844" t="str">
        <f t="shared" si="91"/>
        <v>No</v>
      </c>
      <c r="AF844" t="str">
        <f t="shared" si="92"/>
        <v>Medium</v>
      </c>
      <c r="AG844" t="str">
        <f t="shared" si="93"/>
        <v>Yes</v>
      </c>
      <c r="AH844" t="str">
        <f t="shared" si="94"/>
        <v>Asked Colleague</v>
      </c>
      <c r="AJ844" t="str">
        <f t="shared" si="95"/>
        <v>High Trust</v>
      </c>
      <c r="AL844">
        <f t="shared" si="96"/>
        <v>98.1</v>
      </c>
      <c r="AM844" t="str">
        <f t="shared" si="97"/>
        <v>Masters</v>
      </c>
    </row>
    <row r="845" spans="1:39" x14ac:dyDescent="0.25">
      <c r="A845" t="s">
        <v>56</v>
      </c>
      <c r="B845" t="s">
        <v>33</v>
      </c>
      <c r="C845">
        <v>76.91</v>
      </c>
      <c r="D845">
        <v>542</v>
      </c>
      <c r="E845" t="b">
        <v>0</v>
      </c>
      <c r="F845" t="b">
        <v>0</v>
      </c>
      <c r="G845" t="b">
        <v>1</v>
      </c>
      <c r="H845" t="s">
        <v>53</v>
      </c>
      <c r="I845" t="s">
        <v>67</v>
      </c>
      <c r="J845" t="s">
        <v>45</v>
      </c>
      <c r="K845" t="s">
        <v>39</v>
      </c>
      <c r="L845" t="s">
        <v>69</v>
      </c>
      <c r="M845" t="s">
        <v>28</v>
      </c>
      <c r="N845" t="s">
        <v>46</v>
      </c>
      <c r="O845" t="b">
        <v>1</v>
      </c>
      <c r="P845" t="b">
        <v>1</v>
      </c>
      <c r="Q845">
        <v>10</v>
      </c>
      <c r="R845" t="b">
        <v>0</v>
      </c>
      <c r="T845">
        <v>0</v>
      </c>
      <c r="U845">
        <v>79.98</v>
      </c>
      <c r="V845" t="b">
        <v>0</v>
      </c>
      <c r="W845" t="s">
        <v>58</v>
      </c>
      <c r="AE845" t="str">
        <f t="shared" si="91"/>
        <v>No</v>
      </c>
      <c r="AF845" t="str">
        <f t="shared" si="92"/>
        <v>Medium</v>
      </c>
      <c r="AG845" t="str">
        <f t="shared" si="93"/>
        <v>Yes</v>
      </c>
      <c r="AH845" t="str">
        <f t="shared" si="94"/>
        <v>Unknown</v>
      </c>
      <c r="AJ845" t="str">
        <f t="shared" si="95"/>
        <v>High Trust</v>
      </c>
      <c r="AL845">
        <f t="shared" si="96"/>
        <v>80</v>
      </c>
      <c r="AM845" t="str">
        <f t="shared" si="97"/>
        <v>High School</v>
      </c>
    </row>
    <row r="846" spans="1:39" x14ac:dyDescent="0.25">
      <c r="A846" t="s">
        <v>23</v>
      </c>
      <c r="B846" t="s">
        <v>60</v>
      </c>
      <c r="C846">
        <v>51.32</v>
      </c>
      <c r="D846">
        <v>521</v>
      </c>
      <c r="E846" t="b">
        <v>1</v>
      </c>
      <c r="F846" t="b">
        <v>1</v>
      </c>
      <c r="G846" t="b">
        <v>1</v>
      </c>
      <c r="H846" t="s">
        <v>43</v>
      </c>
      <c r="I846" t="s">
        <v>44</v>
      </c>
      <c r="J846" t="s">
        <v>54</v>
      </c>
      <c r="K846" t="s">
        <v>37</v>
      </c>
      <c r="L846" t="s">
        <v>69</v>
      </c>
      <c r="M846" t="s">
        <v>46</v>
      </c>
      <c r="N846" t="s">
        <v>28</v>
      </c>
      <c r="O846" t="b">
        <v>0</v>
      </c>
      <c r="P846" t="b">
        <v>0</v>
      </c>
      <c r="Q846">
        <v>5.7</v>
      </c>
      <c r="R846" t="b">
        <v>1</v>
      </c>
      <c r="S846" t="s">
        <v>30</v>
      </c>
      <c r="T846">
        <v>43.6</v>
      </c>
      <c r="U846">
        <v>60.42</v>
      </c>
      <c r="V846" t="b">
        <v>1</v>
      </c>
      <c r="W846" t="s">
        <v>41</v>
      </c>
      <c r="AE846" t="str">
        <f t="shared" si="91"/>
        <v>Yes</v>
      </c>
      <c r="AF846" t="str">
        <f t="shared" si="92"/>
        <v>Low</v>
      </c>
      <c r="AG846" t="str">
        <f t="shared" si="93"/>
        <v>No</v>
      </c>
      <c r="AH846" t="str">
        <f t="shared" si="94"/>
        <v>Google Search</v>
      </c>
      <c r="AJ846" t="str">
        <f t="shared" si="95"/>
        <v>Moderate Trust</v>
      </c>
      <c r="AL846">
        <f t="shared" si="96"/>
        <v>60.4</v>
      </c>
      <c r="AM846" t="str">
        <f t="shared" si="97"/>
        <v>Masters</v>
      </c>
    </row>
    <row r="847" spans="1:39" x14ac:dyDescent="0.25">
      <c r="A847" t="s">
        <v>68</v>
      </c>
      <c r="B847" t="s">
        <v>60</v>
      </c>
      <c r="C847">
        <v>59.33</v>
      </c>
      <c r="D847">
        <v>199</v>
      </c>
      <c r="E847" t="b">
        <v>1</v>
      </c>
      <c r="F847" t="b">
        <v>1</v>
      </c>
      <c r="G847" t="b">
        <v>0</v>
      </c>
      <c r="H847" t="s">
        <v>43</v>
      </c>
      <c r="I847" t="s">
        <v>63</v>
      </c>
      <c r="J847" t="s">
        <v>27</v>
      </c>
      <c r="K847" t="s">
        <v>39</v>
      </c>
      <c r="L847" t="s">
        <v>51</v>
      </c>
      <c r="M847" t="s">
        <v>28</v>
      </c>
      <c r="N847" t="s">
        <v>46</v>
      </c>
      <c r="O847" t="b">
        <v>0</v>
      </c>
      <c r="P847" t="b">
        <v>0</v>
      </c>
      <c r="Q847">
        <v>6.1</v>
      </c>
      <c r="R847" t="b">
        <v>1</v>
      </c>
      <c r="S847" t="s">
        <v>75</v>
      </c>
      <c r="T847">
        <v>7.3</v>
      </c>
      <c r="U847">
        <v>51.8</v>
      </c>
      <c r="V847" t="b">
        <v>1</v>
      </c>
      <c r="W847" t="s">
        <v>41</v>
      </c>
      <c r="AE847" t="str">
        <f t="shared" si="91"/>
        <v>Yes</v>
      </c>
      <c r="AF847" t="str">
        <f t="shared" si="92"/>
        <v>Medium</v>
      </c>
      <c r="AG847" t="str">
        <f t="shared" si="93"/>
        <v>No</v>
      </c>
      <c r="AH847" t="str">
        <f t="shared" si="94"/>
        <v>Asked Colleague</v>
      </c>
      <c r="AJ847" t="str">
        <f t="shared" si="95"/>
        <v>Moderate Trust</v>
      </c>
      <c r="AL847">
        <f t="shared" si="96"/>
        <v>51.8</v>
      </c>
      <c r="AM847" t="str">
        <f t="shared" si="97"/>
        <v>Bachelors</v>
      </c>
    </row>
    <row r="848" spans="1:39" x14ac:dyDescent="0.25">
      <c r="A848" t="s">
        <v>23</v>
      </c>
      <c r="B848" t="s">
        <v>59</v>
      </c>
      <c r="C848">
        <v>91.03</v>
      </c>
      <c r="D848">
        <v>380</v>
      </c>
      <c r="E848" t="b">
        <v>1</v>
      </c>
      <c r="F848" t="b">
        <v>0</v>
      </c>
      <c r="G848" t="b">
        <v>0</v>
      </c>
      <c r="H848" t="s">
        <v>34</v>
      </c>
      <c r="I848" t="s">
        <v>57</v>
      </c>
      <c r="J848" t="s">
        <v>45</v>
      </c>
      <c r="K848" t="s">
        <v>28</v>
      </c>
      <c r="L848" t="s">
        <v>38</v>
      </c>
      <c r="M848" t="s">
        <v>28</v>
      </c>
      <c r="N848" t="s">
        <v>46</v>
      </c>
      <c r="O848" t="b">
        <v>0</v>
      </c>
      <c r="P848" t="b">
        <v>1</v>
      </c>
      <c r="Q848">
        <v>10</v>
      </c>
      <c r="R848" t="b">
        <v>0</v>
      </c>
      <c r="T848">
        <v>0</v>
      </c>
      <c r="U848">
        <v>77.67</v>
      </c>
      <c r="V848" t="b">
        <v>0</v>
      </c>
      <c r="W848" t="s">
        <v>58</v>
      </c>
      <c r="AE848" t="str">
        <f t="shared" si="91"/>
        <v>No</v>
      </c>
      <c r="AF848" t="str">
        <f t="shared" si="92"/>
        <v>Medium</v>
      </c>
      <c r="AG848" t="str">
        <f t="shared" si="93"/>
        <v>No</v>
      </c>
      <c r="AH848" t="str">
        <f t="shared" si="94"/>
        <v>Unknown</v>
      </c>
      <c r="AJ848" t="str">
        <f t="shared" si="95"/>
        <v>High Trust</v>
      </c>
      <c r="AL848">
        <f t="shared" si="96"/>
        <v>77.7</v>
      </c>
      <c r="AM848" t="str">
        <f t="shared" si="97"/>
        <v>High School</v>
      </c>
    </row>
    <row r="849" spans="1:39" x14ac:dyDescent="0.25">
      <c r="A849" t="s">
        <v>68</v>
      </c>
      <c r="B849" t="s">
        <v>73</v>
      </c>
      <c r="C849">
        <v>51.15</v>
      </c>
      <c r="D849">
        <v>440</v>
      </c>
      <c r="E849" t="b">
        <v>1</v>
      </c>
      <c r="F849" t="b">
        <v>1</v>
      </c>
      <c r="G849" t="b">
        <v>1</v>
      </c>
      <c r="H849" t="s">
        <v>53</v>
      </c>
      <c r="I849" t="s">
        <v>35</v>
      </c>
      <c r="J849" t="s">
        <v>27</v>
      </c>
      <c r="K849" t="s">
        <v>28</v>
      </c>
      <c r="L849" t="s">
        <v>38</v>
      </c>
      <c r="M849" t="s">
        <v>47</v>
      </c>
      <c r="N849" t="s">
        <v>28</v>
      </c>
      <c r="P849" t="b">
        <v>1</v>
      </c>
      <c r="Q849">
        <v>5.5</v>
      </c>
      <c r="R849" t="b">
        <v>1</v>
      </c>
      <c r="S849" t="s">
        <v>55</v>
      </c>
      <c r="T849">
        <v>33.700000000000003</v>
      </c>
      <c r="U849">
        <v>53.39</v>
      </c>
      <c r="V849" t="b">
        <v>1</v>
      </c>
      <c r="W849" t="s">
        <v>41</v>
      </c>
      <c r="AE849" t="str">
        <f t="shared" si="91"/>
        <v>Yes</v>
      </c>
      <c r="AF849" t="str">
        <f t="shared" si="92"/>
        <v>Low</v>
      </c>
      <c r="AG849" t="str">
        <f t="shared" si="93"/>
        <v>No</v>
      </c>
      <c r="AH849" t="str">
        <f t="shared" si="94"/>
        <v>Academic Paper</v>
      </c>
      <c r="AJ849" t="str">
        <f t="shared" si="95"/>
        <v>Moderate Trust</v>
      </c>
      <c r="AL849">
        <f t="shared" si="96"/>
        <v>53.4</v>
      </c>
      <c r="AM849" t="str">
        <f t="shared" si="97"/>
        <v>Bachelors</v>
      </c>
    </row>
    <row r="850" spans="1:39" x14ac:dyDescent="0.25">
      <c r="A850" t="s">
        <v>23</v>
      </c>
      <c r="B850" t="s">
        <v>33</v>
      </c>
      <c r="C850">
        <v>87.33</v>
      </c>
      <c r="D850">
        <v>532</v>
      </c>
      <c r="E850" t="b">
        <v>0</v>
      </c>
      <c r="F850" t="b">
        <v>0</v>
      </c>
      <c r="G850" t="b">
        <v>0</v>
      </c>
      <c r="H850" t="s">
        <v>43</v>
      </c>
      <c r="I850" t="s">
        <v>67</v>
      </c>
      <c r="J850" t="s">
        <v>36</v>
      </c>
      <c r="K850" t="s">
        <v>46</v>
      </c>
      <c r="L850" t="s">
        <v>69</v>
      </c>
      <c r="M850" t="s">
        <v>46</v>
      </c>
      <c r="O850" t="b">
        <v>1</v>
      </c>
      <c r="P850" t="b">
        <v>0</v>
      </c>
      <c r="Q850">
        <v>10</v>
      </c>
      <c r="R850" t="b">
        <v>1</v>
      </c>
      <c r="S850" t="s">
        <v>65</v>
      </c>
      <c r="T850">
        <v>5.7</v>
      </c>
      <c r="U850">
        <v>79.349999999999994</v>
      </c>
      <c r="V850" t="b">
        <v>0</v>
      </c>
      <c r="W850" t="s">
        <v>31</v>
      </c>
      <c r="AE850" t="str">
        <f t="shared" si="91"/>
        <v>No</v>
      </c>
      <c r="AF850" t="str">
        <f t="shared" si="92"/>
        <v>Unknown</v>
      </c>
      <c r="AG850" t="str">
        <f t="shared" si="93"/>
        <v>Yes</v>
      </c>
      <c r="AH850" t="str">
        <f t="shared" si="94"/>
        <v>Cross-referenced Multiple AIs</v>
      </c>
      <c r="AJ850" t="str">
        <f t="shared" si="95"/>
        <v>High Trust</v>
      </c>
      <c r="AL850">
        <f t="shared" si="96"/>
        <v>79.400000000000006</v>
      </c>
      <c r="AM850" t="str">
        <f t="shared" si="97"/>
        <v>PhD</v>
      </c>
    </row>
    <row r="851" spans="1:39" x14ac:dyDescent="0.25">
      <c r="A851" t="s">
        <v>23</v>
      </c>
      <c r="B851" t="s">
        <v>76</v>
      </c>
      <c r="C851">
        <v>82.23</v>
      </c>
      <c r="D851">
        <v>385</v>
      </c>
      <c r="E851" t="b">
        <v>1</v>
      </c>
      <c r="F851" t="b">
        <v>0</v>
      </c>
      <c r="G851" t="b">
        <v>0</v>
      </c>
      <c r="H851" t="s">
        <v>43</v>
      </c>
      <c r="I851" t="s">
        <v>44</v>
      </c>
      <c r="J851" t="s">
        <v>27</v>
      </c>
      <c r="K851" t="s">
        <v>37</v>
      </c>
      <c r="L851" t="s">
        <v>69</v>
      </c>
      <c r="M851" t="s">
        <v>39</v>
      </c>
      <c r="N851" t="s">
        <v>46</v>
      </c>
      <c r="O851" t="b">
        <v>1</v>
      </c>
      <c r="P851" t="b">
        <v>1</v>
      </c>
      <c r="Q851">
        <v>10</v>
      </c>
      <c r="R851" t="b">
        <v>1</v>
      </c>
      <c r="S851" t="s">
        <v>55</v>
      </c>
      <c r="T851">
        <v>33.799999999999997</v>
      </c>
      <c r="U851">
        <v>78.72</v>
      </c>
      <c r="V851" t="b">
        <v>0</v>
      </c>
      <c r="W851" t="s">
        <v>31</v>
      </c>
      <c r="AE851" t="str">
        <f t="shared" si="91"/>
        <v>No</v>
      </c>
      <c r="AF851" t="str">
        <f t="shared" si="92"/>
        <v>Medium</v>
      </c>
      <c r="AG851" t="str">
        <f t="shared" si="93"/>
        <v>Yes</v>
      </c>
      <c r="AH851" t="str">
        <f t="shared" si="94"/>
        <v>Academic Paper</v>
      </c>
      <c r="AJ851" t="str">
        <f t="shared" si="95"/>
        <v>High Trust</v>
      </c>
      <c r="AL851">
        <f t="shared" si="96"/>
        <v>78.7</v>
      </c>
      <c r="AM851" t="str">
        <f t="shared" si="97"/>
        <v>Bachelors</v>
      </c>
    </row>
    <row r="852" spans="1:39" x14ac:dyDescent="0.25">
      <c r="A852" t="s">
        <v>23</v>
      </c>
      <c r="B852" t="s">
        <v>24</v>
      </c>
      <c r="C852">
        <v>87.17</v>
      </c>
      <c r="D852">
        <v>326</v>
      </c>
      <c r="E852" t="b">
        <v>1</v>
      </c>
      <c r="F852" t="b">
        <v>0</v>
      </c>
      <c r="G852" t="b">
        <v>1</v>
      </c>
      <c r="H852" t="s">
        <v>53</v>
      </c>
      <c r="I852" t="s">
        <v>26</v>
      </c>
      <c r="J852" t="s">
        <v>36</v>
      </c>
      <c r="K852" t="s">
        <v>37</v>
      </c>
      <c r="L852" t="s">
        <v>37</v>
      </c>
      <c r="M852" t="s">
        <v>28</v>
      </c>
      <c r="N852" t="s">
        <v>28</v>
      </c>
      <c r="O852" t="b">
        <v>1</v>
      </c>
      <c r="P852" t="b">
        <v>0</v>
      </c>
      <c r="Q852">
        <v>10</v>
      </c>
      <c r="R852" t="b">
        <v>1</v>
      </c>
      <c r="S852" t="s">
        <v>40</v>
      </c>
      <c r="T852">
        <v>24.7</v>
      </c>
      <c r="U852">
        <v>79.52</v>
      </c>
      <c r="V852" t="b">
        <v>0</v>
      </c>
      <c r="W852" t="s">
        <v>31</v>
      </c>
      <c r="AE852" t="str">
        <f t="shared" si="91"/>
        <v>No</v>
      </c>
      <c r="AF852" t="str">
        <f t="shared" si="92"/>
        <v>Low</v>
      </c>
      <c r="AG852" t="str">
        <f t="shared" si="93"/>
        <v>Yes</v>
      </c>
      <c r="AH852" t="str">
        <f t="shared" si="94"/>
        <v>Asked Expert</v>
      </c>
      <c r="AJ852" t="str">
        <f t="shared" si="95"/>
        <v>High Trust</v>
      </c>
      <c r="AL852">
        <f t="shared" si="96"/>
        <v>79.5</v>
      </c>
      <c r="AM852" t="str">
        <f t="shared" si="97"/>
        <v>PhD</v>
      </c>
    </row>
    <row r="853" spans="1:39" x14ac:dyDescent="0.25">
      <c r="A853" t="s">
        <v>23</v>
      </c>
      <c r="B853" t="s">
        <v>33</v>
      </c>
      <c r="C853">
        <v>83.88</v>
      </c>
      <c r="D853">
        <v>347</v>
      </c>
      <c r="E853" t="b">
        <v>1</v>
      </c>
      <c r="F853" t="b">
        <v>0</v>
      </c>
      <c r="G853" t="b">
        <v>1</v>
      </c>
      <c r="H853" t="s">
        <v>43</v>
      </c>
      <c r="I853" t="s">
        <v>35</v>
      </c>
      <c r="J853" t="s">
        <v>36</v>
      </c>
      <c r="K853" t="s">
        <v>39</v>
      </c>
      <c r="L853" t="s">
        <v>69</v>
      </c>
      <c r="M853" t="s">
        <v>39</v>
      </c>
      <c r="N853" t="s">
        <v>46</v>
      </c>
      <c r="O853" t="b">
        <v>1</v>
      </c>
      <c r="P853" t="b">
        <v>1</v>
      </c>
      <c r="Q853">
        <v>10</v>
      </c>
      <c r="R853" t="b">
        <v>0</v>
      </c>
      <c r="T853">
        <v>0</v>
      </c>
      <c r="U853">
        <v>92.4</v>
      </c>
      <c r="V853" t="b">
        <v>1</v>
      </c>
      <c r="W853" t="s">
        <v>58</v>
      </c>
      <c r="AE853" t="str">
        <f t="shared" si="91"/>
        <v>No</v>
      </c>
      <c r="AF853" t="str">
        <f t="shared" si="92"/>
        <v>Medium</v>
      </c>
      <c r="AG853" t="str">
        <f t="shared" si="93"/>
        <v>Yes</v>
      </c>
      <c r="AH853" t="str">
        <f t="shared" si="94"/>
        <v>Unknown</v>
      </c>
      <c r="AJ853" t="str">
        <f t="shared" si="95"/>
        <v>High Trust</v>
      </c>
      <c r="AL853">
        <f t="shared" si="96"/>
        <v>92.4</v>
      </c>
      <c r="AM853" t="str">
        <f t="shared" si="97"/>
        <v>PhD</v>
      </c>
    </row>
    <row r="854" spans="1:39" x14ac:dyDescent="0.25">
      <c r="A854" t="s">
        <v>74</v>
      </c>
      <c r="B854" t="s">
        <v>59</v>
      </c>
      <c r="C854">
        <v>85.34</v>
      </c>
      <c r="D854">
        <v>619</v>
      </c>
      <c r="E854" t="b">
        <v>0</v>
      </c>
      <c r="F854" t="b">
        <v>0</v>
      </c>
      <c r="G854" t="b">
        <v>1</v>
      </c>
      <c r="H854" t="s">
        <v>43</v>
      </c>
      <c r="I854" t="s">
        <v>26</v>
      </c>
      <c r="J854" t="s">
        <v>27</v>
      </c>
      <c r="K854" t="s">
        <v>46</v>
      </c>
      <c r="L854" t="s">
        <v>37</v>
      </c>
      <c r="M854" t="s">
        <v>47</v>
      </c>
      <c r="P854" t="b">
        <v>0</v>
      </c>
      <c r="Q854">
        <v>7.9</v>
      </c>
      <c r="R854" t="b">
        <v>1</v>
      </c>
      <c r="S854" t="s">
        <v>40</v>
      </c>
      <c r="T854">
        <v>21.7</v>
      </c>
      <c r="U854">
        <v>93.85</v>
      </c>
      <c r="V854" t="b">
        <v>1</v>
      </c>
      <c r="W854" t="s">
        <v>41</v>
      </c>
      <c r="AE854" t="str">
        <f t="shared" si="91"/>
        <v>No</v>
      </c>
      <c r="AF854" t="str">
        <f t="shared" si="92"/>
        <v>Unknown</v>
      </c>
      <c r="AG854" t="str">
        <f t="shared" si="93"/>
        <v>No</v>
      </c>
      <c r="AH854" t="str">
        <f t="shared" si="94"/>
        <v>Asked Expert</v>
      </c>
      <c r="AJ854" t="str">
        <f t="shared" si="95"/>
        <v>Moderate Trust</v>
      </c>
      <c r="AL854">
        <f t="shared" si="96"/>
        <v>93.9</v>
      </c>
      <c r="AM854" t="str">
        <f t="shared" si="97"/>
        <v>Bachelors</v>
      </c>
    </row>
    <row r="855" spans="1:39" x14ac:dyDescent="0.25">
      <c r="A855" t="s">
        <v>56</v>
      </c>
      <c r="B855" t="s">
        <v>60</v>
      </c>
      <c r="C855">
        <v>60.79</v>
      </c>
      <c r="D855">
        <v>554</v>
      </c>
      <c r="E855" t="b">
        <v>0</v>
      </c>
      <c r="F855" t="b">
        <v>1</v>
      </c>
      <c r="G855" t="b">
        <v>0</v>
      </c>
      <c r="H855" t="s">
        <v>53</v>
      </c>
      <c r="I855" t="s">
        <v>26</v>
      </c>
      <c r="J855" t="s">
        <v>54</v>
      </c>
      <c r="K855" t="s">
        <v>28</v>
      </c>
      <c r="L855" t="s">
        <v>29</v>
      </c>
      <c r="M855" t="s">
        <v>46</v>
      </c>
      <c r="N855" t="s">
        <v>46</v>
      </c>
      <c r="P855" t="b">
        <v>1</v>
      </c>
      <c r="Q855">
        <v>6</v>
      </c>
      <c r="R855" t="b">
        <v>1</v>
      </c>
      <c r="S855" t="s">
        <v>40</v>
      </c>
      <c r="T855">
        <v>43</v>
      </c>
      <c r="U855">
        <v>69.09</v>
      </c>
      <c r="V855" t="b">
        <v>1</v>
      </c>
      <c r="W855" t="s">
        <v>41</v>
      </c>
      <c r="AE855" t="str">
        <f t="shared" si="91"/>
        <v>Yes</v>
      </c>
      <c r="AF855" t="str">
        <f t="shared" si="92"/>
        <v>Medium</v>
      </c>
      <c r="AG855" t="str">
        <f t="shared" si="93"/>
        <v>No</v>
      </c>
      <c r="AH855" t="str">
        <f t="shared" si="94"/>
        <v>Asked Expert</v>
      </c>
      <c r="AJ855" t="str">
        <f t="shared" si="95"/>
        <v>Moderate Trust</v>
      </c>
      <c r="AL855">
        <f t="shared" si="96"/>
        <v>69.099999999999994</v>
      </c>
      <c r="AM855" t="str">
        <f t="shared" si="97"/>
        <v>Masters</v>
      </c>
    </row>
    <row r="856" spans="1:39" x14ac:dyDescent="0.25">
      <c r="A856" t="s">
        <v>74</v>
      </c>
      <c r="B856" t="s">
        <v>33</v>
      </c>
      <c r="C856">
        <v>76.94</v>
      </c>
      <c r="D856">
        <v>795</v>
      </c>
      <c r="E856" t="b">
        <v>1</v>
      </c>
      <c r="F856" t="b">
        <v>0</v>
      </c>
      <c r="G856" t="b">
        <v>0</v>
      </c>
      <c r="H856" t="s">
        <v>25</v>
      </c>
      <c r="I856" t="s">
        <v>26</v>
      </c>
      <c r="J856" t="s">
        <v>36</v>
      </c>
      <c r="K856" t="s">
        <v>28</v>
      </c>
      <c r="L856" t="s">
        <v>51</v>
      </c>
      <c r="M856" t="s">
        <v>28</v>
      </c>
      <c r="N856" t="s">
        <v>28</v>
      </c>
      <c r="P856" t="b">
        <v>0</v>
      </c>
      <c r="Q856">
        <v>10</v>
      </c>
      <c r="R856" t="b">
        <v>0</v>
      </c>
      <c r="T856">
        <v>0</v>
      </c>
      <c r="U856">
        <v>78.3</v>
      </c>
      <c r="V856" t="b">
        <v>0</v>
      </c>
      <c r="W856" t="s">
        <v>58</v>
      </c>
      <c r="AE856" t="str">
        <f t="shared" si="91"/>
        <v>No</v>
      </c>
      <c r="AF856" t="str">
        <f t="shared" si="92"/>
        <v>Low</v>
      </c>
      <c r="AG856" t="str">
        <f t="shared" si="93"/>
        <v>No</v>
      </c>
      <c r="AH856" t="str">
        <f t="shared" si="94"/>
        <v>Unknown</v>
      </c>
      <c r="AJ856" t="str">
        <f t="shared" si="95"/>
        <v>High Trust</v>
      </c>
      <c r="AL856">
        <f t="shared" si="96"/>
        <v>78.3</v>
      </c>
      <c r="AM856" t="str">
        <f t="shared" si="97"/>
        <v>PhD</v>
      </c>
    </row>
    <row r="857" spans="1:39" x14ac:dyDescent="0.25">
      <c r="A857" t="s">
        <v>32</v>
      </c>
      <c r="B857" t="s">
        <v>76</v>
      </c>
      <c r="C857">
        <v>80.63</v>
      </c>
      <c r="D857">
        <v>418</v>
      </c>
      <c r="E857" t="b">
        <v>0</v>
      </c>
      <c r="F857" t="b">
        <v>1</v>
      </c>
      <c r="G857" t="b">
        <v>1</v>
      </c>
      <c r="H857" t="s">
        <v>43</v>
      </c>
      <c r="I857" t="s">
        <v>63</v>
      </c>
      <c r="J857" t="s">
        <v>54</v>
      </c>
      <c r="K857" t="s">
        <v>39</v>
      </c>
      <c r="L857" t="s">
        <v>51</v>
      </c>
      <c r="M857" t="s">
        <v>46</v>
      </c>
      <c r="O857" t="b">
        <v>0</v>
      </c>
      <c r="P857" t="b">
        <v>0</v>
      </c>
      <c r="Q857">
        <v>6.5</v>
      </c>
      <c r="R857" t="b">
        <v>1</v>
      </c>
      <c r="S857" t="s">
        <v>40</v>
      </c>
      <c r="T857">
        <v>10.1</v>
      </c>
      <c r="U857">
        <v>66.36</v>
      </c>
      <c r="V857" t="b">
        <v>1</v>
      </c>
      <c r="W857" t="s">
        <v>41</v>
      </c>
      <c r="AE857" t="str">
        <f t="shared" si="91"/>
        <v>Yes</v>
      </c>
      <c r="AF857" t="str">
        <f t="shared" si="92"/>
        <v>Unknown</v>
      </c>
      <c r="AG857" t="str">
        <f t="shared" si="93"/>
        <v>No</v>
      </c>
      <c r="AH857" t="str">
        <f t="shared" si="94"/>
        <v>Asked Expert</v>
      </c>
      <c r="AJ857" t="str">
        <f t="shared" si="95"/>
        <v>Moderate Trust</v>
      </c>
      <c r="AL857">
        <f t="shared" si="96"/>
        <v>66.400000000000006</v>
      </c>
      <c r="AM857" t="str">
        <f t="shared" si="97"/>
        <v>Masters</v>
      </c>
    </row>
    <row r="858" spans="1:39" x14ac:dyDescent="0.25">
      <c r="A858" t="s">
        <v>61</v>
      </c>
      <c r="B858" t="s">
        <v>33</v>
      </c>
      <c r="C858">
        <v>85.67</v>
      </c>
      <c r="D858">
        <v>426</v>
      </c>
      <c r="E858" t="b">
        <v>1</v>
      </c>
      <c r="F858" t="b">
        <v>1</v>
      </c>
      <c r="G858" t="b">
        <v>0</v>
      </c>
      <c r="H858" t="s">
        <v>34</v>
      </c>
      <c r="I858" t="s">
        <v>26</v>
      </c>
      <c r="J858" t="s">
        <v>50</v>
      </c>
      <c r="K858" t="s">
        <v>46</v>
      </c>
      <c r="L858" t="s">
        <v>69</v>
      </c>
      <c r="M858" t="s">
        <v>28</v>
      </c>
      <c r="O858" t="b">
        <v>0</v>
      </c>
      <c r="P858" t="b">
        <v>0</v>
      </c>
      <c r="Q858">
        <v>10</v>
      </c>
      <c r="R858" t="b">
        <v>0</v>
      </c>
      <c r="T858">
        <v>0</v>
      </c>
      <c r="U858">
        <v>76.05</v>
      </c>
      <c r="V858" t="b">
        <v>0</v>
      </c>
      <c r="W858" t="s">
        <v>58</v>
      </c>
      <c r="AE858" t="str">
        <f t="shared" si="91"/>
        <v>Yes</v>
      </c>
      <c r="AF858" t="str">
        <f t="shared" si="92"/>
        <v>Unknown</v>
      </c>
      <c r="AG858" t="str">
        <f t="shared" si="93"/>
        <v>No</v>
      </c>
      <c r="AH858" t="str">
        <f t="shared" si="94"/>
        <v>Unknown</v>
      </c>
      <c r="AJ858" t="str">
        <f t="shared" si="95"/>
        <v>High Trust</v>
      </c>
      <c r="AL858">
        <f t="shared" si="96"/>
        <v>76.099999999999994</v>
      </c>
      <c r="AM858" t="str">
        <f t="shared" si="97"/>
        <v>Professional</v>
      </c>
    </row>
    <row r="859" spans="1:39" x14ac:dyDescent="0.25">
      <c r="A859" t="s">
        <v>32</v>
      </c>
      <c r="B859" t="s">
        <v>24</v>
      </c>
      <c r="C859">
        <v>88.56</v>
      </c>
      <c r="D859">
        <v>208</v>
      </c>
      <c r="E859" t="b">
        <v>0</v>
      </c>
      <c r="F859" t="b">
        <v>0</v>
      </c>
      <c r="G859" t="b">
        <v>0</v>
      </c>
      <c r="H859" t="s">
        <v>43</v>
      </c>
      <c r="I859" t="s">
        <v>35</v>
      </c>
      <c r="J859" t="s">
        <v>50</v>
      </c>
      <c r="K859" t="s">
        <v>28</v>
      </c>
      <c r="L859" t="s">
        <v>51</v>
      </c>
      <c r="M859" t="s">
        <v>47</v>
      </c>
      <c r="O859" t="b">
        <v>1</v>
      </c>
      <c r="P859" t="b">
        <v>0</v>
      </c>
      <c r="Q859">
        <v>10</v>
      </c>
      <c r="R859" t="b">
        <v>1</v>
      </c>
      <c r="S859" t="s">
        <v>52</v>
      </c>
      <c r="T859">
        <v>38.5</v>
      </c>
      <c r="U859">
        <v>85.24</v>
      </c>
      <c r="V859" t="b">
        <v>1</v>
      </c>
      <c r="W859" t="s">
        <v>31</v>
      </c>
      <c r="AE859" t="str">
        <f t="shared" si="91"/>
        <v>No</v>
      </c>
      <c r="AF859" t="str">
        <f t="shared" si="92"/>
        <v>Unknown</v>
      </c>
      <c r="AG859" t="str">
        <f t="shared" si="93"/>
        <v>Yes</v>
      </c>
      <c r="AH859" t="str">
        <f t="shared" si="94"/>
        <v>Checked Official Source</v>
      </c>
      <c r="AJ859" t="str">
        <f t="shared" si="95"/>
        <v>High Trust</v>
      </c>
      <c r="AL859">
        <f t="shared" si="96"/>
        <v>85.2</v>
      </c>
      <c r="AM859" t="str">
        <f t="shared" si="97"/>
        <v>Professional</v>
      </c>
    </row>
    <row r="860" spans="1:39" x14ac:dyDescent="0.25">
      <c r="A860" t="s">
        <v>74</v>
      </c>
      <c r="B860" t="s">
        <v>73</v>
      </c>
      <c r="C860">
        <v>65.95</v>
      </c>
      <c r="D860">
        <v>665</v>
      </c>
      <c r="E860" t="b">
        <v>0</v>
      </c>
      <c r="F860" t="b">
        <v>1</v>
      </c>
      <c r="G860" t="b">
        <v>1</v>
      </c>
      <c r="H860" t="s">
        <v>34</v>
      </c>
      <c r="I860" t="s">
        <v>57</v>
      </c>
      <c r="J860" t="s">
        <v>54</v>
      </c>
      <c r="K860" t="s">
        <v>37</v>
      </c>
      <c r="L860" t="s">
        <v>51</v>
      </c>
      <c r="M860" t="s">
        <v>47</v>
      </c>
      <c r="N860" t="s">
        <v>39</v>
      </c>
      <c r="O860" t="b">
        <v>1</v>
      </c>
      <c r="P860" t="b">
        <v>1</v>
      </c>
      <c r="Q860">
        <v>6.8</v>
      </c>
      <c r="R860" t="b">
        <v>1</v>
      </c>
      <c r="S860" t="s">
        <v>52</v>
      </c>
      <c r="T860">
        <v>33.700000000000003</v>
      </c>
      <c r="U860">
        <v>56.61</v>
      </c>
      <c r="V860" t="b">
        <v>1</v>
      </c>
      <c r="W860" t="s">
        <v>41</v>
      </c>
      <c r="AE860" t="str">
        <f t="shared" si="91"/>
        <v>Yes</v>
      </c>
      <c r="AF860" t="str">
        <f t="shared" si="92"/>
        <v>High</v>
      </c>
      <c r="AG860" t="str">
        <f t="shared" si="93"/>
        <v>Yes</v>
      </c>
      <c r="AH860" t="str">
        <f t="shared" si="94"/>
        <v>Checked Official Source</v>
      </c>
      <c r="AJ860" t="str">
        <f t="shared" si="95"/>
        <v>Moderate Trust</v>
      </c>
      <c r="AL860">
        <f t="shared" si="96"/>
        <v>56.6</v>
      </c>
      <c r="AM860" t="str">
        <f t="shared" si="97"/>
        <v>Masters</v>
      </c>
    </row>
    <row r="861" spans="1:39" x14ac:dyDescent="0.25">
      <c r="A861" t="s">
        <v>68</v>
      </c>
      <c r="B861" t="s">
        <v>59</v>
      </c>
      <c r="C861">
        <v>84.07</v>
      </c>
      <c r="D861">
        <v>311</v>
      </c>
      <c r="E861" t="b">
        <v>1</v>
      </c>
      <c r="F861" t="b">
        <v>1</v>
      </c>
      <c r="G861" t="b">
        <v>1</v>
      </c>
      <c r="H861" t="s">
        <v>34</v>
      </c>
      <c r="I861" t="s">
        <v>67</v>
      </c>
      <c r="J861" t="s">
        <v>50</v>
      </c>
      <c r="K861" t="s">
        <v>28</v>
      </c>
      <c r="L861" t="s">
        <v>38</v>
      </c>
      <c r="M861" t="s">
        <v>28</v>
      </c>
      <c r="N861" t="s">
        <v>39</v>
      </c>
      <c r="O861" t="b">
        <v>0</v>
      </c>
      <c r="P861" t="b">
        <v>0</v>
      </c>
      <c r="Q861">
        <v>9.6</v>
      </c>
      <c r="R861" t="b">
        <v>0</v>
      </c>
      <c r="T861">
        <v>0</v>
      </c>
      <c r="U861">
        <v>93.31</v>
      </c>
      <c r="V861" t="b">
        <v>1</v>
      </c>
      <c r="W861" t="s">
        <v>58</v>
      </c>
      <c r="AE861" t="str">
        <f t="shared" si="91"/>
        <v>Yes</v>
      </c>
      <c r="AF861" t="str">
        <f t="shared" si="92"/>
        <v>High</v>
      </c>
      <c r="AG861" t="str">
        <f t="shared" si="93"/>
        <v>No</v>
      </c>
      <c r="AH861" t="str">
        <f t="shared" si="94"/>
        <v>Unknown</v>
      </c>
      <c r="AJ861" t="str">
        <f t="shared" si="95"/>
        <v>High Trust</v>
      </c>
      <c r="AL861">
        <f t="shared" si="96"/>
        <v>93.3</v>
      </c>
      <c r="AM861" t="str">
        <f t="shared" si="97"/>
        <v>Professional</v>
      </c>
    </row>
    <row r="862" spans="1:39" x14ac:dyDescent="0.25">
      <c r="A862" t="s">
        <v>61</v>
      </c>
      <c r="B862" t="s">
        <v>60</v>
      </c>
      <c r="C862">
        <v>61.28</v>
      </c>
      <c r="D862">
        <v>752</v>
      </c>
      <c r="E862" t="b">
        <v>0</v>
      </c>
      <c r="F862" t="b">
        <v>1</v>
      </c>
      <c r="G862" t="b">
        <v>0</v>
      </c>
      <c r="H862" t="s">
        <v>25</v>
      </c>
      <c r="I862" t="s">
        <v>63</v>
      </c>
      <c r="J862" t="s">
        <v>36</v>
      </c>
      <c r="K862" t="s">
        <v>28</v>
      </c>
      <c r="L862" t="s">
        <v>29</v>
      </c>
      <c r="M862" t="s">
        <v>47</v>
      </c>
      <c r="N862" t="s">
        <v>28</v>
      </c>
      <c r="P862" t="b">
        <v>0</v>
      </c>
      <c r="Q862">
        <v>5.7</v>
      </c>
      <c r="R862" t="b">
        <v>1</v>
      </c>
      <c r="S862" t="s">
        <v>40</v>
      </c>
      <c r="T862">
        <v>13.6</v>
      </c>
      <c r="U862">
        <v>49.6</v>
      </c>
      <c r="V862" t="b">
        <v>1</v>
      </c>
      <c r="W862" t="s">
        <v>41</v>
      </c>
      <c r="AE862" t="str">
        <f t="shared" si="91"/>
        <v>Yes</v>
      </c>
      <c r="AF862" t="str">
        <f t="shared" si="92"/>
        <v>Low</v>
      </c>
      <c r="AG862" t="str">
        <f t="shared" si="93"/>
        <v>No</v>
      </c>
      <c r="AH862" t="str">
        <f t="shared" si="94"/>
        <v>Asked Expert</v>
      </c>
      <c r="AJ862" t="str">
        <f t="shared" si="95"/>
        <v>Moderate Trust</v>
      </c>
      <c r="AL862">
        <f t="shared" si="96"/>
        <v>49.6</v>
      </c>
      <c r="AM862" t="str">
        <f t="shared" si="97"/>
        <v>PhD</v>
      </c>
    </row>
    <row r="863" spans="1:39" x14ac:dyDescent="0.25">
      <c r="A863" t="s">
        <v>74</v>
      </c>
      <c r="B863" t="s">
        <v>70</v>
      </c>
      <c r="C863">
        <v>90.13</v>
      </c>
      <c r="D863">
        <v>417</v>
      </c>
      <c r="E863" t="b">
        <v>0</v>
      </c>
      <c r="F863" t="b">
        <v>1</v>
      </c>
      <c r="G863" t="b">
        <v>1</v>
      </c>
      <c r="H863" t="s">
        <v>25</v>
      </c>
      <c r="I863" t="s">
        <v>67</v>
      </c>
      <c r="J863" t="s">
        <v>27</v>
      </c>
      <c r="K863" t="s">
        <v>46</v>
      </c>
      <c r="L863" t="s">
        <v>51</v>
      </c>
      <c r="M863" t="s">
        <v>47</v>
      </c>
      <c r="N863" t="s">
        <v>39</v>
      </c>
      <c r="O863" t="b">
        <v>1</v>
      </c>
      <c r="P863" t="b">
        <v>1</v>
      </c>
      <c r="Q863">
        <v>10</v>
      </c>
      <c r="R863" t="b">
        <v>0</v>
      </c>
      <c r="T863">
        <v>0</v>
      </c>
      <c r="U863">
        <v>85.26</v>
      </c>
      <c r="V863" t="b">
        <v>1</v>
      </c>
      <c r="W863" t="s">
        <v>58</v>
      </c>
      <c r="AE863" t="str">
        <f t="shared" si="91"/>
        <v>Yes</v>
      </c>
      <c r="AF863" t="str">
        <f t="shared" si="92"/>
        <v>High</v>
      </c>
      <c r="AG863" t="str">
        <f t="shared" si="93"/>
        <v>Yes</v>
      </c>
      <c r="AH863" t="str">
        <f t="shared" si="94"/>
        <v>Unknown</v>
      </c>
      <c r="AJ863" t="str">
        <f t="shared" si="95"/>
        <v>High Trust</v>
      </c>
      <c r="AL863">
        <f t="shared" si="96"/>
        <v>85.3</v>
      </c>
      <c r="AM863" t="str">
        <f t="shared" si="97"/>
        <v>Bachelors</v>
      </c>
    </row>
    <row r="864" spans="1:39" x14ac:dyDescent="0.25">
      <c r="A864" t="s">
        <v>56</v>
      </c>
      <c r="B864" t="s">
        <v>60</v>
      </c>
      <c r="C864">
        <v>51</v>
      </c>
      <c r="D864">
        <v>292</v>
      </c>
      <c r="E864" t="b">
        <v>0</v>
      </c>
      <c r="F864" t="b">
        <v>1</v>
      </c>
      <c r="G864" t="b">
        <v>0</v>
      </c>
      <c r="H864" t="s">
        <v>43</v>
      </c>
      <c r="I864" t="s">
        <v>57</v>
      </c>
      <c r="J864" t="s">
        <v>36</v>
      </c>
      <c r="K864" t="s">
        <v>39</v>
      </c>
      <c r="L864" t="s">
        <v>51</v>
      </c>
      <c r="M864" t="s">
        <v>46</v>
      </c>
      <c r="N864" t="s">
        <v>28</v>
      </c>
      <c r="O864" t="b">
        <v>0</v>
      </c>
      <c r="P864" t="b">
        <v>1</v>
      </c>
      <c r="Q864">
        <v>3.3</v>
      </c>
      <c r="R864" t="b">
        <v>1</v>
      </c>
      <c r="S864" t="s">
        <v>40</v>
      </c>
      <c r="T864">
        <v>22.2</v>
      </c>
      <c r="U864">
        <v>62.71</v>
      </c>
      <c r="V864" t="b">
        <v>0</v>
      </c>
      <c r="W864" t="s">
        <v>72</v>
      </c>
      <c r="AE864" t="str">
        <f t="shared" si="91"/>
        <v>Yes</v>
      </c>
      <c r="AF864" t="str">
        <f t="shared" si="92"/>
        <v>Low</v>
      </c>
      <c r="AG864" t="str">
        <f t="shared" si="93"/>
        <v>No</v>
      </c>
      <c r="AH864" t="str">
        <f t="shared" si="94"/>
        <v>Asked Expert</v>
      </c>
      <c r="AJ864" t="str">
        <f t="shared" si="95"/>
        <v>Moderate Trust</v>
      </c>
      <c r="AL864">
        <f t="shared" si="96"/>
        <v>62.7</v>
      </c>
      <c r="AM864" t="str">
        <f t="shared" si="97"/>
        <v>PhD</v>
      </c>
    </row>
    <row r="865" spans="1:39" x14ac:dyDescent="0.25">
      <c r="A865" t="s">
        <v>61</v>
      </c>
      <c r="B865" t="s">
        <v>70</v>
      </c>
      <c r="C865">
        <v>76.83</v>
      </c>
      <c r="D865">
        <v>170</v>
      </c>
      <c r="E865" t="b">
        <v>1</v>
      </c>
      <c r="F865" t="b">
        <v>1</v>
      </c>
      <c r="G865" t="b">
        <v>0</v>
      </c>
      <c r="H865" t="s">
        <v>53</v>
      </c>
      <c r="I865" t="s">
        <v>63</v>
      </c>
      <c r="J865" t="s">
        <v>54</v>
      </c>
      <c r="K865" t="s">
        <v>37</v>
      </c>
      <c r="L865" t="s">
        <v>38</v>
      </c>
      <c r="M865" t="s">
        <v>47</v>
      </c>
      <c r="N865" t="s">
        <v>46</v>
      </c>
      <c r="P865" t="b">
        <v>1</v>
      </c>
      <c r="Q865">
        <v>7.8</v>
      </c>
      <c r="R865" t="b">
        <v>1</v>
      </c>
      <c r="S865" t="s">
        <v>75</v>
      </c>
      <c r="T865">
        <v>28.5</v>
      </c>
      <c r="U865">
        <v>80.37</v>
      </c>
      <c r="V865" t="b">
        <v>1</v>
      </c>
      <c r="W865" t="s">
        <v>41</v>
      </c>
      <c r="AE865" t="str">
        <f t="shared" si="91"/>
        <v>Yes</v>
      </c>
      <c r="AF865" t="str">
        <f t="shared" si="92"/>
        <v>Medium</v>
      </c>
      <c r="AG865" t="str">
        <f t="shared" si="93"/>
        <v>No</v>
      </c>
      <c r="AH865" t="str">
        <f t="shared" si="94"/>
        <v>Asked Colleague</v>
      </c>
      <c r="AJ865" t="str">
        <f t="shared" si="95"/>
        <v>Moderate Trust</v>
      </c>
      <c r="AL865">
        <f t="shared" si="96"/>
        <v>80.400000000000006</v>
      </c>
      <c r="AM865" t="str">
        <f t="shared" si="97"/>
        <v>Masters</v>
      </c>
    </row>
    <row r="866" spans="1:39" x14ac:dyDescent="0.25">
      <c r="A866" t="s">
        <v>23</v>
      </c>
      <c r="B866" t="s">
        <v>66</v>
      </c>
      <c r="C866">
        <v>66.87</v>
      </c>
      <c r="D866">
        <v>420</v>
      </c>
      <c r="E866" t="b">
        <v>1</v>
      </c>
      <c r="F866" t="b">
        <v>0</v>
      </c>
      <c r="G866" t="b">
        <v>1</v>
      </c>
      <c r="H866" t="s">
        <v>43</v>
      </c>
      <c r="I866" t="s">
        <v>26</v>
      </c>
      <c r="J866" t="s">
        <v>45</v>
      </c>
      <c r="K866" t="s">
        <v>46</v>
      </c>
      <c r="L866" t="s">
        <v>69</v>
      </c>
      <c r="M866" t="s">
        <v>28</v>
      </c>
      <c r="O866" t="b">
        <v>0</v>
      </c>
      <c r="P866" t="b">
        <v>0</v>
      </c>
      <c r="Q866">
        <v>8.1</v>
      </c>
      <c r="R866" t="b">
        <v>0</v>
      </c>
      <c r="T866">
        <v>0</v>
      </c>
      <c r="U866">
        <v>59.27</v>
      </c>
      <c r="V866" t="b">
        <v>0</v>
      </c>
      <c r="W866" t="s">
        <v>58</v>
      </c>
      <c r="AE866" t="str">
        <f t="shared" si="91"/>
        <v>No</v>
      </c>
      <c r="AF866" t="str">
        <f t="shared" si="92"/>
        <v>Unknown</v>
      </c>
      <c r="AG866" t="str">
        <f t="shared" si="93"/>
        <v>No</v>
      </c>
      <c r="AH866" t="str">
        <f t="shared" si="94"/>
        <v>Unknown</v>
      </c>
      <c r="AJ866" t="str">
        <f t="shared" si="95"/>
        <v>High Trust</v>
      </c>
      <c r="AL866">
        <f t="shared" si="96"/>
        <v>59.3</v>
      </c>
      <c r="AM866" t="str">
        <f t="shared" si="97"/>
        <v>High School</v>
      </c>
    </row>
    <row r="867" spans="1:39" x14ac:dyDescent="0.25">
      <c r="A867" t="s">
        <v>61</v>
      </c>
      <c r="B867" t="s">
        <v>59</v>
      </c>
      <c r="C867">
        <v>82.13</v>
      </c>
      <c r="D867">
        <v>542</v>
      </c>
      <c r="E867" t="b">
        <v>1</v>
      </c>
      <c r="F867" t="b">
        <v>1</v>
      </c>
      <c r="G867" t="b">
        <v>1</v>
      </c>
      <c r="H867" t="s">
        <v>43</v>
      </c>
      <c r="I867" t="s">
        <v>44</v>
      </c>
      <c r="J867" t="s">
        <v>54</v>
      </c>
      <c r="K867" t="s">
        <v>46</v>
      </c>
      <c r="L867" t="s">
        <v>38</v>
      </c>
      <c r="M867" t="s">
        <v>39</v>
      </c>
      <c r="P867" t="b">
        <v>0</v>
      </c>
      <c r="Q867">
        <v>9.8000000000000007</v>
      </c>
      <c r="R867" t="b">
        <v>0</v>
      </c>
      <c r="T867">
        <v>0</v>
      </c>
      <c r="U867">
        <v>95.48</v>
      </c>
      <c r="V867" t="b">
        <v>1</v>
      </c>
      <c r="W867" t="s">
        <v>58</v>
      </c>
      <c r="AE867" t="str">
        <f t="shared" si="91"/>
        <v>Yes</v>
      </c>
      <c r="AF867" t="str">
        <f t="shared" si="92"/>
        <v>Unknown</v>
      </c>
      <c r="AG867" t="str">
        <f t="shared" si="93"/>
        <v>No</v>
      </c>
      <c r="AH867" t="str">
        <f t="shared" si="94"/>
        <v>Unknown</v>
      </c>
      <c r="AJ867" t="str">
        <f t="shared" si="95"/>
        <v>High Trust</v>
      </c>
      <c r="AL867">
        <f t="shared" si="96"/>
        <v>95.5</v>
      </c>
      <c r="AM867" t="str">
        <f t="shared" si="97"/>
        <v>Masters</v>
      </c>
    </row>
    <row r="868" spans="1:39" x14ac:dyDescent="0.25">
      <c r="A868" t="s">
        <v>56</v>
      </c>
      <c r="B868" t="s">
        <v>33</v>
      </c>
      <c r="C868">
        <v>85.54</v>
      </c>
      <c r="D868">
        <v>629</v>
      </c>
      <c r="E868" t="b">
        <v>1</v>
      </c>
      <c r="F868" t="b">
        <v>0</v>
      </c>
      <c r="G868" t="b">
        <v>1</v>
      </c>
      <c r="H868" t="s">
        <v>53</v>
      </c>
      <c r="I868" t="s">
        <v>44</v>
      </c>
      <c r="J868" t="s">
        <v>45</v>
      </c>
      <c r="K868" t="s">
        <v>39</v>
      </c>
      <c r="L868" t="s">
        <v>51</v>
      </c>
      <c r="M868" t="s">
        <v>28</v>
      </c>
      <c r="N868" t="s">
        <v>39</v>
      </c>
      <c r="O868" t="b">
        <v>0</v>
      </c>
      <c r="P868" t="b">
        <v>1</v>
      </c>
      <c r="Q868">
        <v>8.9</v>
      </c>
      <c r="R868" t="b">
        <v>0</v>
      </c>
      <c r="T868">
        <v>0</v>
      </c>
      <c r="U868">
        <v>74.56</v>
      </c>
      <c r="V868" t="b">
        <v>1</v>
      </c>
      <c r="W868" t="s">
        <v>58</v>
      </c>
      <c r="AE868" t="str">
        <f t="shared" si="91"/>
        <v>No</v>
      </c>
      <c r="AF868" t="str">
        <f t="shared" si="92"/>
        <v>High</v>
      </c>
      <c r="AG868" t="str">
        <f t="shared" si="93"/>
        <v>No</v>
      </c>
      <c r="AH868" t="str">
        <f t="shared" si="94"/>
        <v>Unknown</v>
      </c>
      <c r="AJ868" t="str">
        <f t="shared" si="95"/>
        <v>High Trust</v>
      </c>
      <c r="AL868">
        <f t="shared" si="96"/>
        <v>74.599999999999994</v>
      </c>
      <c r="AM868" t="str">
        <f t="shared" si="97"/>
        <v>High School</v>
      </c>
    </row>
    <row r="869" spans="1:39" x14ac:dyDescent="0.25">
      <c r="A869" t="s">
        <v>32</v>
      </c>
      <c r="B869" t="s">
        <v>59</v>
      </c>
      <c r="C869">
        <v>75.069999999999993</v>
      </c>
      <c r="D869">
        <v>215</v>
      </c>
      <c r="E869" t="b">
        <v>1</v>
      </c>
      <c r="F869" t="b">
        <v>1</v>
      </c>
      <c r="G869" t="b">
        <v>0</v>
      </c>
      <c r="H869" t="s">
        <v>34</v>
      </c>
      <c r="I869" t="s">
        <v>57</v>
      </c>
      <c r="J869" t="s">
        <v>27</v>
      </c>
      <c r="K869" t="s">
        <v>39</v>
      </c>
      <c r="L869" t="s">
        <v>51</v>
      </c>
      <c r="M869" t="s">
        <v>46</v>
      </c>
      <c r="P869" t="b">
        <v>0</v>
      </c>
      <c r="Q869">
        <v>8.4</v>
      </c>
      <c r="R869" t="b">
        <v>1</v>
      </c>
      <c r="S869" t="s">
        <v>55</v>
      </c>
      <c r="T869">
        <v>37.700000000000003</v>
      </c>
      <c r="U869">
        <v>76.739999999999995</v>
      </c>
      <c r="V869" t="b">
        <v>1</v>
      </c>
      <c r="W869" t="s">
        <v>31</v>
      </c>
      <c r="AE869" t="str">
        <f t="shared" si="91"/>
        <v>Yes</v>
      </c>
      <c r="AF869" t="str">
        <f t="shared" si="92"/>
        <v>Unknown</v>
      </c>
      <c r="AG869" t="str">
        <f t="shared" si="93"/>
        <v>No</v>
      </c>
      <c r="AH869" t="str">
        <f t="shared" si="94"/>
        <v>Academic Paper</v>
      </c>
      <c r="AJ869" t="str">
        <f t="shared" si="95"/>
        <v>High Trust</v>
      </c>
      <c r="AL869">
        <f t="shared" si="96"/>
        <v>76.7</v>
      </c>
      <c r="AM869" t="str">
        <f t="shared" si="97"/>
        <v>Bachelors</v>
      </c>
    </row>
    <row r="870" spans="1:39" x14ac:dyDescent="0.25">
      <c r="A870" t="s">
        <v>74</v>
      </c>
      <c r="B870" t="s">
        <v>66</v>
      </c>
      <c r="C870">
        <v>78.319999999999993</v>
      </c>
      <c r="D870">
        <v>783</v>
      </c>
      <c r="E870" t="b">
        <v>1</v>
      </c>
      <c r="F870" t="b">
        <v>0</v>
      </c>
      <c r="G870" t="b">
        <v>0</v>
      </c>
      <c r="H870" t="s">
        <v>34</v>
      </c>
      <c r="I870" t="s">
        <v>67</v>
      </c>
      <c r="J870" t="s">
        <v>54</v>
      </c>
      <c r="K870" t="s">
        <v>28</v>
      </c>
      <c r="L870" t="s">
        <v>51</v>
      </c>
      <c r="M870" t="s">
        <v>28</v>
      </c>
      <c r="N870" t="s">
        <v>39</v>
      </c>
      <c r="O870" t="b">
        <v>1</v>
      </c>
      <c r="P870" t="b">
        <v>1</v>
      </c>
      <c r="Q870">
        <v>10</v>
      </c>
      <c r="R870" t="b">
        <v>0</v>
      </c>
      <c r="T870">
        <v>0</v>
      </c>
      <c r="U870">
        <v>72.11</v>
      </c>
      <c r="V870" t="b">
        <v>0</v>
      </c>
      <c r="W870" t="s">
        <v>58</v>
      </c>
      <c r="AE870" t="str">
        <f t="shared" si="91"/>
        <v>No</v>
      </c>
      <c r="AF870" t="str">
        <f t="shared" si="92"/>
        <v>High</v>
      </c>
      <c r="AG870" t="str">
        <f t="shared" si="93"/>
        <v>Yes</v>
      </c>
      <c r="AH870" t="str">
        <f t="shared" si="94"/>
        <v>Unknown</v>
      </c>
      <c r="AJ870" t="str">
        <f t="shared" si="95"/>
        <v>High Trust</v>
      </c>
      <c r="AL870">
        <f t="shared" si="96"/>
        <v>72.099999999999994</v>
      </c>
      <c r="AM870" t="str">
        <f t="shared" si="97"/>
        <v>Masters</v>
      </c>
    </row>
    <row r="871" spans="1:39" x14ac:dyDescent="0.25">
      <c r="A871" t="s">
        <v>68</v>
      </c>
      <c r="B871" t="s">
        <v>33</v>
      </c>
      <c r="C871">
        <v>83.81</v>
      </c>
      <c r="D871">
        <v>352</v>
      </c>
      <c r="E871" t="b">
        <v>0</v>
      </c>
      <c r="F871" t="b">
        <v>1</v>
      </c>
      <c r="G871" t="b">
        <v>1</v>
      </c>
      <c r="H871" t="s">
        <v>43</v>
      </c>
      <c r="I871" t="s">
        <v>67</v>
      </c>
      <c r="J871" t="s">
        <v>45</v>
      </c>
      <c r="K871" t="s">
        <v>39</v>
      </c>
      <c r="L871" t="s">
        <v>69</v>
      </c>
      <c r="M871" t="s">
        <v>47</v>
      </c>
      <c r="N871" t="s">
        <v>46</v>
      </c>
      <c r="P871" t="b">
        <v>1</v>
      </c>
      <c r="Q871">
        <v>7.6</v>
      </c>
      <c r="R871" t="b">
        <v>1</v>
      </c>
      <c r="S871" t="s">
        <v>48</v>
      </c>
      <c r="T871">
        <v>19.8</v>
      </c>
      <c r="U871">
        <v>69.73</v>
      </c>
      <c r="V871" t="b">
        <v>1</v>
      </c>
      <c r="W871" t="s">
        <v>41</v>
      </c>
      <c r="AE871" t="str">
        <f t="shared" si="91"/>
        <v>Yes</v>
      </c>
      <c r="AF871" t="str">
        <f t="shared" si="92"/>
        <v>Medium</v>
      </c>
      <c r="AG871" t="str">
        <f t="shared" si="93"/>
        <v>No</v>
      </c>
      <c r="AH871" t="str">
        <f t="shared" si="94"/>
        <v>Consulted Documentation</v>
      </c>
      <c r="AJ871" t="str">
        <f t="shared" si="95"/>
        <v>Moderate Trust</v>
      </c>
      <c r="AL871">
        <f t="shared" si="96"/>
        <v>69.7</v>
      </c>
      <c r="AM871" t="str">
        <f t="shared" si="97"/>
        <v>High School</v>
      </c>
    </row>
    <row r="872" spans="1:39" x14ac:dyDescent="0.25">
      <c r="A872" t="s">
        <v>74</v>
      </c>
      <c r="B872" t="s">
        <v>60</v>
      </c>
      <c r="C872">
        <v>50.12</v>
      </c>
      <c r="D872">
        <v>293</v>
      </c>
      <c r="E872" t="b">
        <v>0</v>
      </c>
      <c r="F872" t="b">
        <v>1</v>
      </c>
      <c r="G872" t="b">
        <v>1</v>
      </c>
      <c r="H872" t="s">
        <v>34</v>
      </c>
      <c r="I872" t="s">
        <v>63</v>
      </c>
      <c r="J872" t="s">
        <v>36</v>
      </c>
      <c r="K872" t="s">
        <v>39</v>
      </c>
      <c r="L872" t="s">
        <v>51</v>
      </c>
      <c r="M872" t="s">
        <v>47</v>
      </c>
      <c r="O872" t="b">
        <v>1</v>
      </c>
      <c r="P872" t="b">
        <v>1</v>
      </c>
      <c r="Q872">
        <v>5.0999999999999996</v>
      </c>
      <c r="R872" t="b">
        <v>1</v>
      </c>
      <c r="S872" t="s">
        <v>75</v>
      </c>
      <c r="T872">
        <v>27.3</v>
      </c>
      <c r="U872">
        <v>53.62</v>
      </c>
      <c r="V872" t="b">
        <v>1</v>
      </c>
      <c r="W872" t="s">
        <v>41</v>
      </c>
      <c r="AE872" t="str">
        <f t="shared" si="91"/>
        <v>Yes</v>
      </c>
      <c r="AF872" t="str">
        <f t="shared" si="92"/>
        <v>Unknown</v>
      </c>
      <c r="AG872" t="str">
        <f t="shared" si="93"/>
        <v>Yes</v>
      </c>
      <c r="AH872" t="str">
        <f t="shared" si="94"/>
        <v>Asked Colleague</v>
      </c>
      <c r="AJ872" t="str">
        <f t="shared" si="95"/>
        <v>Moderate Trust</v>
      </c>
      <c r="AL872">
        <f t="shared" si="96"/>
        <v>53.6</v>
      </c>
      <c r="AM872" t="str">
        <f t="shared" si="97"/>
        <v>PhD</v>
      </c>
    </row>
    <row r="873" spans="1:39" x14ac:dyDescent="0.25">
      <c r="A873" t="s">
        <v>56</v>
      </c>
      <c r="B873" t="s">
        <v>33</v>
      </c>
      <c r="C873">
        <v>82.35</v>
      </c>
      <c r="D873">
        <v>764</v>
      </c>
      <c r="E873" t="b">
        <v>1</v>
      </c>
      <c r="F873" t="b">
        <v>1</v>
      </c>
      <c r="G873" t="b">
        <v>0</v>
      </c>
      <c r="H873" t="s">
        <v>53</v>
      </c>
      <c r="I873" t="s">
        <v>67</v>
      </c>
      <c r="J873" t="s">
        <v>27</v>
      </c>
      <c r="K873" t="s">
        <v>39</v>
      </c>
      <c r="L873" t="s">
        <v>37</v>
      </c>
      <c r="M873" t="s">
        <v>46</v>
      </c>
      <c r="N873" t="s">
        <v>46</v>
      </c>
      <c r="O873" t="b">
        <v>1</v>
      </c>
      <c r="P873" t="b">
        <v>1</v>
      </c>
      <c r="Q873">
        <v>10</v>
      </c>
      <c r="R873" t="b">
        <v>0</v>
      </c>
      <c r="T873">
        <v>0</v>
      </c>
      <c r="U873">
        <v>83.62</v>
      </c>
      <c r="V873" t="b">
        <v>1</v>
      </c>
      <c r="W873" t="s">
        <v>58</v>
      </c>
      <c r="AE873" t="str">
        <f t="shared" si="91"/>
        <v>Yes</v>
      </c>
      <c r="AF873" t="str">
        <f t="shared" si="92"/>
        <v>Medium</v>
      </c>
      <c r="AG873" t="str">
        <f t="shared" si="93"/>
        <v>Yes</v>
      </c>
      <c r="AH873" t="str">
        <f t="shared" si="94"/>
        <v>Unknown</v>
      </c>
      <c r="AJ873" t="str">
        <f t="shared" si="95"/>
        <v>High Trust</v>
      </c>
      <c r="AL873">
        <f t="shared" si="96"/>
        <v>83.6</v>
      </c>
      <c r="AM873" t="str">
        <f t="shared" si="97"/>
        <v>Bachelors</v>
      </c>
    </row>
    <row r="874" spans="1:39" x14ac:dyDescent="0.25">
      <c r="A874" t="s">
        <v>68</v>
      </c>
      <c r="B874" t="s">
        <v>42</v>
      </c>
      <c r="C874">
        <v>82.34</v>
      </c>
      <c r="D874">
        <v>320</v>
      </c>
      <c r="E874" t="b">
        <v>1</v>
      </c>
      <c r="F874" t="b">
        <v>0</v>
      </c>
      <c r="G874" t="b">
        <v>0</v>
      </c>
      <c r="H874" t="s">
        <v>34</v>
      </c>
      <c r="I874" t="s">
        <v>35</v>
      </c>
      <c r="J874" t="s">
        <v>27</v>
      </c>
      <c r="K874" t="s">
        <v>46</v>
      </c>
      <c r="L874" t="s">
        <v>37</v>
      </c>
      <c r="M874" t="s">
        <v>47</v>
      </c>
      <c r="N874" t="s">
        <v>28</v>
      </c>
      <c r="P874" t="b">
        <v>0</v>
      </c>
      <c r="Q874">
        <v>8.6999999999999993</v>
      </c>
      <c r="R874" t="b">
        <v>1</v>
      </c>
      <c r="S874" t="s">
        <v>52</v>
      </c>
      <c r="T874">
        <v>32.5</v>
      </c>
      <c r="U874">
        <v>89.17</v>
      </c>
      <c r="V874" t="b">
        <v>1</v>
      </c>
      <c r="W874" t="s">
        <v>31</v>
      </c>
      <c r="AE874" t="str">
        <f t="shared" si="91"/>
        <v>No</v>
      </c>
      <c r="AF874" t="str">
        <f t="shared" si="92"/>
        <v>Low</v>
      </c>
      <c r="AG874" t="str">
        <f t="shared" si="93"/>
        <v>No</v>
      </c>
      <c r="AH874" t="str">
        <f t="shared" si="94"/>
        <v>Checked Official Source</v>
      </c>
      <c r="AJ874" t="str">
        <f t="shared" si="95"/>
        <v>High Trust</v>
      </c>
      <c r="AL874">
        <f t="shared" si="96"/>
        <v>89.2</v>
      </c>
      <c r="AM874" t="str">
        <f t="shared" si="97"/>
        <v>Bachelors</v>
      </c>
    </row>
    <row r="875" spans="1:39" x14ac:dyDescent="0.25">
      <c r="A875" t="s">
        <v>74</v>
      </c>
      <c r="B875" t="s">
        <v>42</v>
      </c>
      <c r="C875">
        <v>83.27</v>
      </c>
      <c r="D875">
        <v>496</v>
      </c>
      <c r="E875" t="b">
        <v>1</v>
      </c>
      <c r="F875" t="b">
        <v>0</v>
      </c>
      <c r="G875" t="b">
        <v>1</v>
      </c>
      <c r="H875" t="s">
        <v>25</v>
      </c>
      <c r="I875" t="s">
        <v>44</v>
      </c>
      <c r="J875" t="s">
        <v>36</v>
      </c>
      <c r="K875" t="s">
        <v>37</v>
      </c>
      <c r="L875" t="s">
        <v>37</v>
      </c>
      <c r="M875" t="s">
        <v>46</v>
      </c>
      <c r="N875" t="s">
        <v>39</v>
      </c>
      <c r="O875" t="b">
        <v>0</v>
      </c>
      <c r="P875" t="b">
        <v>0</v>
      </c>
      <c r="Q875">
        <v>7.8</v>
      </c>
      <c r="R875" t="b">
        <v>0</v>
      </c>
      <c r="T875">
        <v>0</v>
      </c>
      <c r="U875">
        <v>89.22</v>
      </c>
      <c r="V875" t="b">
        <v>1</v>
      </c>
      <c r="W875" t="s">
        <v>31</v>
      </c>
      <c r="AE875" t="str">
        <f t="shared" si="91"/>
        <v>No</v>
      </c>
      <c r="AF875" t="str">
        <f t="shared" si="92"/>
        <v>High</v>
      </c>
      <c r="AG875" t="str">
        <f t="shared" si="93"/>
        <v>No</v>
      </c>
      <c r="AH875" t="str">
        <f t="shared" si="94"/>
        <v>Unknown</v>
      </c>
      <c r="AJ875" t="str">
        <f t="shared" si="95"/>
        <v>Moderate Trust</v>
      </c>
      <c r="AL875">
        <f t="shared" si="96"/>
        <v>89.2</v>
      </c>
      <c r="AM875" t="str">
        <f t="shared" si="97"/>
        <v>PhD</v>
      </c>
    </row>
    <row r="876" spans="1:39" x14ac:dyDescent="0.25">
      <c r="A876" t="s">
        <v>32</v>
      </c>
      <c r="B876" t="s">
        <v>62</v>
      </c>
      <c r="C876">
        <v>67.34</v>
      </c>
      <c r="D876">
        <v>64</v>
      </c>
      <c r="E876" t="b">
        <v>1</v>
      </c>
      <c r="F876" t="b">
        <v>0</v>
      </c>
      <c r="G876" t="b">
        <v>0</v>
      </c>
      <c r="H876" t="s">
        <v>34</v>
      </c>
      <c r="I876" t="s">
        <v>35</v>
      </c>
      <c r="J876" t="s">
        <v>27</v>
      </c>
      <c r="K876" t="s">
        <v>39</v>
      </c>
      <c r="L876" t="s">
        <v>37</v>
      </c>
      <c r="M876" t="s">
        <v>39</v>
      </c>
      <c r="N876" t="s">
        <v>46</v>
      </c>
      <c r="O876" t="b">
        <v>0</v>
      </c>
      <c r="P876" t="b">
        <v>1</v>
      </c>
      <c r="Q876">
        <v>6.5</v>
      </c>
      <c r="R876" t="b">
        <v>1</v>
      </c>
      <c r="S876" t="s">
        <v>75</v>
      </c>
      <c r="T876">
        <v>30.6</v>
      </c>
      <c r="U876">
        <v>64.33</v>
      </c>
      <c r="V876" t="b">
        <v>1</v>
      </c>
      <c r="W876" t="s">
        <v>41</v>
      </c>
      <c r="AE876" t="str">
        <f t="shared" si="91"/>
        <v>No</v>
      </c>
      <c r="AF876" t="str">
        <f t="shared" si="92"/>
        <v>Medium</v>
      </c>
      <c r="AG876" t="str">
        <f t="shared" si="93"/>
        <v>No</v>
      </c>
      <c r="AH876" t="str">
        <f t="shared" si="94"/>
        <v>Asked Colleague</v>
      </c>
      <c r="AJ876" t="str">
        <f t="shared" si="95"/>
        <v>Moderate Trust</v>
      </c>
      <c r="AL876">
        <f t="shared" si="96"/>
        <v>64.3</v>
      </c>
      <c r="AM876" t="str">
        <f t="shared" si="97"/>
        <v>Bachelors</v>
      </c>
    </row>
    <row r="877" spans="1:39" x14ac:dyDescent="0.25">
      <c r="A877" t="s">
        <v>32</v>
      </c>
      <c r="B877" t="s">
        <v>24</v>
      </c>
      <c r="C877">
        <v>91.82</v>
      </c>
      <c r="D877">
        <v>628</v>
      </c>
      <c r="E877" t="b">
        <v>1</v>
      </c>
      <c r="F877" t="b">
        <v>0</v>
      </c>
      <c r="G877" t="b">
        <v>0</v>
      </c>
      <c r="H877" t="s">
        <v>25</v>
      </c>
      <c r="I877" t="s">
        <v>44</v>
      </c>
      <c r="J877" t="s">
        <v>50</v>
      </c>
      <c r="K877" t="s">
        <v>28</v>
      </c>
      <c r="L877" t="s">
        <v>37</v>
      </c>
      <c r="M877" t="s">
        <v>46</v>
      </c>
      <c r="N877" t="s">
        <v>46</v>
      </c>
      <c r="O877" t="b">
        <v>1</v>
      </c>
      <c r="P877" t="b">
        <v>1</v>
      </c>
      <c r="Q877">
        <v>10</v>
      </c>
      <c r="R877" t="b">
        <v>0</v>
      </c>
      <c r="T877">
        <v>0</v>
      </c>
      <c r="U877">
        <v>98.17</v>
      </c>
      <c r="V877" t="b">
        <v>1</v>
      </c>
      <c r="W877" t="s">
        <v>58</v>
      </c>
      <c r="AE877" t="str">
        <f t="shared" si="91"/>
        <v>No</v>
      </c>
      <c r="AF877" t="str">
        <f t="shared" si="92"/>
        <v>Medium</v>
      </c>
      <c r="AG877" t="str">
        <f t="shared" si="93"/>
        <v>Yes</v>
      </c>
      <c r="AH877" t="str">
        <f t="shared" si="94"/>
        <v>Unknown</v>
      </c>
      <c r="AJ877" t="str">
        <f t="shared" si="95"/>
        <v>High Trust</v>
      </c>
      <c r="AL877">
        <f t="shared" si="96"/>
        <v>98.2</v>
      </c>
      <c r="AM877" t="str">
        <f t="shared" si="97"/>
        <v>Professional</v>
      </c>
    </row>
    <row r="878" spans="1:39" x14ac:dyDescent="0.25">
      <c r="A878" t="s">
        <v>56</v>
      </c>
      <c r="B878" t="s">
        <v>71</v>
      </c>
      <c r="C878">
        <v>47.45</v>
      </c>
      <c r="D878">
        <v>536</v>
      </c>
      <c r="E878" t="b">
        <v>1</v>
      </c>
      <c r="F878" t="b">
        <v>0</v>
      </c>
      <c r="G878" t="b">
        <v>0</v>
      </c>
      <c r="H878" t="s">
        <v>53</v>
      </c>
      <c r="I878" t="s">
        <v>67</v>
      </c>
      <c r="J878" t="s">
        <v>54</v>
      </c>
      <c r="K878" t="s">
        <v>46</v>
      </c>
      <c r="L878" t="s">
        <v>69</v>
      </c>
      <c r="M878" t="s">
        <v>47</v>
      </c>
      <c r="N878" t="s">
        <v>39</v>
      </c>
      <c r="O878" t="b">
        <v>0</v>
      </c>
      <c r="P878" t="b">
        <v>1</v>
      </c>
      <c r="Q878">
        <v>5.3</v>
      </c>
      <c r="R878" t="b">
        <v>1</v>
      </c>
      <c r="S878" t="s">
        <v>55</v>
      </c>
      <c r="T878">
        <v>10.6</v>
      </c>
      <c r="U878">
        <v>38.83</v>
      </c>
      <c r="V878" t="b">
        <v>1</v>
      </c>
      <c r="W878" t="s">
        <v>41</v>
      </c>
      <c r="AE878" t="str">
        <f t="shared" si="91"/>
        <v>No</v>
      </c>
      <c r="AF878" t="str">
        <f t="shared" si="92"/>
        <v>High</v>
      </c>
      <c r="AG878" t="str">
        <f t="shared" si="93"/>
        <v>No</v>
      </c>
      <c r="AH878" t="str">
        <f t="shared" si="94"/>
        <v>Academic Paper</v>
      </c>
      <c r="AJ878" t="str">
        <f t="shared" si="95"/>
        <v>Moderate Trust</v>
      </c>
      <c r="AL878">
        <f t="shared" si="96"/>
        <v>38.799999999999997</v>
      </c>
      <c r="AM878" t="str">
        <f t="shared" si="97"/>
        <v>Masters</v>
      </c>
    </row>
    <row r="879" spans="1:39" x14ac:dyDescent="0.25">
      <c r="A879" t="s">
        <v>68</v>
      </c>
      <c r="B879" t="s">
        <v>71</v>
      </c>
      <c r="C879">
        <v>56.73</v>
      </c>
      <c r="D879">
        <v>150</v>
      </c>
      <c r="E879" t="b">
        <v>1</v>
      </c>
      <c r="F879" t="b">
        <v>0</v>
      </c>
      <c r="G879" t="b">
        <v>0</v>
      </c>
      <c r="H879" t="s">
        <v>25</v>
      </c>
      <c r="I879" t="s">
        <v>35</v>
      </c>
      <c r="J879" t="s">
        <v>27</v>
      </c>
      <c r="K879" t="s">
        <v>37</v>
      </c>
      <c r="L879" t="s">
        <v>29</v>
      </c>
      <c r="M879" t="s">
        <v>46</v>
      </c>
      <c r="O879" t="b">
        <v>1</v>
      </c>
      <c r="P879" t="b">
        <v>1</v>
      </c>
      <c r="Q879">
        <v>8.1</v>
      </c>
      <c r="R879" t="b">
        <v>0</v>
      </c>
      <c r="T879">
        <v>0</v>
      </c>
      <c r="U879">
        <v>35.85</v>
      </c>
      <c r="V879" t="b">
        <v>0</v>
      </c>
      <c r="W879" t="s">
        <v>58</v>
      </c>
      <c r="AE879" t="str">
        <f t="shared" si="91"/>
        <v>No</v>
      </c>
      <c r="AF879" t="str">
        <f t="shared" si="92"/>
        <v>Unknown</v>
      </c>
      <c r="AG879" t="str">
        <f t="shared" si="93"/>
        <v>Yes</v>
      </c>
      <c r="AH879" t="str">
        <f t="shared" si="94"/>
        <v>Unknown</v>
      </c>
      <c r="AJ879" t="str">
        <f t="shared" si="95"/>
        <v>High Trust</v>
      </c>
      <c r="AL879">
        <f t="shared" si="96"/>
        <v>35.9</v>
      </c>
      <c r="AM879" t="str">
        <f t="shared" si="97"/>
        <v>Bachelors</v>
      </c>
    </row>
    <row r="880" spans="1:39" x14ac:dyDescent="0.25">
      <c r="A880" t="s">
        <v>32</v>
      </c>
      <c r="B880" t="s">
        <v>33</v>
      </c>
      <c r="C880">
        <v>87.83</v>
      </c>
      <c r="D880">
        <v>677</v>
      </c>
      <c r="E880" t="b">
        <v>1</v>
      </c>
      <c r="F880" t="b">
        <v>0</v>
      </c>
      <c r="G880" t="b">
        <v>0</v>
      </c>
      <c r="H880" t="s">
        <v>53</v>
      </c>
      <c r="I880" t="s">
        <v>67</v>
      </c>
      <c r="J880" t="s">
        <v>50</v>
      </c>
      <c r="K880" t="s">
        <v>28</v>
      </c>
      <c r="L880" t="s">
        <v>37</v>
      </c>
      <c r="M880" t="s">
        <v>47</v>
      </c>
      <c r="N880" t="s">
        <v>46</v>
      </c>
      <c r="P880" t="b">
        <v>1</v>
      </c>
      <c r="Q880">
        <v>9.3000000000000007</v>
      </c>
      <c r="R880" t="b">
        <v>1</v>
      </c>
      <c r="S880" t="s">
        <v>40</v>
      </c>
      <c r="T880">
        <v>24.1</v>
      </c>
      <c r="U880">
        <v>93.16</v>
      </c>
      <c r="V880" t="b">
        <v>1</v>
      </c>
      <c r="W880" t="s">
        <v>31</v>
      </c>
      <c r="AE880" t="str">
        <f t="shared" si="91"/>
        <v>No</v>
      </c>
      <c r="AF880" t="str">
        <f t="shared" si="92"/>
        <v>Medium</v>
      </c>
      <c r="AG880" t="str">
        <f t="shared" si="93"/>
        <v>No</v>
      </c>
      <c r="AH880" t="str">
        <f t="shared" si="94"/>
        <v>Asked Expert</v>
      </c>
      <c r="AJ880" t="str">
        <f t="shared" si="95"/>
        <v>High Trust</v>
      </c>
      <c r="AL880">
        <f t="shared" si="96"/>
        <v>93.2</v>
      </c>
      <c r="AM880" t="str">
        <f t="shared" si="97"/>
        <v>Professional</v>
      </c>
    </row>
    <row r="881" spans="1:39" x14ac:dyDescent="0.25">
      <c r="A881" t="s">
        <v>23</v>
      </c>
      <c r="B881" t="s">
        <v>24</v>
      </c>
      <c r="C881">
        <v>85.55</v>
      </c>
      <c r="D881">
        <v>119</v>
      </c>
      <c r="E881" t="b">
        <v>0</v>
      </c>
      <c r="F881" t="b">
        <v>1</v>
      </c>
      <c r="G881" t="b">
        <v>1</v>
      </c>
      <c r="H881" t="s">
        <v>25</v>
      </c>
      <c r="I881" t="s">
        <v>44</v>
      </c>
      <c r="J881" t="s">
        <v>36</v>
      </c>
      <c r="K881" t="s">
        <v>37</v>
      </c>
      <c r="L881" t="s">
        <v>29</v>
      </c>
      <c r="M881" t="s">
        <v>47</v>
      </c>
      <c r="N881" t="s">
        <v>46</v>
      </c>
      <c r="O881" t="b">
        <v>0</v>
      </c>
      <c r="P881" t="b">
        <v>1</v>
      </c>
      <c r="Q881">
        <v>6.4</v>
      </c>
      <c r="R881" t="b">
        <v>1</v>
      </c>
      <c r="S881" t="s">
        <v>30</v>
      </c>
      <c r="T881">
        <v>33.4</v>
      </c>
      <c r="U881">
        <v>92.1</v>
      </c>
      <c r="V881" t="b">
        <v>0</v>
      </c>
      <c r="W881" t="s">
        <v>41</v>
      </c>
      <c r="AE881" t="str">
        <f t="shared" si="91"/>
        <v>Yes</v>
      </c>
      <c r="AF881" t="str">
        <f t="shared" si="92"/>
        <v>Medium</v>
      </c>
      <c r="AG881" t="str">
        <f t="shared" si="93"/>
        <v>No</v>
      </c>
      <c r="AH881" t="str">
        <f t="shared" si="94"/>
        <v>Google Search</v>
      </c>
      <c r="AJ881" t="str">
        <f t="shared" si="95"/>
        <v>Moderate Trust</v>
      </c>
      <c r="AL881">
        <f t="shared" si="96"/>
        <v>92.1</v>
      </c>
      <c r="AM881" t="str">
        <f t="shared" si="97"/>
        <v>PhD</v>
      </c>
    </row>
    <row r="882" spans="1:39" x14ac:dyDescent="0.25">
      <c r="A882" t="s">
        <v>74</v>
      </c>
      <c r="B882" t="s">
        <v>42</v>
      </c>
      <c r="C882">
        <v>71.23</v>
      </c>
      <c r="D882">
        <v>580</v>
      </c>
      <c r="E882" t="b">
        <v>1</v>
      </c>
      <c r="F882" t="b">
        <v>0</v>
      </c>
      <c r="G882" t="b">
        <v>0</v>
      </c>
      <c r="H882" t="s">
        <v>53</v>
      </c>
      <c r="I882" t="s">
        <v>26</v>
      </c>
      <c r="J882" t="s">
        <v>54</v>
      </c>
      <c r="K882" t="s">
        <v>28</v>
      </c>
      <c r="L882" t="s">
        <v>51</v>
      </c>
      <c r="M882" t="s">
        <v>39</v>
      </c>
      <c r="N882" t="s">
        <v>46</v>
      </c>
      <c r="O882" t="b">
        <v>0</v>
      </c>
      <c r="P882" t="b">
        <v>0</v>
      </c>
      <c r="Q882">
        <v>8</v>
      </c>
      <c r="R882" t="b">
        <v>1</v>
      </c>
      <c r="S882" t="s">
        <v>52</v>
      </c>
      <c r="T882">
        <v>5.4</v>
      </c>
      <c r="U882">
        <v>65.430000000000007</v>
      </c>
      <c r="V882" t="b">
        <v>1</v>
      </c>
      <c r="W882" t="s">
        <v>31</v>
      </c>
      <c r="AE882" t="str">
        <f t="shared" si="91"/>
        <v>No</v>
      </c>
      <c r="AF882" t="str">
        <f t="shared" si="92"/>
        <v>Medium</v>
      </c>
      <c r="AG882" t="str">
        <f t="shared" si="93"/>
        <v>No</v>
      </c>
      <c r="AH882" t="str">
        <f t="shared" si="94"/>
        <v>Checked Official Source</v>
      </c>
      <c r="AJ882" t="str">
        <f t="shared" si="95"/>
        <v>High Trust</v>
      </c>
      <c r="AL882">
        <f t="shared" si="96"/>
        <v>65.400000000000006</v>
      </c>
      <c r="AM882" t="str">
        <f t="shared" si="97"/>
        <v>Masters</v>
      </c>
    </row>
    <row r="883" spans="1:39" x14ac:dyDescent="0.25">
      <c r="A883" t="s">
        <v>56</v>
      </c>
      <c r="B883" t="s">
        <v>49</v>
      </c>
      <c r="C883">
        <v>68.75</v>
      </c>
      <c r="D883">
        <v>799</v>
      </c>
      <c r="E883" t="b">
        <v>1</v>
      </c>
      <c r="F883" t="b">
        <v>1</v>
      </c>
      <c r="G883" t="b">
        <v>1</v>
      </c>
      <c r="H883" t="s">
        <v>34</v>
      </c>
      <c r="I883" t="s">
        <v>44</v>
      </c>
      <c r="J883" t="s">
        <v>54</v>
      </c>
      <c r="K883" t="s">
        <v>28</v>
      </c>
      <c r="L883" t="s">
        <v>37</v>
      </c>
      <c r="M883" t="s">
        <v>28</v>
      </c>
      <c r="N883" t="s">
        <v>39</v>
      </c>
      <c r="O883" t="b">
        <v>0</v>
      </c>
      <c r="P883" t="b">
        <v>1</v>
      </c>
      <c r="Q883">
        <v>6.9</v>
      </c>
      <c r="R883" t="b">
        <v>0</v>
      </c>
      <c r="T883">
        <v>0</v>
      </c>
      <c r="U883">
        <v>79.67</v>
      </c>
      <c r="V883" t="b">
        <v>1</v>
      </c>
      <c r="W883" t="s">
        <v>31</v>
      </c>
      <c r="AE883" t="str">
        <f t="shared" si="91"/>
        <v>Yes</v>
      </c>
      <c r="AF883" t="str">
        <f t="shared" si="92"/>
        <v>High</v>
      </c>
      <c r="AG883" t="str">
        <f t="shared" si="93"/>
        <v>No</v>
      </c>
      <c r="AH883" t="str">
        <f t="shared" si="94"/>
        <v>Unknown</v>
      </c>
      <c r="AJ883" t="str">
        <f t="shared" si="95"/>
        <v>Moderate Trust</v>
      </c>
      <c r="AL883">
        <f t="shared" si="96"/>
        <v>79.7</v>
      </c>
      <c r="AM883" t="str">
        <f t="shared" si="97"/>
        <v>Masters</v>
      </c>
    </row>
    <row r="884" spans="1:39" x14ac:dyDescent="0.25">
      <c r="A884" t="s">
        <v>74</v>
      </c>
      <c r="B884" t="s">
        <v>60</v>
      </c>
      <c r="C884">
        <v>49.74</v>
      </c>
      <c r="D884">
        <v>755</v>
      </c>
      <c r="E884" t="b">
        <v>1</v>
      </c>
      <c r="F884" t="b">
        <v>1</v>
      </c>
      <c r="G884" t="b">
        <v>1</v>
      </c>
      <c r="H884" t="s">
        <v>25</v>
      </c>
      <c r="I884" t="s">
        <v>44</v>
      </c>
      <c r="J884" t="s">
        <v>50</v>
      </c>
      <c r="K884" t="s">
        <v>37</v>
      </c>
      <c r="L884" t="s">
        <v>38</v>
      </c>
      <c r="M884" t="s">
        <v>47</v>
      </c>
      <c r="P884" t="b">
        <v>1</v>
      </c>
      <c r="Q884">
        <v>5</v>
      </c>
      <c r="R884" t="b">
        <v>1</v>
      </c>
      <c r="S884" t="s">
        <v>75</v>
      </c>
      <c r="T884">
        <v>41.3</v>
      </c>
      <c r="U884">
        <v>63.68</v>
      </c>
      <c r="V884" t="b">
        <v>1</v>
      </c>
      <c r="W884" t="s">
        <v>41</v>
      </c>
      <c r="AE884" t="str">
        <f t="shared" si="91"/>
        <v>Yes</v>
      </c>
      <c r="AF884" t="str">
        <f t="shared" si="92"/>
        <v>Unknown</v>
      </c>
      <c r="AG884" t="str">
        <f t="shared" si="93"/>
        <v>No</v>
      </c>
      <c r="AH884" t="str">
        <f t="shared" si="94"/>
        <v>Asked Colleague</v>
      </c>
      <c r="AJ884" t="str">
        <f t="shared" si="95"/>
        <v>Moderate Trust</v>
      </c>
      <c r="AL884">
        <f t="shared" si="96"/>
        <v>63.7</v>
      </c>
      <c r="AM884" t="str">
        <f t="shared" si="97"/>
        <v>Professional</v>
      </c>
    </row>
    <row r="885" spans="1:39" x14ac:dyDescent="0.25">
      <c r="A885" t="s">
        <v>68</v>
      </c>
      <c r="B885" t="s">
        <v>60</v>
      </c>
      <c r="C885">
        <v>49.2</v>
      </c>
      <c r="D885">
        <v>743</v>
      </c>
      <c r="E885" t="b">
        <v>0</v>
      </c>
      <c r="F885" t="b">
        <v>1</v>
      </c>
      <c r="G885" t="b">
        <v>1</v>
      </c>
      <c r="H885" t="s">
        <v>34</v>
      </c>
      <c r="I885" t="s">
        <v>44</v>
      </c>
      <c r="J885" t="s">
        <v>45</v>
      </c>
      <c r="K885" t="s">
        <v>28</v>
      </c>
      <c r="L885" t="s">
        <v>38</v>
      </c>
      <c r="M885" t="s">
        <v>46</v>
      </c>
      <c r="N885" t="s">
        <v>46</v>
      </c>
      <c r="P885" t="b">
        <v>0</v>
      </c>
      <c r="Q885">
        <v>6</v>
      </c>
      <c r="R885" t="b">
        <v>0</v>
      </c>
      <c r="T885">
        <v>0</v>
      </c>
      <c r="U885">
        <v>40.19</v>
      </c>
      <c r="V885" t="b">
        <v>1</v>
      </c>
      <c r="W885" t="s">
        <v>31</v>
      </c>
      <c r="AE885" t="str">
        <f t="shared" si="91"/>
        <v>Yes</v>
      </c>
      <c r="AF885" t="str">
        <f t="shared" si="92"/>
        <v>Medium</v>
      </c>
      <c r="AG885" t="str">
        <f t="shared" si="93"/>
        <v>No</v>
      </c>
      <c r="AH885" t="str">
        <f t="shared" si="94"/>
        <v>Unknown</v>
      </c>
      <c r="AJ885" t="str">
        <f t="shared" si="95"/>
        <v>Moderate Trust</v>
      </c>
      <c r="AL885">
        <f t="shared" si="96"/>
        <v>40.200000000000003</v>
      </c>
      <c r="AM885" t="str">
        <f t="shared" si="97"/>
        <v>High School</v>
      </c>
    </row>
    <row r="886" spans="1:39" x14ac:dyDescent="0.25">
      <c r="A886" t="s">
        <v>32</v>
      </c>
      <c r="B886" t="s">
        <v>49</v>
      </c>
      <c r="C886">
        <v>60.57</v>
      </c>
      <c r="D886">
        <v>50</v>
      </c>
      <c r="E886" t="b">
        <v>1</v>
      </c>
      <c r="F886" t="b">
        <v>1</v>
      </c>
      <c r="G886" t="b">
        <v>1</v>
      </c>
      <c r="H886" t="s">
        <v>43</v>
      </c>
      <c r="I886" t="s">
        <v>67</v>
      </c>
      <c r="J886" t="s">
        <v>27</v>
      </c>
      <c r="K886" t="s">
        <v>39</v>
      </c>
      <c r="L886" t="s">
        <v>38</v>
      </c>
      <c r="M886" t="s">
        <v>39</v>
      </c>
      <c r="O886" t="b">
        <v>1</v>
      </c>
      <c r="P886" t="b">
        <v>1</v>
      </c>
      <c r="Q886">
        <v>8.8000000000000007</v>
      </c>
      <c r="R886" t="b">
        <v>1</v>
      </c>
      <c r="S886" t="s">
        <v>65</v>
      </c>
      <c r="T886">
        <v>16.2</v>
      </c>
      <c r="U886">
        <v>47.68</v>
      </c>
      <c r="V886" t="b">
        <v>0</v>
      </c>
      <c r="W886" t="s">
        <v>31</v>
      </c>
      <c r="AE886" t="str">
        <f t="shared" si="91"/>
        <v>Yes</v>
      </c>
      <c r="AF886" t="str">
        <f t="shared" si="92"/>
        <v>Unknown</v>
      </c>
      <c r="AG886" t="str">
        <f t="shared" si="93"/>
        <v>Yes</v>
      </c>
      <c r="AH886" t="str">
        <f t="shared" si="94"/>
        <v>Cross-referenced Multiple AIs</v>
      </c>
      <c r="AJ886" t="str">
        <f t="shared" si="95"/>
        <v>High Trust</v>
      </c>
      <c r="AL886">
        <f t="shared" si="96"/>
        <v>47.7</v>
      </c>
      <c r="AM886" t="str">
        <f t="shared" si="97"/>
        <v>Bachelors</v>
      </c>
    </row>
    <row r="887" spans="1:39" x14ac:dyDescent="0.25">
      <c r="A887" t="s">
        <v>23</v>
      </c>
      <c r="B887" t="s">
        <v>76</v>
      </c>
      <c r="C887">
        <v>81.099999999999994</v>
      </c>
      <c r="D887">
        <v>79</v>
      </c>
      <c r="E887" t="b">
        <v>0</v>
      </c>
      <c r="F887" t="b">
        <v>0</v>
      </c>
      <c r="G887" t="b">
        <v>1</v>
      </c>
      <c r="H887" t="s">
        <v>53</v>
      </c>
      <c r="I887" t="s">
        <v>26</v>
      </c>
      <c r="J887" t="s">
        <v>36</v>
      </c>
      <c r="K887" t="s">
        <v>28</v>
      </c>
      <c r="L887" t="s">
        <v>69</v>
      </c>
      <c r="M887" t="s">
        <v>46</v>
      </c>
      <c r="N887" t="s">
        <v>28</v>
      </c>
      <c r="O887" t="b">
        <v>1</v>
      </c>
      <c r="P887" t="b">
        <v>0</v>
      </c>
      <c r="Q887">
        <v>10</v>
      </c>
      <c r="R887" t="b">
        <v>1</v>
      </c>
      <c r="S887" t="s">
        <v>64</v>
      </c>
      <c r="T887">
        <v>18.899999999999999</v>
      </c>
      <c r="U887">
        <v>66.8</v>
      </c>
      <c r="V887" t="b">
        <v>0</v>
      </c>
      <c r="W887" t="s">
        <v>31</v>
      </c>
      <c r="AE887" t="str">
        <f t="shared" si="91"/>
        <v>No</v>
      </c>
      <c r="AF887" t="str">
        <f t="shared" si="92"/>
        <v>Low</v>
      </c>
      <c r="AG887" t="str">
        <f t="shared" si="93"/>
        <v>Yes</v>
      </c>
      <c r="AH887" t="str">
        <f t="shared" si="94"/>
        <v>Personal Testing</v>
      </c>
      <c r="AJ887" t="str">
        <f t="shared" si="95"/>
        <v>High Trust</v>
      </c>
      <c r="AL887">
        <f t="shared" si="96"/>
        <v>66.8</v>
      </c>
      <c r="AM887" t="str">
        <f t="shared" si="97"/>
        <v>PhD</v>
      </c>
    </row>
    <row r="888" spans="1:39" x14ac:dyDescent="0.25">
      <c r="A888" t="s">
        <v>23</v>
      </c>
      <c r="B888" t="s">
        <v>24</v>
      </c>
      <c r="C888">
        <v>85.8</v>
      </c>
      <c r="D888">
        <v>258</v>
      </c>
      <c r="E888" t="b">
        <v>0</v>
      </c>
      <c r="F888" t="b">
        <v>1</v>
      </c>
      <c r="G888" t="b">
        <v>1</v>
      </c>
      <c r="H888" t="s">
        <v>34</v>
      </c>
      <c r="I888" t="s">
        <v>57</v>
      </c>
      <c r="J888" t="s">
        <v>54</v>
      </c>
      <c r="K888" t="s">
        <v>37</v>
      </c>
      <c r="L888" t="s">
        <v>38</v>
      </c>
      <c r="M888" t="s">
        <v>46</v>
      </c>
      <c r="N888" t="s">
        <v>46</v>
      </c>
      <c r="O888" t="b">
        <v>0</v>
      </c>
      <c r="P888" t="b">
        <v>0</v>
      </c>
      <c r="Q888">
        <v>7.4</v>
      </c>
      <c r="R888" t="b">
        <v>0</v>
      </c>
      <c r="T888">
        <v>0</v>
      </c>
      <c r="U888">
        <v>78.3</v>
      </c>
      <c r="V888" t="b">
        <v>1</v>
      </c>
      <c r="W888" t="s">
        <v>31</v>
      </c>
      <c r="AE888" t="str">
        <f t="shared" si="91"/>
        <v>Yes</v>
      </c>
      <c r="AF888" t="str">
        <f t="shared" si="92"/>
        <v>Medium</v>
      </c>
      <c r="AG888" t="str">
        <f t="shared" si="93"/>
        <v>No</v>
      </c>
      <c r="AH888" t="str">
        <f t="shared" si="94"/>
        <v>Unknown</v>
      </c>
      <c r="AJ888" t="str">
        <f t="shared" si="95"/>
        <v>Moderate Trust</v>
      </c>
      <c r="AL888">
        <f t="shared" si="96"/>
        <v>78.3</v>
      </c>
      <c r="AM888" t="str">
        <f t="shared" si="97"/>
        <v>Masters</v>
      </c>
    </row>
    <row r="889" spans="1:39" x14ac:dyDescent="0.25">
      <c r="A889" t="s">
        <v>68</v>
      </c>
      <c r="B889" t="s">
        <v>70</v>
      </c>
      <c r="C889">
        <v>75.89</v>
      </c>
      <c r="D889">
        <v>758</v>
      </c>
      <c r="E889" t="b">
        <v>1</v>
      </c>
      <c r="F889" t="b">
        <v>1</v>
      </c>
      <c r="G889" t="b">
        <v>1</v>
      </c>
      <c r="H889" t="s">
        <v>34</v>
      </c>
      <c r="I889" t="s">
        <v>63</v>
      </c>
      <c r="J889" t="s">
        <v>50</v>
      </c>
      <c r="K889" t="s">
        <v>37</v>
      </c>
      <c r="L889" t="s">
        <v>37</v>
      </c>
      <c r="M889" t="s">
        <v>46</v>
      </c>
      <c r="N889" t="s">
        <v>46</v>
      </c>
      <c r="O889" t="b">
        <v>0</v>
      </c>
      <c r="P889" t="b">
        <v>0</v>
      </c>
      <c r="Q889">
        <v>7</v>
      </c>
      <c r="R889" t="b">
        <v>1</v>
      </c>
      <c r="S889" t="s">
        <v>75</v>
      </c>
      <c r="T889">
        <v>17.7</v>
      </c>
      <c r="U889">
        <v>84.34</v>
      </c>
      <c r="V889" t="b">
        <v>1</v>
      </c>
      <c r="W889" t="s">
        <v>41</v>
      </c>
      <c r="AE889" t="str">
        <f t="shared" si="91"/>
        <v>Yes</v>
      </c>
      <c r="AF889" t="str">
        <f t="shared" si="92"/>
        <v>Medium</v>
      </c>
      <c r="AG889" t="str">
        <f t="shared" si="93"/>
        <v>No</v>
      </c>
      <c r="AH889" t="str">
        <f t="shared" si="94"/>
        <v>Asked Colleague</v>
      </c>
      <c r="AJ889" t="str">
        <f t="shared" si="95"/>
        <v>Moderate Trust</v>
      </c>
      <c r="AL889">
        <f t="shared" si="96"/>
        <v>84.3</v>
      </c>
      <c r="AM889" t="str">
        <f t="shared" si="97"/>
        <v>Professional</v>
      </c>
    </row>
    <row r="890" spans="1:39" x14ac:dyDescent="0.25">
      <c r="A890" t="s">
        <v>68</v>
      </c>
      <c r="B890" t="s">
        <v>71</v>
      </c>
      <c r="C890">
        <v>57.46</v>
      </c>
      <c r="D890">
        <v>375</v>
      </c>
      <c r="E890" t="b">
        <v>1</v>
      </c>
      <c r="F890" t="b">
        <v>1</v>
      </c>
      <c r="G890" t="b">
        <v>1</v>
      </c>
      <c r="H890" t="s">
        <v>34</v>
      </c>
      <c r="I890" t="s">
        <v>35</v>
      </c>
      <c r="J890" t="s">
        <v>54</v>
      </c>
      <c r="K890" t="s">
        <v>46</v>
      </c>
      <c r="L890" t="s">
        <v>37</v>
      </c>
      <c r="M890" t="s">
        <v>39</v>
      </c>
      <c r="N890" t="s">
        <v>46</v>
      </c>
      <c r="P890" t="b">
        <v>1</v>
      </c>
      <c r="Q890">
        <v>6.3</v>
      </c>
      <c r="R890" t="b">
        <v>0</v>
      </c>
      <c r="T890">
        <v>0</v>
      </c>
      <c r="U890">
        <v>58.46</v>
      </c>
      <c r="V890" t="b">
        <v>1</v>
      </c>
      <c r="W890" t="s">
        <v>31</v>
      </c>
      <c r="AE890" t="str">
        <f t="shared" si="91"/>
        <v>Yes</v>
      </c>
      <c r="AF890" t="str">
        <f t="shared" si="92"/>
        <v>Medium</v>
      </c>
      <c r="AG890" t="str">
        <f t="shared" si="93"/>
        <v>No</v>
      </c>
      <c r="AH890" t="str">
        <f t="shared" si="94"/>
        <v>Unknown</v>
      </c>
      <c r="AJ890" t="str">
        <f t="shared" si="95"/>
        <v>Moderate Trust</v>
      </c>
      <c r="AL890">
        <f t="shared" si="96"/>
        <v>58.5</v>
      </c>
      <c r="AM890" t="str">
        <f t="shared" si="97"/>
        <v>Masters</v>
      </c>
    </row>
    <row r="891" spans="1:39" x14ac:dyDescent="0.25">
      <c r="A891" t="s">
        <v>32</v>
      </c>
      <c r="B891" t="s">
        <v>66</v>
      </c>
      <c r="C891">
        <v>77.8</v>
      </c>
      <c r="D891">
        <v>514</v>
      </c>
      <c r="E891" t="b">
        <v>1</v>
      </c>
      <c r="F891" t="b">
        <v>1</v>
      </c>
      <c r="G891" t="b">
        <v>0</v>
      </c>
      <c r="H891" t="s">
        <v>25</v>
      </c>
      <c r="I891" t="s">
        <v>67</v>
      </c>
      <c r="J891" t="s">
        <v>54</v>
      </c>
      <c r="K891" t="s">
        <v>46</v>
      </c>
      <c r="L891" t="s">
        <v>37</v>
      </c>
      <c r="M891" t="s">
        <v>28</v>
      </c>
      <c r="N891" t="s">
        <v>39</v>
      </c>
      <c r="O891" t="b">
        <v>0</v>
      </c>
      <c r="P891" t="b">
        <v>1</v>
      </c>
      <c r="Q891">
        <v>9.5</v>
      </c>
      <c r="R891" t="b">
        <v>0</v>
      </c>
      <c r="T891">
        <v>0</v>
      </c>
      <c r="U891">
        <v>68.06</v>
      </c>
      <c r="V891" t="b">
        <v>0</v>
      </c>
      <c r="W891" t="s">
        <v>58</v>
      </c>
      <c r="AE891" t="str">
        <f t="shared" si="91"/>
        <v>Yes</v>
      </c>
      <c r="AF891" t="str">
        <f t="shared" si="92"/>
        <v>High</v>
      </c>
      <c r="AG891" t="str">
        <f t="shared" si="93"/>
        <v>No</v>
      </c>
      <c r="AH891" t="str">
        <f t="shared" si="94"/>
        <v>Unknown</v>
      </c>
      <c r="AJ891" t="str">
        <f t="shared" si="95"/>
        <v>High Trust</v>
      </c>
      <c r="AL891">
        <f t="shared" si="96"/>
        <v>68.099999999999994</v>
      </c>
      <c r="AM891" t="str">
        <f t="shared" si="97"/>
        <v>Masters</v>
      </c>
    </row>
    <row r="892" spans="1:39" x14ac:dyDescent="0.25">
      <c r="A892" t="s">
        <v>56</v>
      </c>
      <c r="B892" t="s">
        <v>24</v>
      </c>
      <c r="C892">
        <v>97.43</v>
      </c>
      <c r="D892">
        <v>409</v>
      </c>
      <c r="E892" t="b">
        <v>0</v>
      </c>
      <c r="F892" t="b">
        <v>0</v>
      </c>
      <c r="G892" t="b">
        <v>0</v>
      </c>
      <c r="H892" t="s">
        <v>25</v>
      </c>
      <c r="I892" t="s">
        <v>63</v>
      </c>
      <c r="J892" t="s">
        <v>36</v>
      </c>
      <c r="K892" t="s">
        <v>37</v>
      </c>
      <c r="L892" t="s">
        <v>37</v>
      </c>
      <c r="M892" t="s">
        <v>39</v>
      </c>
      <c r="N892" t="s">
        <v>46</v>
      </c>
      <c r="P892" t="b">
        <v>1</v>
      </c>
      <c r="Q892">
        <v>9.1999999999999993</v>
      </c>
      <c r="R892" t="b">
        <v>1</v>
      </c>
      <c r="S892" t="s">
        <v>48</v>
      </c>
      <c r="T892">
        <v>26.6</v>
      </c>
      <c r="U892">
        <v>100</v>
      </c>
      <c r="V892" t="b">
        <v>1</v>
      </c>
      <c r="W892" t="s">
        <v>31</v>
      </c>
      <c r="AE892" t="str">
        <f t="shared" si="91"/>
        <v>No</v>
      </c>
      <c r="AF892" t="str">
        <f t="shared" si="92"/>
        <v>Medium</v>
      </c>
      <c r="AG892" t="str">
        <f t="shared" si="93"/>
        <v>No</v>
      </c>
      <c r="AH892" t="str">
        <f t="shared" si="94"/>
        <v>Consulted Documentation</v>
      </c>
      <c r="AJ892" t="str">
        <f t="shared" si="95"/>
        <v>High Trust</v>
      </c>
      <c r="AL892">
        <f t="shared" si="96"/>
        <v>100</v>
      </c>
      <c r="AM892" t="str">
        <f t="shared" si="97"/>
        <v>PhD</v>
      </c>
    </row>
    <row r="893" spans="1:39" x14ac:dyDescent="0.25">
      <c r="A893" t="s">
        <v>32</v>
      </c>
      <c r="B893" t="s">
        <v>33</v>
      </c>
      <c r="C893">
        <v>81.239999999999995</v>
      </c>
      <c r="D893">
        <v>56</v>
      </c>
      <c r="E893" t="b">
        <v>0</v>
      </c>
      <c r="F893" t="b">
        <v>1</v>
      </c>
      <c r="G893" t="b">
        <v>1</v>
      </c>
      <c r="H893" t="s">
        <v>25</v>
      </c>
      <c r="I893" t="s">
        <v>63</v>
      </c>
      <c r="J893" t="s">
        <v>27</v>
      </c>
      <c r="K893" t="s">
        <v>46</v>
      </c>
      <c r="L893" t="s">
        <v>29</v>
      </c>
      <c r="M893" t="s">
        <v>47</v>
      </c>
      <c r="N893" t="s">
        <v>28</v>
      </c>
      <c r="O893" t="b">
        <v>1</v>
      </c>
      <c r="P893" t="b">
        <v>0</v>
      </c>
      <c r="Q893">
        <v>8.6</v>
      </c>
      <c r="R893" t="b">
        <v>1</v>
      </c>
      <c r="S893" t="s">
        <v>52</v>
      </c>
      <c r="T893">
        <v>14.2</v>
      </c>
      <c r="U893">
        <v>73.739999999999995</v>
      </c>
      <c r="V893" t="b">
        <v>1</v>
      </c>
      <c r="W893" t="s">
        <v>31</v>
      </c>
      <c r="AE893" t="str">
        <f t="shared" si="91"/>
        <v>Yes</v>
      </c>
      <c r="AF893" t="str">
        <f t="shared" si="92"/>
        <v>Low</v>
      </c>
      <c r="AG893" t="str">
        <f t="shared" si="93"/>
        <v>Yes</v>
      </c>
      <c r="AH893" t="str">
        <f t="shared" si="94"/>
        <v>Checked Official Source</v>
      </c>
      <c r="AJ893" t="str">
        <f t="shared" si="95"/>
        <v>High Trust</v>
      </c>
      <c r="AL893">
        <f t="shared" si="96"/>
        <v>73.7</v>
      </c>
      <c r="AM893" t="str">
        <f t="shared" si="97"/>
        <v>Bachelors</v>
      </c>
    </row>
    <row r="894" spans="1:39" x14ac:dyDescent="0.25">
      <c r="A894" t="s">
        <v>23</v>
      </c>
      <c r="B894" t="s">
        <v>24</v>
      </c>
      <c r="C894">
        <v>96.17</v>
      </c>
      <c r="D894">
        <v>285</v>
      </c>
      <c r="E894" t="b">
        <v>1</v>
      </c>
      <c r="F894" t="b">
        <v>0</v>
      </c>
      <c r="G894" t="b">
        <v>1</v>
      </c>
      <c r="H894" t="s">
        <v>43</v>
      </c>
      <c r="I894" t="s">
        <v>57</v>
      </c>
      <c r="J894" t="s">
        <v>36</v>
      </c>
      <c r="K894" t="s">
        <v>37</v>
      </c>
      <c r="L894" t="s">
        <v>29</v>
      </c>
      <c r="M894" t="s">
        <v>47</v>
      </c>
      <c r="O894" t="b">
        <v>1</v>
      </c>
      <c r="P894" t="b">
        <v>1</v>
      </c>
      <c r="Q894">
        <v>10</v>
      </c>
      <c r="R894" t="b">
        <v>1</v>
      </c>
      <c r="S894" t="s">
        <v>40</v>
      </c>
      <c r="T894">
        <v>37.1</v>
      </c>
      <c r="U894">
        <v>100</v>
      </c>
      <c r="V894" t="b">
        <v>1</v>
      </c>
      <c r="W894" t="s">
        <v>31</v>
      </c>
      <c r="AE894" t="str">
        <f t="shared" si="91"/>
        <v>No</v>
      </c>
      <c r="AF894" t="str">
        <f t="shared" si="92"/>
        <v>Unknown</v>
      </c>
      <c r="AG894" t="str">
        <f t="shared" si="93"/>
        <v>Yes</v>
      </c>
      <c r="AH894" t="str">
        <f t="shared" si="94"/>
        <v>Asked Expert</v>
      </c>
      <c r="AJ894" t="str">
        <f t="shared" si="95"/>
        <v>High Trust</v>
      </c>
      <c r="AL894">
        <f t="shared" si="96"/>
        <v>100</v>
      </c>
      <c r="AM894" t="str">
        <f t="shared" si="97"/>
        <v>PhD</v>
      </c>
    </row>
    <row r="895" spans="1:39" x14ac:dyDescent="0.25">
      <c r="A895" t="s">
        <v>61</v>
      </c>
      <c r="B895" t="s">
        <v>62</v>
      </c>
      <c r="C895">
        <v>56.98</v>
      </c>
      <c r="D895">
        <v>168</v>
      </c>
      <c r="E895" t="b">
        <v>1</v>
      </c>
      <c r="F895" t="b">
        <v>0</v>
      </c>
      <c r="G895" t="b">
        <v>1</v>
      </c>
      <c r="H895" t="s">
        <v>53</v>
      </c>
      <c r="I895" t="s">
        <v>63</v>
      </c>
      <c r="J895" t="s">
        <v>27</v>
      </c>
      <c r="K895" t="s">
        <v>37</v>
      </c>
      <c r="L895" t="s">
        <v>37</v>
      </c>
      <c r="M895" t="s">
        <v>47</v>
      </c>
      <c r="N895" t="s">
        <v>39</v>
      </c>
      <c r="O895" t="b">
        <v>1</v>
      </c>
      <c r="P895" t="b">
        <v>0</v>
      </c>
      <c r="Q895">
        <v>7</v>
      </c>
      <c r="R895" t="b">
        <v>1</v>
      </c>
      <c r="S895" t="s">
        <v>64</v>
      </c>
      <c r="T895">
        <v>27.9</v>
      </c>
      <c r="U895">
        <v>44.44</v>
      </c>
      <c r="V895" t="b">
        <v>0</v>
      </c>
      <c r="W895" t="s">
        <v>41</v>
      </c>
      <c r="AE895" t="str">
        <f t="shared" si="91"/>
        <v>No</v>
      </c>
      <c r="AF895" t="str">
        <f t="shared" si="92"/>
        <v>High</v>
      </c>
      <c r="AG895" t="str">
        <f t="shared" si="93"/>
        <v>Yes</v>
      </c>
      <c r="AH895" t="str">
        <f t="shared" si="94"/>
        <v>Personal Testing</v>
      </c>
      <c r="AJ895" t="str">
        <f t="shared" si="95"/>
        <v>Moderate Trust</v>
      </c>
      <c r="AL895">
        <f t="shared" si="96"/>
        <v>44.4</v>
      </c>
      <c r="AM895" t="str">
        <f t="shared" si="97"/>
        <v>Bachelors</v>
      </c>
    </row>
    <row r="896" spans="1:39" x14ac:dyDescent="0.25">
      <c r="A896" t="s">
        <v>32</v>
      </c>
      <c r="B896" t="s">
        <v>71</v>
      </c>
      <c r="C896">
        <v>41.36</v>
      </c>
      <c r="D896">
        <v>525</v>
      </c>
      <c r="E896" t="b">
        <v>1</v>
      </c>
      <c r="F896" t="b">
        <v>0</v>
      </c>
      <c r="G896" t="b">
        <v>0</v>
      </c>
      <c r="H896" t="s">
        <v>34</v>
      </c>
      <c r="I896" t="s">
        <v>67</v>
      </c>
      <c r="J896" t="s">
        <v>50</v>
      </c>
      <c r="K896" t="s">
        <v>28</v>
      </c>
      <c r="L896" t="s">
        <v>69</v>
      </c>
      <c r="M896" t="s">
        <v>39</v>
      </c>
      <c r="P896" t="b">
        <v>0</v>
      </c>
      <c r="Q896">
        <v>5.9</v>
      </c>
      <c r="R896" t="b">
        <v>1</v>
      </c>
      <c r="S896" t="s">
        <v>75</v>
      </c>
      <c r="T896">
        <v>22.4</v>
      </c>
      <c r="U896">
        <v>19.420000000000002</v>
      </c>
      <c r="V896" t="b">
        <v>0</v>
      </c>
      <c r="W896" t="s">
        <v>41</v>
      </c>
      <c r="AE896" t="str">
        <f t="shared" si="91"/>
        <v>No</v>
      </c>
      <c r="AF896" t="str">
        <f t="shared" si="92"/>
        <v>Unknown</v>
      </c>
      <c r="AG896" t="str">
        <f t="shared" si="93"/>
        <v>No</v>
      </c>
      <c r="AH896" t="str">
        <f t="shared" si="94"/>
        <v>Asked Colleague</v>
      </c>
      <c r="AJ896" t="str">
        <f t="shared" si="95"/>
        <v>Moderate Trust</v>
      </c>
      <c r="AL896">
        <f t="shared" si="96"/>
        <v>19.399999999999999</v>
      </c>
      <c r="AM896" t="str">
        <f t="shared" si="97"/>
        <v>Professional</v>
      </c>
    </row>
    <row r="897" spans="1:39" x14ac:dyDescent="0.25">
      <c r="A897" t="s">
        <v>74</v>
      </c>
      <c r="B897" t="s">
        <v>70</v>
      </c>
      <c r="C897">
        <v>82.59</v>
      </c>
      <c r="D897">
        <v>337</v>
      </c>
      <c r="E897" t="b">
        <v>1</v>
      </c>
      <c r="F897" t="b">
        <v>0</v>
      </c>
      <c r="G897" t="b">
        <v>0</v>
      </c>
      <c r="H897" t="s">
        <v>53</v>
      </c>
      <c r="I897" t="s">
        <v>35</v>
      </c>
      <c r="J897" t="s">
        <v>50</v>
      </c>
      <c r="K897" t="s">
        <v>46</v>
      </c>
      <c r="L897" t="s">
        <v>29</v>
      </c>
      <c r="M897" t="s">
        <v>28</v>
      </c>
      <c r="N897" t="s">
        <v>46</v>
      </c>
      <c r="O897" t="b">
        <v>1</v>
      </c>
      <c r="P897" t="b">
        <v>1</v>
      </c>
      <c r="Q897">
        <v>10</v>
      </c>
      <c r="R897" t="b">
        <v>0</v>
      </c>
      <c r="T897">
        <v>0</v>
      </c>
      <c r="U897">
        <v>96.18</v>
      </c>
      <c r="V897" t="b">
        <v>1</v>
      </c>
      <c r="W897" t="s">
        <v>58</v>
      </c>
      <c r="AE897" t="str">
        <f t="shared" si="91"/>
        <v>No</v>
      </c>
      <c r="AF897" t="str">
        <f t="shared" si="92"/>
        <v>Medium</v>
      </c>
      <c r="AG897" t="str">
        <f t="shared" si="93"/>
        <v>Yes</v>
      </c>
      <c r="AH897" t="str">
        <f t="shared" si="94"/>
        <v>Unknown</v>
      </c>
      <c r="AJ897" t="str">
        <f t="shared" si="95"/>
        <v>High Trust</v>
      </c>
      <c r="AL897">
        <f t="shared" si="96"/>
        <v>96.2</v>
      </c>
      <c r="AM897" t="str">
        <f t="shared" si="97"/>
        <v>Professional</v>
      </c>
    </row>
    <row r="898" spans="1:39" x14ac:dyDescent="0.25">
      <c r="A898" t="s">
        <v>32</v>
      </c>
      <c r="B898" t="s">
        <v>60</v>
      </c>
      <c r="C898">
        <v>55.61</v>
      </c>
      <c r="D898">
        <v>313</v>
      </c>
      <c r="E898" t="b">
        <v>1</v>
      </c>
      <c r="F898" t="b">
        <v>1</v>
      </c>
      <c r="G898" t="b">
        <v>1</v>
      </c>
      <c r="H898" t="s">
        <v>25</v>
      </c>
      <c r="I898" t="s">
        <v>63</v>
      </c>
      <c r="J898" t="s">
        <v>36</v>
      </c>
      <c r="K898" t="s">
        <v>28</v>
      </c>
      <c r="L898" t="s">
        <v>29</v>
      </c>
      <c r="M898" t="s">
        <v>28</v>
      </c>
      <c r="N898" t="s">
        <v>46</v>
      </c>
      <c r="O898" t="b">
        <v>0</v>
      </c>
      <c r="P898" t="b">
        <v>1</v>
      </c>
      <c r="Q898">
        <v>6.1</v>
      </c>
      <c r="R898" t="b">
        <v>1</v>
      </c>
      <c r="S898" t="s">
        <v>75</v>
      </c>
      <c r="T898">
        <v>6.2</v>
      </c>
      <c r="U898">
        <v>41.3</v>
      </c>
      <c r="V898" t="b">
        <v>1</v>
      </c>
      <c r="W898" t="s">
        <v>41</v>
      </c>
      <c r="AE898" t="str">
        <f t="shared" si="91"/>
        <v>Yes</v>
      </c>
      <c r="AF898" t="str">
        <f t="shared" si="92"/>
        <v>Medium</v>
      </c>
      <c r="AG898" t="str">
        <f t="shared" si="93"/>
        <v>No</v>
      </c>
      <c r="AH898" t="str">
        <f t="shared" si="94"/>
        <v>Asked Colleague</v>
      </c>
      <c r="AJ898" t="str">
        <f t="shared" si="95"/>
        <v>Moderate Trust</v>
      </c>
      <c r="AL898">
        <f t="shared" si="96"/>
        <v>41.3</v>
      </c>
      <c r="AM898" t="str">
        <f t="shared" si="97"/>
        <v>PhD</v>
      </c>
    </row>
    <row r="899" spans="1:39" x14ac:dyDescent="0.25">
      <c r="A899" t="s">
        <v>61</v>
      </c>
      <c r="B899" t="s">
        <v>66</v>
      </c>
      <c r="C899">
        <v>58.62</v>
      </c>
      <c r="D899">
        <v>725</v>
      </c>
      <c r="E899" t="b">
        <v>0</v>
      </c>
      <c r="F899" t="b">
        <v>0</v>
      </c>
      <c r="G899" t="b">
        <v>0</v>
      </c>
      <c r="H899" t="s">
        <v>25</v>
      </c>
      <c r="I899" t="s">
        <v>44</v>
      </c>
      <c r="J899" t="s">
        <v>54</v>
      </c>
      <c r="K899" t="s">
        <v>39</v>
      </c>
      <c r="L899" t="s">
        <v>38</v>
      </c>
      <c r="M899" t="s">
        <v>28</v>
      </c>
      <c r="O899" t="b">
        <v>0</v>
      </c>
      <c r="P899" t="b">
        <v>1</v>
      </c>
      <c r="Q899">
        <v>6.2</v>
      </c>
      <c r="R899" t="b">
        <v>0</v>
      </c>
      <c r="T899">
        <v>0</v>
      </c>
      <c r="U899">
        <v>60.2</v>
      </c>
      <c r="V899" t="b">
        <v>1</v>
      </c>
      <c r="W899" t="s">
        <v>31</v>
      </c>
      <c r="AE899" t="str">
        <f t="shared" ref="AE899:AE962" si="98">IF(F899=TRUE,"Yes","No")</f>
        <v>No</v>
      </c>
      <c r="AF899" t="str">
        <f t="shared" ref="AF899:AF962" si="99">IF(ISBLANK(N899),"Unknown",N899)</f>
        <v>Unknown</v>
      </c>
      <c r="AG899" t="str">
        <f t="shared" ref="AG899:AG962" si="100">IF(O899=TRUE,"Yes","No")</f>
        <v>No</v>
      </c>
      <c r="AH899" t="str">
        <f t="shared" ref="AH899:AH962" si="101">IF(ISBLANK(S899),"Unknown",S899)</f>
        <v>Unknown</v>
      </c>
      <c r="AJ899" t="str">
        <f t="shared" ref="AJ899:AJ962" si="102">IF(Q899&gt;=8,"High Trust",
IF(Q900&gt;=5,"Moderate Trust","Low Trust"))</f>
        <v>Moderate Trust</v>
      </c>
      <c r="AL899">
        <f t="shared" ref="AL899:AL962" si="103">ROUND(U899,1)</f>
        <v>60.2</v>
      </c>
      <c r="AM899" t="str">
        <f t="shared" ref="AM899:AM962" si="104">TRIM(J899)</f>
        <v>Masters</v>
      </c>
    </row>
    <row r="900" spans="1:39" x14ac:dyDescent="0.25">
      <c r="A900" t="s">
        <v>56</v>
      </c>
      <c r="B900" t="s">
        <v>73</v>
      </c>
      <c r="C900">
        <v>49.07</v>
      </c>
      <c r="D900">
        <v>571</v>
      </c>
      <c r="E900" t="b">
        <v>1</v>
      </c>
      <c r="F900" t="b">
        <v>0</v>
      </c>
      <c r="G900" t="b">
        <v>0</v>
      </c>
      <c r="H900" t="s">
        <v>25</v>
      </c>
      <c r="I900" t="s">
        <v>44</v>
      </c>
      <c r="J900" t="s">
        <v>54</v>
      </c>
      <c r="K900" t="s">
        <v>46</v>
      </c>
      <c r="L900" t="s">
        <v>37</v>
      </c>
      <c r="M900" t="s">
        <v>28</v>
      </c>
      <c r="N900" t="s">
        <v>28</v>
      </c>
      <c r="O900" t="b">
        <v>1</v>
      </c>
      <c r="P900" t="b">
        <v>0</v>
      </c>
      <c r="Q900">
        <v>8.3000000000000007</v>
      </c>
      <c r="R900" t="b">
        <v>1</v>
      </c>
      <c r="S900" t="s">
        <v>65</v>
      </c>
      <c r="T900">
        <v>14.4</v>
      </c>
      <c r="U900">
        <v>43.36</v>
      </c>
      <c r="V900" t="b">
        <v>0</v>
      </c>
      <c r="W900" t="s">
        <v>31</v>
      </c>
      <c r="AE900" t="str">
        <f t="shared" si="98"/>
        <v>No</v>
      </c>
      <c r="AF900" t="str">
        <f t="shared" si="99"/>
        <v>Low</v>
      </c>
      <c r="AG900" t="str">
        <f t="shared" si="100"/>
        <v>Yes</v>
      </c>
      <c r="AH900" t="str">
        <f t="shared" si="101"/>
        <v>Cross-referenced Multiple AIs</v>
      </c>
      <c r="AJ900" t="str">
        <f t="shared" si="102"/>
        <v>High Trust</v>
      </c>
      <c r="AL900">
        <f t="shared" si="103"/>
        <v>43.4</v>
      </c>
      <c r="AM900" t="str">
        <f t="shared" si="104"/>
        <v>Masters</v>
      </c>
    </row>
    <row r="901" spans="1:39" x14ac:dyDescent="0.25">
      <c r="A901" t="s">
        <v>23</v>
      </c>
      <c r="B901" t="s">
        <v>66</v>
      </c>
      <c r="C901">
        <v>66.849999999999994</v>
      </c>
      <c r="D901">
        <v>238</v>
      </c>
      <c r="E901" t="b">
        <v>0</v>
      </c>
      <c r="F901" t="b">
        <v>0</v>
      </c>
      <c r="G901" t="b">
        <v>0</v>
      </c>
      <c r="H901" t="s">
        <v>53</v>
      </c>
      <c r="I901" t="s">
        <v>67</v>
      </c>
      <c r="J901" t="s">
        <v>50</v>
      </c>
      <c r="K901" t="s">
        <v>39</v>
      </c>
      <c r="L901" t="s">
        <v>69</v>
      </c>
      <c r="M901" t="s">
        <v>28</v>
      </c>
      <c r="N901" t="s">
        <v>46</v>
      </c>
      <c r="P901" t="b">
        <v>1</v>
      </c>
      <c r="Q901">
        <v>8</v>
      </c>
      <c r="R901" t="b">
        <v>1</v>
      </c>
      <c r="S901" t="s">
        <v>75</v>
      </c>
      <c r="T901">
        <v>34.1</v>
      </c>
      <c r="U901">
        <v>64.05</v>
      </c>
      <c r="V901" t="b">
        <v>1</v>
      </c>
      <c r="W901" t="s">
        <v>31</v>
      </c>
      <c r="AE901" t="str">
        <f t="shared" si="98"/>
        <v>No</v>
      </c>
      <c r="AF901" t="str">
        <f t="shared" si="99"/>
        <v>Medium</v>
      </c>
      <c r="AG901" t="str">
        <f t="shared" si="100"/>
        <v>No</v>
      </c>
      <c r="AH901" t="str">
        <f t="shared" si="101"/>
        <v>Asked Colleague</v>
      </c>
      <c r="AJ901" t="str">
        <f t="shared" si="102"/>
        <v>High Trust</v>
      </c>
      <c r="AL901">
        <f t="shared" si="103"/>
        <v>64.099999999999994</v>
      </c>
      <c r="AM901" t="str">
        <f t="shared" si="104"/>
        <v>Professional</v>
      </c>
    </row>
    <row r="902" spans="1:39" x14ac:dyDescent="0.25">
      <c r="A902" t="s">
        <v>74</v>
      </c>
      <c r="B902" t="s">
        <v>71</v>
      </c>
      <c r="C902">
        <v>46.25</v>
      </c>
      <c r="D902">
        <v>353</v>
      </c>
      <c r="E902" t="b">
        <v>0</v>
      </c>
      <c r="F902" t="b">
        <v>1</v>
      </c>
      <c r="G902" t="b">
        <v>0</v>
      </c>
      <c r="H902" t="s">
        <v>43</v>
      </c>
      <c r="I902" t="s">
        <v>35</v>
      </c>
      <c r="J902" t="s">
        <v>36</v>
      </c>
      <c r="K902" t="s">
        <v>39</v>
      </c>
      <c r="L902" t="s">
        <v>38</v>
      </c>
      <c r="M902" t="s">
        <v>47</v>
      </c>
      <c r="N902" t="s">
        <v>39</v>
      </c>
      <c r="O902" t="b">
        <v>1</v>
      </c>
      <c r="P902" t="b">
        <v>0</v>
      </c>
      <c r="Q902">
        <v>5.8</v>
      </c>
      <c r="R902" t="b">
        <v>1</v>
      </c>
      <c r="S902" t="s">
        <v>52</v>
      </c>
      <c r="T902">
        <v>4.7</v>
      </c>
      <c r="U902">
        <v>23.14</v>
      </c>
      <c r="V902" t="b">
        <v>0</v>
      </c>
      <c r="W902" t="s">
        <v>41</v>
      </c>
      <c r="AE902" t="str">
        <f t="shared" si="98"/>
        <v>Yes</v>
      </c>
      <c r="AF902" t="str">
        <f t="shared" si="99"/>
        <v>High</v>
      </c>
      <c r="AG902" t="str">
        <f t="shared" si="100"/>
        <v>Yes</v>
      </c>
      <c r="AH902" t="str">
        <f t="shared" si="101"/>
        <v>Checked Official Source</v>
      </c>
      <c r="AJ902" t="str">
        <f t="shared" si="102"/>
        <v>Moderate Trust</v>
      </c>
      <c r="AL902">
        <f t="shared" si="103"/>
        <v>23.1</v>
      </c>
      <c r="AM902" t="str">
        <f t="shared" si="104"/>
        <v>PhD</v>
      </c>
    </row>
    <row r="903" spans="1:39" x14ac:dyDescent="0.25">
      <c r="A903" t="s">
        <v>68</v>
      </c>
      <c r="B903" t="s">
        <v>73</v>
      </c>
      <c r="C903">
        <v>65.569999999999993</v>
      </c>
      <c r="D903">
        <v>205</v>
      </c>
      <c r="E903" t="b">
        <v>0</v>
      </c>
      <c r="F903" t="b">
        <v>0</v>
      </c>
      <c r="G903" t="b">
        <v>0</v>
      </c>
      <c r="H903" t="s">
        <v>34</v>
      </c>
      <c r="I903" t="s">
        <v>44</v>
      </c>
      <c r="J903" t="s">
        <v>27</v>
      </c>
      <c r="K903" t="s">
        <v>39</v>
      </c>
      <c r="L903" t="s">
        <v>69</v>
      </c>
      <c r="M903" t="s">
        <v>46</v>
      </c>
      <c r="O903" t="b">
        <v>0</v>
      </c>
      <c r="P903" t="b">
        <v>0</v>
      </c>
      <c r="Q903">
        <v>6.1</v>
      </c>
      <c r="R903" t="b">
        <v>1</v>
      </c>
      <c r="S903" t="s">
        <v>65</v>
      </c>
      <c r="T903">
        <v>44.8</v>
      </c>
      <c r="U903">
        <v>52.66</v>
      </c>
      <c r="V903" t="b">
        <v>1</v>
      </c>
      <c r="W903" t="s">
        <v>41</v>
      </c>
      <c r="AE903" t="str">
        <f t="shared" si="98"/>
        <v>No</v>
      </c>
      <c r="AF903" t="str">
        <f t="shared" si="99"/>
        <v>Unknown</v>
      </c>
      <c r="AG903" t="str">
        <f t="shared" si="100"/>
        <v>No</v>
      </c>
      <c r="AH903" t="str">
        <f t="shared" si="101"/>
        <v>Cross-referenced Multiple AIs</v>
      </c>
      <c r="AJ903" t="str">
        <f t="shared" si="102"/>
        <v>Low Trust</v>
      </c>
      <c r="AL903">
        <f t="shared" si="103"/>
        <v>52.7</v>
      </c>
      <c r="AM903" t="str">
        <f t="shared" si="104"/>
        <v>Bachelors</v>
      </c>
    </row>
    <row r="904" spans="1:39" x14ac:dyDescent="0.25">
      <c r="A904" t="s">
        <v>68</v>
      </c>
      <c r="B904" t="s">
        <v>49</v>
      </c>
      <c r="C904">
        <v>64.239999999999995</v>
      </c>
      <c r="D904">
        <v>693</v>
      </c>
      <c r="E904" t="b">
        <v>0</v>
      </c>
      <c r="F904" t="b">
        <v>1</v>
      </c>
      <c r="G904" t="b">
        <v>1</v>
      </c>
      <c r="H904" t="s">
        <v>43</v>
      </c>
      <c r="I904" t="s">
        <v>63</v>
      </c>
      <c r="J904" t="s">
        <v>27</v>
      </c>
      <c r="K904" t="s">
        <v>46</v>
      </c>
      <c r="L904" t="s">
        <v>38</v>
      </c>
      <c r="M904" t="s">
        <v>47</v>
      </c>
      <c r="N904" t="s">
        <v>28</v>
      </c>
      <c r="O904" t="b">
        <v>0</v>
      </c>
      <c r="P904" t="b">
        <v>1</v>
      </c>
      <c r="Q904">
        <v>4.7</v>
      </c>
      <c r="R904" t="b">
        <v>1</v>
      </c>
      <c r="S904" t="s">
        <v>52</v>
      </c>
      <c r="T904">
        <v>9.8000000000000007</v>
      </c>
      <c r="U904">
        <v>64.27</v>
      </c>
      <c r="V904" t="b">
        <v>1</v>
      </c>
      <c r="W904" t="s">
        <v>72</v>
      </c>
      <c r="AE904" t="str">
        <f t="shared" si="98"/>
        <v>Yes</v>
      </c>
      <c r="AF904" t="str">
        <f t="shared" si="99"/>
        <v>Low</v>
      </c>
      <c r="AG904" t="str">
        <f t="shared" si="100"/>
        <v>No</v>
      </c>
      <c r="AH904" t="str">
        <f t="shared" si="101"/>
        <v>Checked Official Source</v>
      </c>
      <c r="AJ904" t="str">
        <f t="shared" si="102"/>
        <v>Moderate Trust</v>
      </c>
      <c r="AL904">
        <f t="shared" si="103"/>
        <v>64.3</v>
      </c>
      <c r="AM904" t="str">
        <f t="shared" si="104"/>
        <v>Bachelors</v>
      </c>
    </row>
    <row r="905" spans="1:39" x14ac:dyDescent="0.25">
      <c r="A905" t="s">
        <v>32</v>
      </c>
      <c r="B905" t="s">
        <v>76</v>
      </c>
      <c r="C905">
        <v>85.35</v>
      </c>
      <c r="D905">
        <v>378</v>
      </c>
      <c r="E905" t="b">
        <v>1</v>
      </c>
      <c r="F905" t="b">
        <v>1</v>
      </c>
      <c r="G905" t="b">
        <v>0</v>
      </c>
      <c r="H905" t="s">
        <v>34</v>
      </c>
      <c r="I905" t="s">
        <v>57</v>
      </c>
      <c r="J905" t="s">
        <v>54</v>
      </c>
      <c r="K905" t="s">
        <v>37</v>
      </c>
      <c r="L905" t="s">
        <v>37</v>
      </c>
      <c r="M905" t="s">
        <v>28</v>
      </c>
      <c r="N905" t="s">
        <v>28</v>
      </c>
      <c r="O905" t="b">
        <v>1</v>
      </c>
      <c r="P905" t="b">
        <v>1</v>
      </c>
      <c r="Q905">
        <v>10</v>
      </c>
      <c r="R905" t="b">
        <v>0</v>
      </c>
      <c r="T905">
        <v>0</v>
      </c>
      <c r="U905">
        <v>71.03</v>
      </c>
      <c r="V905" t="b">
        <v>0</v>
      </c>
      <c r="W905" t="s">
        <v>58</v>
      </c>
      <c r="AE905" t="str">
        <f t="shared" si="98"/>
        <v>Yes</v>
      </c>
      <c r="AF905" t="str">
        <f t="shared" si="99"/>
        <v>Low</v>
      </c>
      <c r="AG905" t="str">
        <f t="shared" si="100"/>
        <v>Yes</v>
      </c>
      <c r="AH905" t="str">
        <f t="shared" si="101"/>
        <v>Unknown</v>
      </c>
      <c r="AJ905" t="str">
        <f t="shared" si="102"/>
        <v>High Trust</v>
      </c>
      <c r="AL905">
        <f t="shared" si="103"/>
        <v>71</v>
      </c>
      <c r="AM905" t="str">
        <f t="shared" si="104"/>
        <v>Masters</v>
      </c>
    </row>
    <row r="906" spans="1:39" x14ac:dyDescent="0.25">
      <c r="A906" t="s">
        <v>23</v>
      </c>
      <c r="B906" t="s">
        <v>42</v>
      </c>
      <c r="C906">
        <v>82.63</v>
      </c>
      <c r="D906">
        <v>342</v>
      </c>
      <c r="E906" t="b">
        <v>1</v>
      </c>
      <c r="F906" t="b">
        <v>1</v>
      </c>
      <c r="G906" t="b">
        <v>0</v>
      </c>
      <c r="H906" t="s">
        <v>53</v>
      </c>
      <c r="I906" t="s">
        <v>67</v>
      </c>
      <c r="J906" t="s">
        <v>50</v>
      </c>
      <c r="K906" t="s">
        <v>37</v>
      </c>
      <c r="L906" t="s">
        <v>51</v>
      </c>
      <c r="M906" t="s">
        <v>46</v>
      </c>
      <c r="N906" t="s">
        <v>46</v>
      </c>
      <c r="P906" t="b">
        <v>0</v>
      </c>
      <c r="Q906">
        <v>9.1999999999999993</v>
      </c>
      <c r="R906" t="b">
        <v>0</v>
      </c>
      <c r="T906">
        <v>0</v>
      </c>
      <c r="U906">
        <v>86.52</v>
      </c>
      <c r="V906" t="b">
        <v>1</v>
      </c>
      <c r="W906" t="s">
        <v>58</v>
      </c>
      <c r="AE906" t="str">
        <f t="shared" si="98"/>
        <v>Yes</v>
      </c>
      <c r="AF906" t="str">
        <f t="shared" si="99"/>
        <v>Medium</v>
      </c>
      <c r="AG906" t="str">
        <f t="shared" si="100"/>
        <v>No</v>
      </c>
      <c r="AH906" t="str">
        <f t="shared" si="101"/>
        <v>Unknown</v>
      </c>
      <c r="AJ906" t="str">
        <f t="shared" si="102"/>
        <v>High Trust</v>
      </c>
      <c r="AL906">
        <f t="shared" si="103"/>
        <v>86.5</v>
      </c>
      <c r="AM906" t="str">
        <f t="shared" si="104"/>
        <v>Professional</v>
      </c>
    </row>
    <row r="907" spans="1:39" x14ac:dyDescent="0.25">
      <c r="A907" t="s">
        <v>68</v>
      </c>
      <c r="B907" t="s">
        <v>42</v>
      </c>
      <c r="C907">
        <v>84.11</v>
      </c>
      <c r="D907">
        <v>393</v>
      </c>
      <c r="E907" t="b">
        <v>0</v>
      </c>
      <c r="F907" t="b">
        <v>0</v>
      </c>
      <c r="G907" t="b">
        <v>1</v>
      </c>
      <c r="H907" t="s">
        <v>53</v>
      </c>
      <c r="I907" t="s">
        <v>67</v>
      </c>
      <c r="J907" t="s">
        <v>45</v>
      </c>
      <c r="K907" t="s">
        <v>39</v>
      </c>
      <c r="L907" t="s">
        <v>69</v>
      </c>
      <c r="M907" t="s">
        <v>39</v>
      </c>
      <c r="O907" t="b">
        <v>0</v>
      </c>
      <c r="P907" t="b">
        <v>1</v>
      </c>
      <c r="Q907">
        <v>8.3000000000000007</v>
      </c>
      <c r="R907" t="b">
        <v>1</v>
      </c>
      <c r="S907" t="s">
        <v>65</v>
      </c>
      <c r="T907">
        <v>35.5</v>
      </c>
      <c r="U907">
        <v>69.83</v>
      </c>
      <c r="V907" t="b">
        <v>1</v>
      </c>
      <c r="W907" t="s">
        <v>31</v>
      </c>
      <c r="AE907" t="str">
        <f t="shared" si="98"/>
        <v>No</v>
      </c>
      <c r="AF907" t="str">
        <f t="shared" si="99"/>
        <v>Unknown</v>
      </c>
      <c r="AG907" t="str">
        <f t="shared" si="100"/>
        <v>No</v>
      </c>
      <c r="AH907" t="str">
        <f t="shared" si="101"/>
        <v>Cross-referenced Multiple AIs</v>
      </c>
      <c r="AJ907" t="str">
        <f t="shared" si="102"/>
        <v>High Trust</v>
      </c>
      <c r="AL907">
        <f t="shared" si="103"/>
        <v>69.8</v>
      </c>
      <c r="AM907" t="str">
        <f t="shared" si="104"/>
        <v>High School</v>
      </c>
    </row>
    <row r="908" spans="1:39" x14ac:dyDescent="0.25">
      <c r="A908" t="s">
        <v>61</v>
      </c>
      <c r="B908" t="s">
        <v>33</v>
      </c>
      <c r="C908">
        <v>81.13</v>
      </c>
      <c r="D908">
        <v>784</v>
      </c>
      <c r="E908" t="b">
        <v>0</v>
      </c>
      <c r="F908" t="b">
        <v>0</v>
      </c>
      <c r="G908" t="b">
        <v>1</v>
      </c>
      <c r="H908" t="s">
        <v>25</v>
      </c>
      <c r="I908" t="s">
        <v>26</v>
      </c>
      <c r="J908" t="s">
        <v>45</v>
      </c>
      <c r="K908" t="s">
        <v>28</v>
      </c>
      <c r="L908" t="s">
        <v>69</v>
      </c>
      <c r="M908" t="s">
        <v>28</v>
      </c>
      <c r="O908" t="b">
        <v>0</v>
      </c>
      <c r="P908" t="b">
        <v>1</v>
      </c>
      <c r="Q908">
        <v>9.1999999999999993</v>
      </c>
      <c r="R908" t="b">
        <v>0</v>
      </c>
      <c r="T908">
        <v>0</v>
      </c>
      <c r="U908">
        <v>81.48</v>
      </c>
      <c r="V908" t="b">
        <v>1</v>
      </c>
      <c r="W908" t="s">
        <v>58</v>
      </c>
      <c r="AE908" t="str">
        <f t="shared" si="98"/>
        <v>No</v>
      </c>
      <c r="AF908" t="str">
        <f t="shared" si="99"/>
        <v>Unknown</v>
      </c>
      <c r="AG908" t="str">
        <f t="shared" si="100"/>
        <v>No</v>
      </c>
      <c r="AH908" t="str">
        <f t="shared" si="101"/>
        <v>Unknown</v>
      </c>
      <c r="AJ908" t="str">
        <f t="shared" si="102"/>
        <v>High Trust</v>
      </c>
      <c r="AL908">
        <f t="shared" si="103"/>
        <v>81.5</v>
      </c>
      <c r="AM908" t="str">
        <f t="shared" si="104"/>
        <v>High School</v>
      </c>
    </row>
    <row r="909" spans="1:39" x14ac:dyDescent="0.25">
      <c r="A909" t="s">
        <v>68</v>
      </c>
      <c r="B909" t="s">
        <v>71</v>
      </c>
      <c r="C909">
        <v>59.98</v>
      </c>
      <c r="D909">
        <v>641</v>
      </c>
      <c r="E909" t="b">
        <v>0</v>
      </c>
      <c r="F909" t="b">
        <v>0</v>
      </c>
      <c r="G909" t="b">
        <v>0</v>
      </c>
      <c r="H909" t="s">
        <v>34</v>
      </c>
      <c r="I909" t="s">
        <v>44</v>
      </c>
      <c r="J909" t="s">
        <v>36</v>
      </c>
      <c r="K909" t="s">
        <v>28</v>
      </c>
      <c r="L909" t="s">
        <v>29</v>
      </c>
      <c r="M909" t="s">
        <v>28</v>
      </c>
      <c r="P909" t="b">
        <v>0</v>
      </c>
      <c r="Q909">
        <v>6.9</v>
      </c>
      <c r="R909" t="b">
        <v>1</v>
      </c>
      <c r="S909" t="s">
        <v>40</v>
      </c>
      <c r="T909">
        <v>41.5</v>
      </c>
      <c r="U909">
        <v>49.84</v>
      </c>
      <c r="V909" t="b">
        <v>1</v>
      </c>
      <c r="W909" t="s">
        <v>41</v>
      </c>
      <c r="AE909" t="str">
        <f t="shared" si="98"/>
        <v>No</v>
      </c>
      <c r="AF909" t="str">
        <f t="shared" si="99"/>
        <v>Unknown</v>
      </c>
      <c r="AG909" t="str">
        <f t="shared" si="100"/>
        <v>No</v>
      </c>
      <c r="AH909" t="str">
        <f t="shared" si="101"/>
        <v>Asked Expert</v>
      </c>
      <c r="AJ909" t="str">
        <f t="shared" si="102"/>
        <v>Low Trust</v>
      </c>
      <c r="AL909">
        <f t="shared" si="103"/>
        <v>49.8</v>
      </c>
      <c r="AM909" t="str">
        <f t="shared" si="104"/>
        <v>PhD</v>
      </c>
    </row>
    <row r="910" spans="1:39" x14ac:dyDescent="0.25">
      <c r="A910" t="s">
        <v>23</v>
      </c>
      <c r="B910" t="s">
        <v>60</v>
      </c>
      <c r="C910">
        <v>43.58</v>
      </c>
      <c r="D910">
        <v>63</v>
      </c>
      <c r="E910" t="b">
        <v>0</v>
      </c>
      <c r="F910" t="b">
        <v>1</v>
      </c>
      <c r="G910" t="b">
        <v>1</v>
      </c>
      <c r="H910" t="s">
        <v>53</v>
      </c>
      <c r="I910" t="s">
        <v>63</v>
      </c>
      <c r="J910" t="s">
        <v>54</v>
      </c>
      <c r="K910" t="s">
        <v>39</v>
      </c>
      <c r="L910" t="s">
        <v>69</v>
      </c>
      <c r="M910" t="s">
        <v>46</v>
      </c>
      <c r="N910" t="s">
        <v>39</v>
      </c>
      <c r="O910" t="b">
        <v>0</v>
      </c>
      <c r="P910" t="b">
        <v>0</v>
      </c>
      <c r="Q910">
        <v>3.7</v>
      </c>
      <c r="R910" t="b">
        <v>1</v>
      </c>
      <c r="S910" t="s">
        <v>75</v>
      </c>
      <c r="T910">
        <v>40.700000000000003</v>
      </c>
      <c r="U910">
        <v>42.21</v>
      </c>
      <c r="V910" t="b">
        <v>1</v>
      </c>
      <c r="W910" t="s">
        <v>72</v>
      </c>
      <c r="AE910" t="str">
        <f t="shared" si="98"/>
        <v>Yes</v>
      </c>
      <c r="AF910" t="str">
        <f t="shared" si="99"/>
        <v>High</v>
      </c>
      <c r="AG910" t="str">
        <f t="shared" si="100"/>
        <v>No</v>
      </c>
      <c r="AH910" t="str">
        <f t="shared" si="101"/>
        <v>Asked Colleague</v>
      </c>
      <c r="AJ910" t="str">
        <f t="shared" si="102"/>
        <v>Moderate Trust</v>
      </c>
      <c r="AL910">
        <f t="shared" si="103"/>
        <v>42.2</v>
      </c>
      <c r="AM910" t="str">
        <f t="shared" si="104"/>
        <v>Masters</v>
      </c>
    </row>
    <row r="911" spans="1:39" x14ac:dyDescent="0.25">
      <c r="A911" t="s">
        <v>74</v>
      </c>
      <c r="B911" t="s">
        <v>59</v>
      </c>
      <c r="C911">
        <v>90.28</v>
      </c>
      <c r="D911">
        <v>251</v>
      </c>
      <c r="E911" t="b">
        <v>1</v>
      </c>
      <c r="F911" t="b">
        <v>0</v>
      </c>
      <c r="G911" t="b">
        <v>0</v>
      </c>
      <c r="H911" t="s">
        <v>25</v>
      </c>
      <c r="I911" t="s">
        <v>67</v>
      </c>
      <c r="J911" t="s">
        <v>36</v>
      </c>
      <c r="K911" t="s">
        <v>46</v>
      </c>
      <c r="L911" t="s">
        <v>51</v>
      </c>
      <c r="M911" t="s">
        <v>46</v>
      </c>
      <c r="N911" t="s">
        <v>46</v>
      </c>
      <c r="O911" t="b">
        <v>1</v>
      </c>
      <c r="P911" t="b">
        <v>0</v>
      </c>
      <c r="Q911">
        <v>10</v>
      </c>
      <c r="R911" t="b">
        <v>1</v>
      </c>
      <c r="S911" t="s">
        <v>30</v>
      </c>
      <c r="T911">
        <v>27.2</v>
      </c>
      <c r="U911">
        <v>92.28</v>
      </c>
      <c r="V911" t="b">
        <v>1</v>
      </c>
      <c r="W911" t="s">
        <v>31</v>
      </c>
      <c r="AE911" t="str">
        <f t="shared" si="98"/>
        <v>No</v>
      </c>
      <c r="AF911" t="str">
        <f t="shared" si="99"/>
        <v>Medium</v>
      </c>
      <c r="AG911" t="str">
        <f t="shared" si="100"/>
        <v>Yes</v>
      </c>
      <c r="AH911" t="str">
        <f t="shared" si="101"/>
        <v>Google Search</v>
      </c>
      <c r="AJ911" t="str">
        <f t="shared" si="102"/>
        <v>High Trust</v>
      </c>
      <c r="AL911">
        <f t="shared" si="103"/>
        <v>92.3</v>
      </c>
      <c r="AM911" t="str">
        <f t="shared" si="104"/>
        <v>PhD</v>
      </c>
    </row>
    <row r="912" spans="1:39" x14ac:dyDescent="0.25">
      <c r="A912" t="s">
        <v>68</v>
      </c>
      <c r="B912" t="s">
        <v>24</v>
      </c>
      <c r="C912">
        <v>90.24</v>
      </c>
      <c r="D912">
        <v>140</v>
      </c>
      <c r="E912" t="b">
        <v>1</v>
      </c>
      <c r="F912" t="b">
        <v>1</v>
      </c>
      <c r="G912" t="b">
        <v>0</v>
      </c>
      <c r="H912" t="s">
        <v>43</v>
      </c>
      <c r="I912" t="s">
        <v>35</v>
      </c>
      <c r="J912" t="s">
        <v>50</v>
      </c>
      <c r="K912" t="s">
        <v>28</v>
      </c>
      <c r="L912" t="s">
        <v>38</v>
      </c>
      <c r="M912" t="s">
        <v>39</v>
      </c>
      <c r="N912" t="s">
        <v>39</v>
      </c>
      <c r="O912" t="b">
        <v>1</v>
      </c>
      <c r="P912" t="b">
        <v>0</v>
      </c>
      <c r="Q912">
        <v>10</v>
      </c>
      <c r="R912" t="b">
        <v>1</v>
      </c>
      <c r="S912" t="s">
        <v>64</v>
      </c>
      <c r="T912">
        <v>14.6</v>
      </c>
      <c r="U912">
        <v>77.72</v>
      </c>
      <c r="V912" t="b">
        <v>0</v>
      </c>
      <c r="W912" t="s">
        <v>31</v>
      </c>
      <c r="AE912" t="str">
        <f t="shared" si="98"/>
        <v>Yes</v>
      </c>
      <c r="AF912" t="str">
        <f t="shared" si="99"/>
        <v>High</v>
      </c>
      <c r="AG912" t="str">
        <f t="shared" si="100"/>
        <v>Yes</v>
      </c>
      <c r="AH912" t="str">
        <f t="shared" si="101"/>
        <v>Personal Testing</v>
      </c>
      <c r="AJ912" t="str">
        <f t="shared" si="102"/>
        <v>High Trust</v>
      </c>
      <c r="AL912">
        <f t="shared" si="103"/>
        <v>77.7</v>
      </c>
      <c r="AM912" t="str">
        <f t="shared" si="104"/>
        <v>Professional</v>
      </c>
    </row>
    <row r="913" spans="1:39" x14ac:dyDescent="0.25">
      <c r="A913" t="s">
        <v>32</v>
      </c>
      <c r="B913" t="s">
        <v>76</v>
      </c>
      <c r="C913">
        <v>74.59</v>
      </c>
      <c r="D913">
        <v>406</v>
      </c>
      <c r="E913" t="b">
        <v>1</v>
      </c>
      <c r="F913" t="b">
        <v>0</v>
      </c>
      <c r="G913" t="b">
        <v>0</v>
      </c>
      <c r="H913" t="s">
        <v>53</v>
      </c>
      <c r="I913" t="s">
        <v>63</v>
      </c>
      <c r="J913" t="s">
        <v>45</v>
      </c>
      <c r="K913" t="s">
        <v>28</v>
      </c>
      <c r="L913" t="s">
        <v>38</v>
      </c>
      <c r="M913" t="s">
        <v>46</v>
      </c>
      <c r="N913" t="s">
        <v>39</v>
      </c>
      <c r="O913" t="b">
        <v>0</v>
      </c>
      <c r="P913" t="b">
        <v>0</v>
      </c>
      <c r="Q913">
        <v>9</v>
      </c>
      <c r="R913" t="b">
        <v>0</v>
      </c>
      <c r="T913">
        <v>0</v>
      </c>
      <c r="U913">
        <v>88.26</v>
      </c>
      <c r="V913" t="b">
        <v>1</v>
      </c>
      <c r="W913" t="s">
        <v>58</v>
      </c>
      <c r="AE913" t="str">
        <f t="shared" si="98"/>
        <v>No</v>
      </c>
      <c r="AF913" t="str">
        <f t="shared" si="99"/>
        <v>High</v>
      </c>
      <c r="AG913" t="str">
        <f t="shared" si="100"/>
        <v>No</v>
      </c>
      <c r="AH913" t="str">
        <f t="shared" si="101"/>
        <v>Unknown</v>
      </c>
      <c r="AJ913" t="str">
        <f t="shared" si="102"/>
        <v>High Trust</v>
      </c>
      <c r="AL913">
        <f t="shared" si="103"/>
        <v>88.3</v>
      </c>
      <c r="AM913" t="str">
        <f t="shared" si="104"/>
        <v>High School</v>
      </c>
    </row>
    <row r="914" spans="1:39" x14ac:dyDescent="0.25">
      <c r="A914" t="s">
        <v>32</v>
      </c>
      <c r="B914" t="s">
        <v>59</v>
      </c>
      <c r="C914">
        <v>92.25</v>
      </c>
      <c r="D914">
        <v>675</v>
      </c>
      <c r="E914" t="b">
        <v>1</v>
      </c>
      <c r="F914" t="b">
        <v>0</v>
      </c>
      <c r="G914" t="b">
        <v>0</v>
      </c>
      <c r="H914" t="s">
        <v>43</v>
      </c>
      <c r="I914" t="s">
        <v>35</v>
      </c>
      <c r="J914" t="s">
        <v>50</v>
      </c>
      <c r="K914" t="s">
        <v>37</v>
      </c>
      <c r="L914" t="s">
        <v>51</v>
      </c>
      <c r="M914" t="s">
        <v>39</v>
      </c>
      <c r="O914" t="b">
        <v>1</v>
      </c>
      <c r="P914" t="b">
        <v>1</v>
      </c>
      <c r="Q914">
        <v>10</v>
      </c>
      <c r="R914" t="b">
        <v>1</v>
      </c>
      <c r="S914" t="s">
        <v>30</v>
      </c>
      <c r="T914">
        <v>2.9</v>
      </c>
      <c r="U914">
        <v>82.69</v>
      </c>
      <c r="V914" t="b">
        <v>1</v>
      </c>
      <c r="W914" t="s">
        <v>31</v>
      </c>
      <c r="AE914" t="str">
        <f t="shared" si="98"/>
        <v>No</v>
      </c>
      <c r="AF914" t="str">
        <f t="shared" si="99"/>
        <v>Unknown</v>
      </c>
      <c r="AG914" t="str">
        <f t="shared" si="100"/>
        <v>Yes</v>
      </c>
      <c r="AH914" t="str">
        <f t="shared" si="101"/>
        <v>Google Search</v>
      </c>
      <c r="AJ914" t="str">
        <f t="shared" si="102"/>
        <v>High Trust</v>
      </c>
      <c r="AL914">
        <f t="shared" si="103"/>
        <v>82.7</v>
      </c>
      <c r="AM914" t="str">
        <f t="shared" si="104"/>
        <v>Professional</v>
      </c>
    </row>
    <row r="915" spans="1:39" x14ac:dyDescent="0.25">
      <c r="A915" t="s">
        <v>68</v>
      </c>
      <c r="B915" t="s">
        <v>49</v>
      </c>
      <c r="C915">
        <v>77.94</v>
      </c>
      <c r="D915">
        <v>488</v>
      </c>
      <c r="E915" t="b">
        <v>1</v>
      </c>
      <c r="F915" t="b">
        <v>1</v>
      </c>
      <c r="G915" t="b">
        <v>1</v>
      </c>
      <c r="H915" t="s">
        <v>34</v>
      </c>
      <c r="I915" t="s">
        <v>35</v>
      </c>
      <c r="J915" t="s">
        <v>54</v>
      </c>
      <c r="K915" t="s">
        <v>28</v>
      </c>
      <c r="L915" t="s">
        <v>51</v>
      </c>
      <c r="M915" t="s">
        <v>46</v>
      </c>
      <c r="N915" t="s">
        <v>39</v>
      </c>
      <c r="O915" t="b">
        <v>1</v>
      </c>
      <c r="P915" t="b">
        <v>1</v>
      </c>
      <c r="Q915">
        <v>10</v>
      </c>
      <c r="R915" t="b">
        <v>0</v>
      </c>
      <c r="T915">
        <v>0</v>
      </c>
      <c r="U915">
        <v>76.239999999999995</v>
      </c>
      <c r="V915" t="b">
        <v>0</v>
      </c>
      <c r="W915" t="s">
        <v>58</v>
      </c>
      <c r="AE915" t="str">
        <f t="shared" si="98"/>
        <v>Yes</v>
      </c>
      <c r="AF915" t="str">
        <f t="shared" si="99"/>
        <v>High</v>
      </c>
      <c r="AG915" t="str">
        <f t="shared" si="100"/>
        <v>Yes</v>
      </c>
      <c r="AH915" t="str">
        <f t="shared" si="101"/>
        <v>Unknown</v>
      </c>
      <c r="AJ915" t="str">
        <f t="shared" si="102"/>
        <v>High Trust</v>
      </c>
      <c r="AL915">
        <f t="shared" si="103"/>
        <v>76.2</v>
      </c>
      <c r="AM915" t="str">
        <f t="shared" si="104"/>
        <v>Masters</v>
      </c>
    </row>
    <row r="916" spans="1:39" x14ac:dyDescent="0.25">
      <c r="A916" t="s">
        <v>56</v>
      </c>
      <c r="B916" t="s">
        <v>76</v>
      </c>
      <c r="C916">
        <v>78.81</v>
      </c>
      <c r="D916">
        <v>748</v>
      </c>
      <c r="E916" t="b">
        <v>0</v>
      </c>
      <c r="F916" t="b">
        <v>0</v>
      </c>
      <c r="G916" t="b">
        <v>1</v>
      </c>
      <c r="H916" t="s">
        <v>25</v>
      </c>
      <c r="I916" t="s">
        <v>57</v>
      </c>
      <c r="J916" t="s">
        <v>50</v>
      </c>
      <c r="K916" t="s">
        <v>39</v>
      </c>
      <c r="L916" t="s">
        <v>37</v>
      </c>
      <c r="M916" t="s">
        <v>28</v>
      </c>
      <c r="P916" t="b">
        <v>0</v>
      </c>
      <c r="Q916">
        <v>8.4</v>
      </c>
      <c r="R916" t="b">
        <v>1</v>
      </c>
      <c r="S916" t="s">
        <v>64</v>
      </c>
      <c r="T916">
        <v>36.9</v>
      </c>
      <c r="U916">
        <v>67.16</v>
      </c>
      <c r="V916" t="b">
        <v>1</v>
      </c>
      <c r="W916" t="s">
        <v>31</v>
      </c>
      <c r="AE916" t="str">
        <f t="shared" si="98"/>
        <v>No</v>
      </c>
      <c r="AF916" t="str">
        <f t="shared" si="99"/>
        <v>Unknown</v>
      </c>
      <c r="AG916" t="str">
        <f t="shared" si="100"/>
        <v>No</v>
      </c>
      <c r="AH916" t="str">
        <f t="shared" si="101"/>
        <v>Personal Testing</v>
      </c>
      <c r="AJ916" t="str">
        <f t="shared" si="102"/>
        <v>High Trust</v>
      </c>
      <c r="AL916">
        <f t="shared" si="103"/>
        <v>67.2</v>
      </c>
      <c r="AM916" t="str">
        <f t="shared" si="104"/>
        <v>Professional</v>
      </c>
    </row>
    <row r="917" spans="1:39" x14ac:dyDescent="0.25">
      <c r="A917" t="s">
        <v>74</v>
      </c>
      <c r="B917" t="s">
        <v>60</v>
      </c>
      <c r="C917">
        <v>54.01</v>
      </c>
      <c r="D917">
        <v>185</v>
      </c>
      <c r="E917" t="b">
        <v>1</v>
      </c>
      <c r="F917" t="b">
        <v>0</v>
      </c>
      <c r="G917" t="b">
        <v>1</v>
      </c>
      <c r="H917" t="s">
        <v>43</v>
      </c>
      <c r="I917" t="s">
        <v>57</v>
      </c>
      <c r="J917" t="s">
        <v>36</v>
      </c>
      <c r="K917" t="s">
        <v>37</v>
      </c>
      <c r="L917" t="s">
        <v>38</v>
      </c>
      <c r="M917" t="s">
        <v>46</v>
      </c>
      <c r="N917" t="s">
        <v>28</v>
      </c>
      <c r="O917" t="b">
        <v>0</v>
      </c>
      <c r="P917" t="b">
        <v>1</v>
      </c>
      <c r="Q917">
        <v>6.4</v>
      </c>
      <c r="R917" t="b">
        <v>1</v>
      </c>
      <c r="S917" t="s">
        <v>52</v>
      </c>
      <c r="T917">
        <v>6.5</v>
      </c>
      <c r="U917">
        <v>39.54</v>
      </c>
      <c r="V917" t="b">
        <v>0</v>
      </c>
      <c r="W917" t="s">
        <v>41</v>
      </c>
      <c r="AE917" t="str">
        <f t="shared" si="98"/>
        <v>No</v>
      </c>
      <c r="AF917" t="str">
        <f t="shared" si="99"/>
        <v>Low</v>
      </c>
      <c r="AG917" t="str">
        <f t="shared" si="100"/>
        <v>No</v>
      </c>
      <c r="AH917" t="str">
        <f t="shared" si="101"/>
        <v>Checked Official Source</v>
      </c>
      <c r="AJ917" t="str">
        <f t="shared" si="102"/>
        <v>Moderate Trust</v>
      </c>
      <c r="AL917">
        <f t="shared" si="103"/>
        <v>39.5</v>
      </c>
      <c r="AM917" t="str">
        <f t="shared" si="104"/>
        <v>PhD</v>
      </c>
    </row>
    <row r="918" spans="1:39" x14ac:dyDescent="0.25">
      <c r="A918" t="s">
        <v>74</v>
      </c>
      <c r="B918" t="s">
        <v>71</v>
      </c>
      <c r="C918">
        <v>58.09</v>
      </c>
      <c r="D918">
        <v>787</v>
      </c>
      <c r="E918" t="b">
        <v>1</v>
      </c>
      <c r="F918" t="b">
        <v>0</v>
      </c>
      <c r="G918" t="b">
        <v>1</v>
      </c>
      <c r="H918" t="s">
        <v>43</v>
      </c>
      <c r="I918" t="s">
        <v>44</v>
      </c>
      <c r="J918" t="s">
        <v>45</v>
      </c>
      <c r="K918" t="s">
        <v>46</v>
      </c>
      <c r="L918" t="s">
        <v>38</v>
      </c>
      <c r="M918" t="s">
        <v>46</v>
      </c>
      <c r="N918" t="s">
        <v>46</v>
      </c>
      <c r="O918" t="b">
        <v>1</v>
      </c>
      <c r="P918" t="b">
        <v>1</v>
      </c>
      <c r="Q918">
        <v>10</v>
      </c>
      <c r="R918" t="b">
        <v>0</v>
      </c>
      <c r="T918">
        <v>0</v>
      </c>
      <c r="U918">
        <v>59.84</v>
      </c>
      <c r="V918" t="b">
        <v>0</v>
      </c>
      <c r="W918" t="s">
        <v>58</v>
      </c>
      <c r="AE918" t="str">
        <f t="shared" si="98"/>
        <v>No</v>
      </c>
      <c r="AF918" t="str">
        <f t="shared" si="99"/>
        <v>Medium</v>
      </c>
      <c r="AG918" t="str">
        <f t="shared" si="100"/>
        <v>Yes</v>
      </c>
      <c r="AH918" t="str">
        <f t="shared" si="101"/>
        <v>Unknown</v>
      </c>
      <c r="AJ918" t="str">
        <f t="shared" si="102"/>
        <v>High Trust</v>
      </c>
      <c r="AL918">
        <f t="shared" si="103"/>
        <v>59.8</v>
      </c>
      <c r="AM918" t="str">
        <f t="shared" si="104"/>
        <v>High School</v>
      </c>
    </row>
    <row r="919" spans="1:39" x14ac:dyDescent="0.25">
      <c r="A919" t="s">
        <v>23</v>
      </c>
      <c r="B919" t="s">
        <v>24</v>
      </c>
      <c r="C919">
        <v>95.27</v>
      </c>
      <c r="D919">
        <v>485</v>
      </c>
      <c r="E919" t="b">
        <v>0</v>
      </c>
      <c r="F919" t="b">
        <v>1</v>
      </c>
      <c r="G919" t="b">
        <v>0</v>
      </c>
      <c r="H919" t="s">
        <v>43</v>
      </c>
      <c r="I919" t="s">
        <v>63</v>
      </c>
      <c r="J919" t="s">
        <v>36</v>
      </c>
      <c r="K919" t="s">
        <v>28</v>
      </c>
      <c r="L919" t="s">
        <v>38</v>
      </c>
      <c r="M919" t="s">
        <v>47</v>
      </c>
      <c r="O919" t="b">
        <v>0</v>
      </c>
      <c r="P919" t="b">
        <v>0</v>
      </c>
      <c r="Q919">
        <v>8.6999999999999993</v>
      </c>
      <c r="R919" t="b">
        <v>1</v>
      </c>
      <c r="S919" t="s">
        <v>52</v>
      </c>
      <c r="T919">
        <v>2.8</v>
      </c>
      <c r="U919">
        <v>80.5</v>
      </c>
      <c r="V919" t="b">
        <v>1</v>
      </c>
      <c r="W919" t="s">
        <v>31</v>
      </c>
      <c r="AE919" t="str">
        <f t="shared" si="98"/>
        <v>Yes</v>
      </c>
      <c r="AF919" t="str">
        <f t="shared" si="99"/>
        <v>Unknown</v>
      </c>
      <c r="AG919" t="str">
        <f t="shared" si="100"/>
        <v>No</v>
      </c>
      <c r="AH919" t="str">
        <f t="shared" si="101"/>
        <v>Checked Official Source</v>
      </c>
      <c r="AJ919" t="str">
        <f t="shared" si="102"/>
        <v>High Trust</v>
      </c>
      <c r="AL919">
        <f t="shared" si="103"/>
        <v>80.5</v>
      </c>
      <c r="AM919" t="str">
        <f t="shared" si="104"/>
        <v>PhD</v>
      </c>
    </row>
    <row r="920" spans="1:39" x14ac:dyDescent="0.25">
      <c r="A920" t="s">
        <v>74</v>
      </c>
      <c r="B920" t="s">
        <v>73</v>
      </c>
      <c r="C920">
        <v>53.09</v>
      </c>
      <c r="D920">
        <v>295</v>
      </c>
      <c r="E920" t="b">
        <v>1</v>
      </c>
      <c r="F920" t="b">
        <v>0</v>
      </c>
      <c r="G920" t="b">
        <v>1</v>
      </c>
      <c r="H920" t="s">
        <v>25</v>
      </c>
      <c r="I920" t="s">
        <v>67</v>
      </c>
      <c r="J920" t="s">
        <v>27</v>
      </c>
      <c r="K920" t="s">
        <v>39</v>
      </c>
      <c r="L920" t="s">
        <v>69</v>
      </c>
      <c r="M920" t="s">
        <v>39</v>
      </c>
      <c r="N920" t="s">
        <v>39</v>
      </c>
      <c r="O920" t="b">
        <v>0</v>
      </c>
      <c r="P920" t="b">
        <v>1</v>
      </c>
      <c r="Q920">
        <v>5.6</v>
      </c>
      <c r="R920" t="b">
        <v>1</v>
      </c>
      <c r="S920" t="s">
        <v>40</v>
      </c>
      <c r="T920">
        <v>38.5</v>
      </c>
      <c r="U920">
        <v>66.790000000000006</v>
      </c>
      <c r="V920" t="b">
        <v>1</v>
      </c>
      <c r="W920" t="s">
        <v>41</v>
      </c>
      <c r="AE920" t="str">
        <f t="shared" si="98"/>
        <v>No</v>
      </c>
      <c r="AF920" t="str">
        <f t="shared" si="99"/>
        <v>High</v>
      </c>
      <c r="AG920" t="str">
        <f t="shared" si="100"/>
        <v>No</v>
      </c>
      <c r="AH920" t="str">
        <f t="shared" si="101"/>
        <v>Asked Expert</v>
      </c>
      <c r="AJ920" t="str">
        <f t="shared" si="102"/>
        <v>Moderate Trust</v>
      </c>
      <c r="AL920">
        <f t="shared" si="103"/>
        <v>66.8</v>
      </c>
      <c r="AM920" t="str">
        <f t="shared" si="104"/>
        <v>Bachelors</v>
      </c>
    </row>
    <row r="921" spans="1:39" x14ac:dyDescent="0.25">
      <c r="A921" t="s">
        <v>61</v>
      </c>
      <c r="B921" t="s">
        <v>49</v>
      </c>
      <c r="C921">
        <v>76.5</v>
      </c>
      <c r="D921">
        <v>732</v>
      </c>
      <c r="E921" t="b">
        <v>1</v>
      </c>
      <c r="F921" t="b">
        <v>1</v>
      </c>
      <c r="G921" t="b">
        <v>1</v>
      </c>
      <c r="H921" t="s">
        <v>43</v>
      </c>
      <c r="I921" t="s">
        <v>26</v>
      </c>
      <c r="J921" t="s">
        <v>54</v>
      </c>
      <c r="K921" t="s">
        <v>37</v>
      </c>
      <c r="L921" t="s">
        <v>51</v>
      </c>
      <c r="M921" t="s">
        <v>28</v>
      </c>
      <c r="N921" t="s">
        <v>28</v>
      </c>
      <c r="P921" t="b">
        <v>1</v>
      </c>
      <c r="Q921">
        <v>8.5</v>
      </c>
      <c r="R921" t="b">
        <v>1</v>
      </c>
      <c r="S921" t="s">
        <v>64</v>
      </c>
      <c r="T921">
        <v>15.4</v>
      </c>
      <c r="U921">
        <v>68.319999999999993</v>
      </c>
      <c r="V921" t="b">
        <v>1</v>
      </c>
      <c r="W921" t="s">
        <v>31</v>
      </c>
      <c r="AE921" t="str">
        <f t="shared" si="98"/>
        <v>Yes</v>
      </c>
      <c r="AF921" t="str">
        <f t="shared" si="99"/>
        <v>Low</v>
      </c>
      <c r="AG921" t="str">
        <f t="shared" si="100"/>
        <v>No</v>
      </c>
      <c r="AH921" t="str">
        <f t="shared" si="101"/>
        <v>Personal Testing</v>
      </c>
      <c r="AJ921" t="str">
        <f t="shared" si="102"/>
        <v>High Trust</v>
      </c>
      <c r="AL921">
        <f t="shared" si="103"/>
        <v>68.3</v>
      </c>
      <c r="AM921" t="str">
        <f t="shared" si="104"/>
        <v>Masters</v>
      </c>
    </row>
    <row r="922" spans="1:39" x14ac:dyDescent="0.25">
      <c r="A922" t="s">
        <v>32</v>
      </c>
      <c r="B922" t="s">
        <v>62</v>
      </c>
      <c r="C922">
        <v>55.07</v>
      </c>
      <c r="D922">
        <v>84</v>
      </c>
      <c r="E922" t="b">
        <v>0</v>
      </c>
      <c r="F922" t="b">
        <v>0</v>
      </c>
      <c r="G922" t="b">
        <v>0</v>
      </c>
      <c r="H922" t="s">
        <v>53</v>
      </c>
      <c r="I922" t="s">
        <v>26</v>
      </c>
      <c r="J922" t="s">
        <v>54</v>
      </c>
      <c r="K922" t="s">
        <v>37</v>
      </c>
      <c r="L922" t="s">
        <v>29</v>
      </c>
      <c r="M922" t="s">
        <v>47</v>
      </c>
      <c r="N922" t="s">
        <v>46</v>
      </c>
      <c r="O922" t="b">
        <v>0</v>
      </c>
      <c r="P922" t="b">
        <v>1</v>
      </c>
      <c r="Q922">
        <v>3.2</v>
      </c>
      <c r="R922" t="b">
        <v>1</v>
      </c>
      <c r="S922" t="s">
        <v>75</v>
      </c>
      <c r="T922">
        <v>44.9</v>
      </c>
      <c r="U922">
        <v>43.4</v>
      </c>
      <c r="V922" t="b">
        <v>1</v>
      </c>
      <c r="W922" t="s">
        <v>72</v>
      </c>
      <c r="AE922" t="str">
        <f t="shared" si="98"/>
        <v>No</v>
      </c>
      <c r="AF922" t="str">
        <f t="shared" si="99"/>
        <v>Medium</v>
      </c>
      <c r="AG922" t="str">
        <f t="shared" si="100"/>
        <v>No</v>
      </c>
      <c r="AH922" t="str">
        <f t="shared" si="101"/>
        <v>Asked Colleague</v>
      </c>
      <c r="AJ922" t="str">
        <f t="shared" si="102"/>
        <v>Moderate Trust</v>
      </c>
      <c r="AL922">
        <f t="shared" si="103"/>
        <v>43.4</v>
      </c>
      <c r="AM922" t="str">
        <f t="shared" si="104"/>
        <v>Masters</v>
      </c>
    </row>
    <row r="923" spans="1:39" x14ac:dyDescent="0.25">
      <c r="A923" t="s">
        <v>56</v>
      </c>
      <c r="B923" t="s">
        <v>59</v>
      </c>
      <c r="C923">
        <v>83.84</v>
      </c>
      <c r="D923">
        <v>411</v>
      </c>
      <c r="E923" t="b">
        <v>0</v>
      </c>
      <c r="F923" t="b">
        <v>1</v>
      </c>
      <c r="G923" t="b">
        <v>0</v>
      </c>
      <c r="H923" t="s">
        <v>43</v>
      </c>
      <c r="I923" t="s">
        <v>35</v>
      </c>
      <c r="J923" t="s">
        <v>50</v>
      </c>
      <c r="K923" t="s">
        <v>28</v>
      </c>
      <c r="L923" t="s">
        <v>51</v>
      </c>
      <c r="M923" t="s">
        <v>28</v>
      </c>
      <c r="O923" t="b">
        <v>1</v>
      </c>
      <c r="P923" t="b">
        <v>0</v>
      </c>
      <c r="Q923">
        <v>10</v>
      </c>
      <c r="R923" t="b">
        <v>1</v>
      </c>
      <c r="S923" t="s">
        <v>55</v>
      </c>
      <c r="T923">
        <v>23.7</v>
      </c>
      <c r="U923">
        <v>78.209999999999994</v>
      </c>
      <c r="V923" t="b">
        <v>0</v>
      </c>
      <c r="W923" t="s">
        <v>31</v>
      </c>
      <c r="AE923" t="str">
        <f t="shared" si="98"/>
        <v>Yes</v>
      </c>
      <c r="AF923" t="str">
        <f t="shared" si="99"/>
        <v>Unknown</v>
      </c>
      <c r="AG923" t="str">
        <f t="shared" si="100"/>
        <v>Yes</v>
      </c>
      <c r="AH923" t="str">
        <f t="shared" si="101"/>
        <v>Academic Paper</v>
      </c>
      <c r="AJ923" t="str">
        <f t="shared" si="102"/>
        <v>High Trust</v>
      </c>
      <c r="AL923">
        <f t="shared" si="103"/>
        <v>78.2</v>
      </c>
      <c r="AM923" t="str">
        <f t="shared" si="104"/>
        <v>Professional</v>
      </c>
    </row>
    <row r="924" spans="1:39" x14ac:dyDescent="0.25">
      <c r="A924" t="s">
        <v>32</v>
      </c>
      <c r="B924" t="s">
        <v>59</v>
      </c>
      <c r="C924">
        <v>75.040000000000006</v>
      </c>
      <c r="D924">
        <v>352</v>
      </c>
      <c r="E924" t="b">
        <v>0</v>
      </c>
      <c r="F924" t="b">
        <v>1</v>
      </c>
      <c r="G924" t="b">
        <v>1</v>
      </c>
      <c r="H924" t="s">
        <v>25</v>
      </c>
      <c r="I924" t="s">
        <v>63</v>
      </c>
      <c r="J924" t="s">
        <v>45</v>
      </c>
      <c r="K924" t="s">
        <v>46</v>
      </c>
      <c r="L924" t="s">
        <v>38</v>
      </c>
      <c r="M924" t="s">
        <v>28</v>
      </c>
      <c r="N924" t="s">
        <v>46</v>
      </c>
      <c r="P924" t="b">
        <v>1</v>
      </c>
      <c r="Q924">
        <v>8.9</v>
      </c>
      <c r="R924" t="b">
        <v>0</v>
      </c>
      <c r="T924">
        <v>0</v>
      </c>
      <c r="U924">
        <v>89.25</v>
      </c>
      <c r="V924" t="b">
        <v>1</v>
      </c>
      <c r="W924" t="s">
        <v>58</v>
      </c>
      <c r="AE924" t="str">
        <f t="shared" si="98"/>
        <v>Yes</v>
      </c>
      <c r="AF924" t="str">
        <f t="shared" si="99"/>
        <v>Medium</v>
      </c>
      <c r="AG924" t="str">
        <f t="shared" si="100"/>
        <v>No</v>
      </c>
      <c r="AH924" t="str">
        <f t="shared" si="101"/>
        <v>Unknown</v>
      </c>
      <c r="AJ924" t="str">
        <f t="shared" si="102"/>
        <v>High Trust</v>
      </c>
      <c r="AL924">
        <f t="shared" si="103"/>
        <v>89.3</v>
      </c>
      <c r="AM924" t="str">
        <f t="shared" si="104"/>
        <v>High School</v>
      </c>
    </row>
    <row r="925" spans="1:39" x14ac:dyDescent="0.25">
      <c r="A925" t="s">
        <v>61</v>
      </c>
      <c r="B925" t="s">
        <v>49</v>
      </c>
      <c r="C925">
        <v>62.02</v>
      </c>
      <c r="D925">
        <v>631</v>
      </c>
      <c r="E925" t="b">
        <v>0</v>
      </c>
      <c r="F925" t="b">
        <v>0</v>
      </c>
      <c r="G925" t="b">
        <v>0</v>
      </c>
      <c r="H925" t="s">
        <v>53</v>
      </c>
      <c r="I925" t="s">
        <v>44</v>
      </c>
      <c r="J925" t="s">
        <v>27</v>
      </c>
      <c r="K925" t="s">
        <v>37</v>
      </c>
      <c r="L925" t="s">
        <v>37</v>
      </c>
      <c r="M925" t="s">
        <v>46</v>
      </c>
      <c r="N925" t="s">
        <v>46</v>
      </c>
      <c r="O925" t="b">
        <v>0</v>
      </c>
      <c r="P925" t="b">
        <v>0</v>
      </c>
      <c r="Q925">
        <v>5.5</v>
      </c>
      <c r="R925" t="b">
        <v>0</v>
      </c>
      <c r="T925">
        <v>0</v>
      </c>
      <c r="U925">
        <v>51.41</v>
      </c>
      <c r="V925" t="b">
        <v>1</v>
      </c>
      <c r="W925" t="s">
        <v>41</v>
      </c>
      <c r="AE925" t="str">
        <f t="shared" si="98"/>
        <v>No</v>
      </c>
      <c r="AF925" t="str">
        <f t="shared" si="99"/>
        <v>Medium</v>
      </c>
      <c r="AG925" t="str">
        <f t="shared" si="100"/>
        <v>No</v>
      </c>
      <c r="AH925" t="str">
        <f t="shared" si="101"/>
        <v>Unknown</v>
      </c>
      <c r="AJ925" t="str">
        <f t="shared" si="102"/>
        <v>Moderate Trust</v>
      </c>
      <c r="AL925">
        <f t="shared" si="103"/>
        <v>51.4</v>
      </c>
      <c r="AM925" t="str">
        <f t="shared" si="104"/>
        <v>Bachelors</v>
      </c>
    </row>
    <row r="926" spans="1:39" x14ac:dyDescent="0.25">
      <c r="A926" t="s">
        <v>74</v>
      </c>
      <c r="B926" t="s">
        <v>42</v>
      </c>
      <c r="C926">
        <v>80.400000000000006</v>
      </c>
      <c r="D926">
        <v>702</v>
      </c>
      <c r="E926" t="b">
        <v>1</v>
      </c>
      <c r="F926" t="b">
        <v>0</v>
      </c>
      <c r="G926" t="b">
        <v>1</v>
      </c>
      <c r="H926" t="s">
        <v>34</v>
      </c>
      <c r="I926" t="s">
        <v>67</v>
      </c>
      <c r="J926" t="s">
        <v>27</v>
      </c>
      <c r="K926" t="s">
        <v>37</v>
      </c>
      <c r="L926" t="s">
        <v>38</v>
      </c>
      <c r="M926" t="s">
        <v>46</v>
      </c>
      <c r="N926" t="s">
        <v>46</v>
      </c>
      <c r="O926" t="b">
        <v>0</v>
      </c>
      <c r="P926" t="b">
        <v>0</v>
      </c>
      <c r="Q926">
        <v>9.4</v>
      </c>
      <c r="R926" t="b">
        <v>1</v>
      </c>
      <c r="S926" t="s">
        <v>55</v>
      </c>
      <c r="T926">
        <v>13.9</v>
      </c>
      <c r="U926">
        <v>83.12</v>
      </c>
      <c r="V926" t="b">
        <v>1</v>
      </c>
      <c r="W926" t="s">
        <v>31</v>
      </c>
      <c r="AE926" t="str">
        <f t="shared" si="98"/>
        <v>No</v>
      </c>
      <c r="AF926" t="str">
        <f t="shared" si="99"/>
        <v>Medium</v>
      </c>
      <c r="AG926" t="str">
        <f t="shared" si="100"/>
        <v>No</v>
      </c>
      <c r="AH926" t="str">
        <f t="shared" si="101"/>
        <v>Academic Paper</v>
      </c>
      <c r="AJ926" t="str">
        <f t="shared" si="102"/>
        <v>High Trust</v>
      </c>
      <c r="AL926">
        <f t="shared" si="103"/>
        <v>83.1</v>
      </c>
      <c r="AM926" t="str">
        <f t="shared" si="104"/>
        <v>Bachelors</v>
      </c>
    </row>
    <row r="927" spans="1:39" x14ac:dyDescent="0.25">
      <c r="A927" t="s">
        <v>32</v>
      </c>
      <c r="B927" t="s">
        <v>70</v>
      </c>
      <c r="C927">
        <v>84.06</v>
      </c>
      <c r="D927">
        <v>150</v>
      </c>
      <c r="E927" t="b">
        <v>0</v>
      </c>
      <c r="F927" t="b">
        <v>0</v>
      </c>
      <c r="G927" t="b">
        <v>0</v>
      </c>
      <c r="H927" t="s">
        <v>53</v>
      </c>
      <c r="I927" t="s">
        <v>44</v>
      </c>
      <c r="J927" t="s">
        <v>50</v>
      </c>
      <c r="K927" t="s">
        <v>28</v>
      </c>
      <c r="L927" t="s">
        <v>38</v>
      </c>
      <c r="M927" t="s">
        <v>46</v>
      </c>
      <c r="N927" t="s">
        <v>39</v>
      </c>
      <c r="P927" t="b">
        <v>0</v>
      </c>
      <c r="Q927">
        <v>10</v>
      </c>
      <c r="R927" t="b">
        <v>0</v>
      </c>
      <c r="T927">
        <v>0</v>
      </c>
      <c r="U927">
        <v>76.02</v>
      </c>
      <c r="V927" t="b">
        <v>0</v>
      </c>
      <c r="W927" t="s">
        <v>58</v>
      </c>
      <c r="AE927" t="str">
        <f t="shared" si="98"/>
        <v>No</v>
      </c>
      <c r="AF927" t="str">
        <f t="shared" si="99"/>
        <v>High</v>
      </c>
      <c r="AG927" t="str">
        <f t="shared" si="100"/>
        <v>No</v>
      </c>
      <c r="AH927" t="str">
        <f t="shared" si="101"/>
        <v>Unknown</v>
      </c>
      <c r="AJ927" t="str">
        <f t="shared" si="102"/>
        <v>High Trust</v>
      </c>
      <c r="AL927">
        <f t="shared" si="103"/>
        <v>76</v>
      </c>
      <c r="AM927" t="str">
        <f t="shared" si="104"/>
        <v>Professional</v>
      </c>
    </row>
    <row r="928" spans="1:39" x14ac:dyDescent="0.25">
      <c r="A928" t="s">
        <v>74</v>
      </c>
      <c r="B928" t="s">
        <v>42</v>
      </c>
      <c r="C928">
        <v>75.88</v>
      </c>
      <c r="D928">
        <v>149</v>
      </c>
      <c r="E928" t="b">
        <v>0</v>
      </c>
      <c r="F928" t="b">
        <v>0</v>
      </c>
      <c r="G928" t="b">
        <v>1</v>
      </c>
      <c r="H928" t="s">
        <v>25</v>
      </c>
      <c r="I928" t="s">
        <v>26</v>
      </c>
      <c r="J928" t="s">
        <v>27</v>
      </c>
      <c r="K928" t="s">
        <v>28</v>
      </c>
      <c r="L928" t="s">
        <v>29</v>
      </c>
      <c r="M928" t="s">
        <v>28</v>
      </c>
      <c r="N928" t="s">
        <v>28</v>
      </c>
      <c r="P928" t="b">
        <v>0</v>
      </c>
      <c r="Q928">
        <v>8.5</v>
      </c>
      <c r="R928" t="b">
        <v>1</v>
      </c>
      <c r="S928" t="s">
        <v>64</v>
      </c>
      <c r="T928">
        <v>38.5</v>
      </c>
      <c r="U928">
        <v>75.25</v>
      </c>
      <c r="V928" t="b">
        <v>1</v>
      </c>
      <c r="W928" t="s">
        <v>31</v>
      </c>
      <c r="AE928" t="str">
        <f t="shared" si="98"/>
        <v>No</v>
      </c>
      <c r="AF928" t="str">
        <f t="shared" si="99"/>
        <v>Low</v>
      </c>
      <c r="AG928" t="str">
        <f t="shared" si="100"/>
        <v>No</v>
      </c>
      <c r="AH928" t="str">
        <f t="shared" si="101"/>
        <v>Personal Testing</v>
      </c>
      <c r="AJ928" t="str">
        <f t="shared" si="102"/>
        <v>High Trust</v>
      </c>
      <c r="AL928">
        <f t="shared" si="103"/>
        <v>75.3</v>
      </c>
      <c r="AM928" t="str">
        <f t="shared" si="104"/>
        <v>Bachelors</v>
      </c>
    </row>
    <row r="929" spans="1:39" x14ac:dyDescent="0.25">
      <c r="A929" t="s">
        <v>74</v>
      </c>
      <c r="B929" t="s">
        <v>59</v>
      </c>
      <c r="C929">
        <v>84</v>
      </c>
      <c r="D929">
        <v>66</v>
      </c>
      <c r="E929" t="b">
        <v>0</v>
      </c>
      <c r="F929" t="b">
        <v>0</v>
      </c>
      <c r="G929" t="b">
        <v>1</v>
      </c>
      <c r="H929" t="s">
        <v>25</v>
      </c>
      <c r="I929" t="s">
        <v>67</v>
      </c>
      <c r="J929" t="s">
        <v>54</v>
      </c>
      <c r="K929" t="s">
        <v>46</v>
      </c>
      <c r="L929" t="s">
        <v>51</v>
      </c>
      <c r="M929" t="s">
        <v>47</v>
      </c>
      <c r="N929" t="s">
        <v>46</v>
      </c>
      <c r="P929" t="b">
        <v>0</v>
      </c>
      <c r="Q929">
        <v>7.9</v>
      </c>
      <c r="R929" t="b">
        <v>1</v>
      </c>
      <c r="S929" t="s">
        <v>48</v>
      </c>
      <c r="T929">
        <v>2.1</v>
      </c>
      <c r="U929">
        <v>94.16</v>
      </c>
      <c r="V929" t="b">
        <v>1</v>
      </c>
      <c r="W929" t="s">
        <v>41</v>
      </c>
      <c r="AE929" t="str">
        <f t="shared" si="98"/>
        <v>No</v>
      </c>
      <c r="AF929" t="str">
        <f t="shared" si="99"/>
        <v>Medium</v>
      </c>
      <c r="AG929" t="str">
        <f t="shared" si="100"/>
        <v>No</v>
      </c>
      <c r="AH929" t="str">
        <f t="shared" si="101"/>
        <v>Consulted Documentation</v>
      </c>
      <c r="AJ929" t="str">
        <f t="shared" si="102"/>
        <v>Moderate Trust</v>
      </c>
      <c r="AL929">
        <f t="shared" si="103"/>
        <v>94.2</v>
      </c>
      <c r="AM929" t="str">
        <f t="shared" si="104"/>
        <v>Masters</v>
      </c>
    </row>
    <row r="930" spans="1:39" x14ac:dyDescent="0.25">
      <c r="A930" t="s">
        <v>56</v>
      </c>
      <c r="B930" t="s">
        <v>24</v>
      </c>
      <c r="C930">
        <v>89.31</v>
      </c>
      <c r="D930">
        <v>725</v>
      </c>
      <c r="E930" t="b">
        <v>0</v>
      </c>
      <c r="F930" t="b">
        <v>0</v>
      </c>
      <c r="G930" t="b">
        <v>1</v>
      </c>
      <c r="H930" t="s">
        <v>25</v>
      </c>
      <c r="I930" t="s">
        <v>63</v>
      </c>
      <c r="J930" t="s">
        <v>45</v>
      </c>
      <c r="K930" t="s">
        <v>28</v>
      </c>
      <c r="L930" t="s">
        <v>38</v>
      </c>
      <c r="M930" t="s">
        <v>47</v>
      </c>
      <c r="P930" t="b">
        <v>1</v>
      </c>
      <c r="Q930">
        <v>8.8000000000000007</v>
      </c>
      <c r="R930" t="b">
        <v>0</v>
      </c>
      <c r="T930">
        <v>0</v>
      </c>
      <c r="U930">
        <v>82.97</v>
      </c>
      <c r="V930" t="b">
        <v>1</v>
      </c>
      <c r="W930" t="s">
        <v>58</v>
      </c>
      <c r="AE930" t="str">
        <f t="shared" si="98"/>
        <v>No</v>
      </c>
      <c r="AF930" t="str">
        <f t="shared" si="99"/>
        <v>Unknown</v>
      </c>
      <c r="AG930" t="str">
        <f t="shared" si="100"/>
        <v>No</v>
      </c>
      <c r="AH930" t="str">
        <f t="shared" si="101"/>
        <v>Unknown</v>
      </c>
      <c r="AJ930" t="str">
        <f t="shared" si="102"/>
        <v>High Trust</v>
      </c>
      <c r="AL930">
        <f t="shared" si="103"/>
        <v>83</v>
      </c>
      <c r="AM930" t="str">
        <f t="shared" si="104"/>
        <v>High School</v>
      </c>
    </row>
    <row r="931" spans="1:39" x14ac:dyDescent="0.25">
      <c r="A931" t="s">
        <v>61</v>
      </c>
      <c r="B931" t="s">
        <v>59</v>
      </c>
      <c r="C931">
        <v>93.21</v>
      </c>
      <c r="D931">
        <v>769</v>
      </c>
      <c r="E931" t="b">
        <v>0</v>
      </c>
      <c r="F931" t="b">
        <v>1</v>
      </c>
      <c r="G931" t="b">
        <v>0</v>
      </c>
      <c r="H931" t="s">
        <v>53</v>
      </c>
      <c r="I931" t="s">
        <v>35</v>
      </c>
      <c r="J931" t="s">
        <v>50</v>
      </c>
      <c r="K931" t="s">
        <v>28</v>
      </c>
      <c r="L931" t="s">
        <v>51</v>
      </c>
      <c r="M931" t="s">
        <v>47</v>
      </c>
      <c r="N931" t="s">
        <v>46</v>
      </c>
      <c r="O931" t="b">
        <v>0</v>
      </c>
      <c r="P931" t="b">
        <v>0</v>
      </c>
      <c r="Q931">
        <v>6.9</v>
      </c>
      <c r="R931" t="b">
        <v>1</v>
      </c>
      <c r="S931" t="s">
        <v>48</v>
      </c>
      <c r="T931">
        <v>13.2</v>
      </c>
      <c r="U931">
        <v>89.06</v>
      </c>
      <c r="V931" t="b">
        <v>0</v>
      </c>
      <c r="W931" t="s">
        <v>41</v>
      </c>
      <c r="AE931" t="str">
        <f t="shared" si="98"/>
        <v>Yes</v>
      </c>
      <c r="AF931" t="str">
        <f t="shared" si="99"/>
        <v>Medium</v>
      </c>
      <c r="AG931" t="str">
        <f t="shared" si="100"/>
        <v>No</v>
      </c>
      <c r="AH931" t="str">
        <f t="shared" si="101"/>
        <v>Consulted Documentation</v>
      </c>
      <c r="AJ931" t="str">
        <f t="shared" si="102"/>
        <v>Moderate Trust</v>
      </c>
      <c r="AL931">
        <f t="shared" si="103"/>
        <v>89.1</v>
      </c>
      <c r="AM931" t="str">
        <f t="shared" si="104"/>
        <v>Professional</v>
      </c>
    </row>
    <row r="932" spans="1:39" x14ac:dyDescent="0.25">
      <c r="A932" t="s">
        <v>32</v>
      </c>
      <c r="B932" t="s">
        <v>62</v>
      </c>
      <c r="C932">
        <v>71.790000000000006</v>
      </c>
      <c r="D932">
        <v>541</v>
      </c>
      <c r="E932" t="b">
        <v>1</v>
      </c>
      <c r="F932" t="b">
        <v>0</v>
      </c>
      <c r="G932" t="b">
        <v>1</v>
      </c>
      <c r="H932" t="s">
        <v>43</v>
      </c>
      <c r="I932" t="s">
        <v>35</v>
      </c>
      <c r="J932" t="s">
        <v>45</v>
      </c>
      <c r="K932" t="s">
        <v>39</v>
      </c>
      <c r="L932" t="s">
        <v>69</v>
      </c>
      <c r="M932" t="s">
        <v>39</v>
      </c>
      <c r="N932" t="s">
        <v>28</v>
      </c>
      <c r="P932" t="b">
        <v>0</v>
      </c>
      <c r="Q932">
        <v>8.9</v>
      </c>
      <c r="R932" t="b">
        <v>0</v>
      </c>
      <c r="T932">
        <v>0</v>
      </c>
      <c r="U932">
        <v>62.18</v>
      </c>
      <c r="V932" t="b">
        <v>0</v>
      </c>
      <c r="W932" t="s">
        <v>58</v>
      </c>
      <c r="AE932" t="str">
        <f t="shared" si="98"/>
        <v>No</v>
      </c>
      <c r="AF932" t="str">
        <f t="shared" si="99"/>
        <v>Low</v>
      </c>
      <c r="AG932" t="str">
        <f t="shared" si="100"/>
        <v>No</v>
      </c>
      <c r="AH932" t="str">
        <f t="shared" si="101"/>
        <v>Unknown</v>
      </c>
      <c r="AJ932" t="str">
        <f t="shared" si="102"/>
        <v>High Trust</v>
      </c>
      <c r="AL932">
        <f t="shared" si="103"/>
        <v>62.2</v>
      </c>
      <c r="AM932" t="str">
        <f t="shared" si="104"/>
        <v>High School</v>
      </c>
    </row>
    <row r="933" spans="1:39" x14ac:dyDescent="0.25">
      <c r="A933" t="s">
        <v>32</v>
      </c>
      <c r="B933" t="s">
        <v>62</v>
      </c>
      <c r="C933">
        <v>53.2</v>
      </c>
      <c r="D933">
        <v>282</v>
      </c>
      <c r="E933" t="b">
        <v>1</v>
      </c>
      <c r="F933" t="b">
        <v>0</v>
      </c>
      <c r="G933" t="b">
        <v>1</v>
      </c>
      <c r="H933" t="s">
        <v>34</v>
      </c>
      <c r="I933" t="s">
        <v>57</v>
      </c>
      <c r="J933" t="s">
        <v>54</v>
      </c>
      <c r="K933" t="s">
        <v>37</v>
      </c>
      <c r="L933" t="s">
        <v>51</v>
      </c>
      <c r="M933" t="s">
        <v>47</v>
      </c>
      <c r="N933" t="s">
        <v>28</v>
      </c>
      <c r="P933" t="b">
        <v>1</v>
      </c>
      <c r="Q933">
        <v>4.9000000000000004</v>
      </c>
      <c r="R933" t="b">
        <v>1</v>
      </c>
      <c r="S933" t="s">
        <v>75</v>
      </c>
      <c r="T933">
        <v>2</v>
      </c>
      <c r="U933">
        <v>67.75</v>
      </c>
      <c r="V933" t="b">
        <v>1</v>
      </c>
      <c r="W933" t="s">
        <v>72</v>
      </c>
      <c r="AE933" t="str">
        <f t="shared" si="98"/>
        <v>No</v>
      </c>
      <c r="AF933" t="str">
        <f t="shared" si="99"/>
        <v>Low</v>
      </c>
      <c r="AG933" t="str">
        <f t="shared" si="100"/>
        <v>No</v>
      </c>
      <c r="AH933" t="str">
        <f t="shared" si="101"/>
        <v>Asked Colleague</v>
      </c>
      <c r="AJ933" t="str">
        <f t="shared" si="102"/>
        <v>Moderate Trust</v>
      </c>
      <c r="AL933">
        <f t="shared" si="103"/>
        <v>67.8</v>
      </c>
      <c r="AM933" t="str">
        <f t="shared" si="104"/>
        <v>Masters</v>
      </c>
    </row>
    <row r="934" spans="1:39" x14ac:dyDescent="0.25">
      <c r="A934" t="s">
        <v>32</v>
      </c>
      <c r="B934" t="s">
        <v>70</v>
      </c>
      <c r="C934">
        <v>89.99</v>
      </c>
      <c r="D934">
        <v>262</v>
      </c>
      <c r="E934" t="b">
        <v>1</v>
      </c>
      <c r="F934" t="b">
        <v>0</v>
      </c>
      <c r="G934" t="b">
        <v>1</v>
      </c>
      <c r="H934" t="s">
        <v>25</v>
      </c>
      <c r="I934" t="s">
        <v>26</v>
      </c>
      <c r="J934" t="s">
        <v>45</v>
      </c>
      <c r="K934" t="s">
        <v>28</v>
      </c>
      <c r="L934" t="s">
        <v>37</v>
      </c>
      <c r="M934" t="s">
        <v>46</v>
      </c>
      <c r="N934" t="s">
        <v>39</v>
      </c>
      <c r="O934" t="b">
        <v>0</v>
      </c>
      <c r="P934" t="b">
        <v>0</v>
      </c>
      <c r="Q934">
        <v>9.1999999999999993</v>
      </c>
      <c r="R934" t="b">
        <v>0</v>
      </c>
      <c r="T934">
        <v>0</v>
      </c>
      <c r="U934">
        <v>97.89</v>
      </c>
      <c r="V934" t="b">
        <v>1</v>
      </c>
      <c r="W934" t="s">
        <v>58</v>
      </c>
      <c r="AE934" t="str">
        <f t="shared" si="98"/>
        <v>No</v>
      </c>
      <c r="AF934" t="str">
        <f t="shared" si="99"/>
        <v>High</v>
      </c>
      <c r="AG934" t="str">
        <f t="shared" si="100"/>
        <v>No</v>
      </c>
      <c r="AH934" t="str">
        <f t="shared" si="101"/>
        <v>Unknown</v>
      </c>
      <c r="AJ934" t="str">
        <f t="shared" si="102"/>
        <v>High Trust</v>
      </c>
      <c r="AL934">
        <f t="shared" si="103"/>
        <v>97.9</v>
      </c>
      <c r="AM934" t="str">
        <f t="shared" si="104"/>
        <v>High School</v>
      </c>
    </row>
    <row r="935" spans="1:39" x14ac:dyDescent="0.25">
      <c r="A935" t="s">
        <v>61</v>
      </c>
      <c r="B935" t="s">
        <v>73</v>
      </c>
      <c r="C935">
        <v>67.06</v>
      </c>
      <c r="D935">
        <v>238</v>
      </c>
      <c r="E935" t="b">
        <v>1</v>
      </c>
      <c r="F935" t="b">
        <v>1</v>
      </c>
      <c r="G935" t="b">
        <v>0</v>
      </c>
      <c r="H935" t="s">
        <v>43</v>
      </c>
      <c r="I935" t="s">
        <v>35</v>
      </c>
      <c r="J935" t="s">
        <v>36</v>
      </c>
      <c r="K935" t="s">
        <v>39</v>
      </c>
      <c r="L935" t="s">
        <v>69</v>
      </c>
      <c r="M935" t="s">
        <v>39</v>
      </c>
      <c r="N935" t="s">
        <v>46</v>
      </c>
      <c r="O935" t="b">
        <v>1</v>
      </c>
      <c r="P935" t="b">
        <v>0</v>
      </c>
      <c r="Q935">
        <v>8.5</v>
      </c>
      <c r="R935" t="b">
        <v>1</v>
      </c>
      <c r="S935" t="s">
        <v>30</v>
      </c>
      <c r="T935">
        <v>8</v>
      </c>
      <c r="U935">
        <v>64.319999999999993</v>
      </c>
      <c r="V935" t="b">
        <v>0</v>
      </c>
      <c r="W935" t="s">
        <v>31</v>
      </c>
      <c r="AE935" t="str">
        <f t="shared" si="98"/>
        <v>Yes</v>
      </c>
      <c r="AF935" t="str">
        <f t="shared" si="99"/>
        <v>Medium</v>
      </c>
      <c r="AG935" t="str">
        <f t="shared" si="100"/>
        <v>Yes</v>
      </c>
      <c r="AH935" t="str">
        <f t="shared" si="101"/>
        <v>Google Search</v>
      </c>
      <c r="AJ935" t="str">
        <f t="shared" si="102"/>
        <v>High Trust</v>
      </c>
      <c r="AL935">
        <f t="shared" si="103"/>
        <v>64.3</v>
      </c>
      <c r="AM935" t="str">
        <f t="shared" si="104"/>
        <v>PhD</v>
      </c>
    </row>
    <row r="936" spans="1:39" x14ac:dyDescent="0.25">
      <c r="A936" t="s">
        <v>56</v>
      </c>
      <c r="B936" t="s">
        <v>59</v>
      </c>
      <c r="C936">
        <v>86.05</v>
      </c>
      <c r="D936">
        <v>588</v>
      </c>
      <c r="E936" t="b">
        <v>0</v>
      </c>
      <c r="F936" t="b">
        <v>1</v>
      </c>
      <c r="G936" t="b">
        <v>0</v>
      </c>
      <c r="H936" t="s">
        <v>25</v>
      </c>
      <c r="I936" t="s">
        <v>26</v>
      </c>
      <c r="J936" t="s">
        <v>36</v>
      </c>
      <c r="K936" t="s">
        <v>37</v>
      </c>
      <c r="L936" t="s">
        <v>38</v>
      </c>
      <c r="M936" t="s">
        <v>46</v>
      </c>
      <c r="N936" t="s">
        <v>39</v>
      </c>
      <c r="O936" t="b">
        <v>1</v>
      </c>
      <c r="P936" t="b">
        <v>1</v>
      </c>
      <c r="Q936">
        <v>10</v>
      </c>
      <c r="R936" t="b">
        <v>1</v>
      </c>
      <c r="S936" t="s">
        <v>52</v>
      </c>
      <c r="T936">
        <v>44.8</v>
      </c>
      <c r="U936">
        <v>75.680000000000007</v>
      </c>
      <c r="V936" t="b">
        <v>0</v>
      </c>
      <c r="W936" t="s">
        <v>31</v>
      </c>
      <c r="AE936" t="str">
        <f t="shared" si="98"/>
        <v>Yes</v>
      </c>
      <c r="AF936" t="str">
        <f t="shared" si="99"/>
        <v>High</v>
      </c>
      <c r="AG936" t="str">
        <f t="shared" si="100"/>
        <v>Yes</v>
      </c>
      <c r="AH936" t="str">
        <f t="shared" si="101"/>
        <v>Checked Official Source</v>
      </c>
      <c r="AJ936" t="str">
        <f t="shared" si="102"/>
        <v>High Trust</v>
      </c>
      <c r="AL936">
        <f t="shared" si="103"/>
        <v>75.7</v>
      </c>
      <c r="AM936" t="str">
        <f t="shared" si="104"/>
        <v>PhD</v>
      </c>
    </row>
    <row r="937" spans="1:39" x14ac:dyDescent="0.25">
      <c r="A937" t="s">
        <v>61</v>
      </c>
      <c r="B937" t="s">
        <v>59</v>
      </c>
      <c r="C937">
        <v>93.53</v>
      </c>
      <c r="D937">
        <v>146</v>
      </c>
      <c r="E937" t="b">
        <v>1</v>
      </c>
      <c r="F937" t="b">
        <v>0</v>
      </c>
      <c r="G937" t="b">
        <v>0</v>
      </c>
      <c r="H937" t="s">
        <v>43</v>
      </c>
      <c r="I937" t="s">
        <v>67</v>
      </c>
      <c r="J937" t="s">
        <v>54</v>
      </c>
      <c r="K937" t="s">
        <v>28</v>
      </c>
      <c r="L937" t="s">
        <v>38</v>
      </c>
      <c r="M937" t="s">
        <v>39</v>
      </c>
      <c r="N937" t="s">
        <v>28</v>
      </c>
      <c r="O937" t="b">
        <v>0</v>
      </c>
      <c r="P937" t="b">
        <v>0</v>
      </c>
      <c r="Q937">
        <v>10</v>
      </c>
      <c r="R937" t="b">
        <v>1</v>
      </c>
      <c r="S937" t="s">
        <v>52</v>
      </c>
      <c r="T937">
        <v>17.399999999999999</v>
      </c>
      <c r="U937">
        <v>100</v>
      </c>
      <c r="V937" t="b">
        <v>1</v>
      </c>
      <c r="W937" t="s">
        <v>31</v>
      </c>
      <c r="AE937" t="str">
        <f t="shared" si="98"/>
        <v>No</v>
      </c>
      <c r="AF937" t="str">
        <f t="shared" si="99"/>
        <v>Low</v>
      </c>
      <c r="AG937" t="str">
        <f t="shared" si="100"/>
        <v>No</v>
      </c>
      <c r="AH937" t="str">
        <f t="shared" si="101"/>
        <v>Checked Official Source</v>
      </c>
      <c r="AJ937" t="str">
        <f t="shared" si="102"/>
        <v>High Trust</v>
      </c>
      <c r="AL937">
        <f t="shared" si="103"/>
        <v>100</v>
      </c>
      <c r="AM937" t="str">
        <f t="shared" si="104"/>
        <v>Masters</v>
      </c>
    </row>
    <row r="938" spans="1:39" x14ac:dyDescent="0.25">
      <c r="A938" t="s">
        <v>74</v>
      </c>
      <c r="B938" t="s">
        <v>60</v>
      </c>
      <c r="C938">
        <v>60.57</v>
      </c>
      <c r="D938">
        <v>472</v>
      </c>
      <c r="E938" t="b">
        <v>1</v>
      </c>
      <c r="F938" t="b">
        <v>0</v>
      </c>
      <c r="G938" t="b">
        <v>0</v>
      </c>
      <c r="H938" t="s">
        <v>34</v>
      </c>
      <c r="I938" t="s">
        <v>63</v>
      </c>
      <c r="J938" t="s">
        <v>54</v>
      </c>
      <c r="K938" t="s">
        <v>39</v>
      </c>
      <c r="L938" t="s">
        <v>37</v>
      </c>
      <c r="M938" t="s">
        <v>39</v>
      </c>
      <c r="N938" t="s">
        <v>46</v>
      </c>
      <c r="O938" t="b">
        <v>1</v>
      </c>
      <c r="P938" t="b">
        <v>1</v>
      </c>
      <c r="Q938">
        <v>8.1999999999999993</v>
      </c>
      <c r="R938" t="b">
        <v>0</v>
      </c>
      <c r="T938">
        <v>0</v>
      </c>
      <c r="U938">
        <v>45.89</v>
      </c>
      <c r="V938" t="b">
        <v>0</v>
      </c>
      <c r="W938" t="s">
        <v>58</v>
      </c>
      <c r="AE938" t="str">
        <f t="shared" si="98"/>
        <v>No</v>
      </c>
      <c r="AF938" t="str">
        <f t="shared" si="99"/>
        <v>Medium</v>
      </c>
      <c r="AG938" t="str">
        <f t="shared" si="100"/>
        <v>Yes</v>
      </c>
      <c r="AH938" t="str">
        <f t="shared" si="101"/>
        <v>Unknown</v>
      </c>
      <c r="AJ938" t="str">
        <f t="shared" si="102"/>
        <v>High Trust</v>
      </c>
      <c r="AL938">
        <f t="shared" si="103"/>
        <v>45.9</v>
      </c>
      <c r="AM938" t="str">
        <f t="shared" si="104"/>
        <v>Masters</v>
      </c>
    </row>
    <row r="939" spans="1:39" x14ac:dyDescent="0.25">
      <c r="A939" t="s">
        <v>74</v>
      </c>
      <c r="B939" t="s">
        <v>49</v>
      </c>
      <c r="C939">
        <v>73.23</v>
      </c>
      <c r="D939">
        <v>747</v>
      </c>
      <c r="E939" t="b">
        <v>0</v>
      </c>
      <c r="F939" t="b">
        <v>1</v>
      </c>
      <c r="G939" t="b">
        <v>0</v>
      </c>
      <c r="H939" t="s">
        <v>43</v>
      </c>
      <c r="I939" t="s">
        <v>35</v>
      </c>
      <c r="J939" t="s">
        <v>36</v>
      </c>
      <c r="K939" t="s">
        <v>28</v>
      </c>
      <c r="L939" t="s">
        <v>69</v>
      </c>
      <c r="M939" t="s">
        <v>28</v>
      </c>
      <c r="N939" t="s">
        <v>46</v>
      </c>
      <c r="P939" t="b">
        <v>1</v>
      </c>
      <c r="Q939">
        <v>8.8000000000000007</v>
      </c>
      <c r="R939" t="b">
        <v>0</v>
      </c>
      <c r="T939">
        <v>0</v>
      </c>
      <c r="U939">
        <v>80.489999999999995</v>
      </c>
      <c r="V939" t="b">
        <v>1</v>
      </c>
      <c r="W939" t="s">
        <v>58</v>
      </c>
      <c r="AE939" t="str">
        <f t="shared" si="98"/>
        <v>Yes</v>
      </c>
      <c r="AF939" t="str">
        <f t="shared" si="99"/>
        <v>Medium</v>
      </c>
      <c r="AG939" t="str">
        <f t="shared" si="100"/>
        <v>No</v>
      </c>
      <c r="AH939" t="str">
        <f t="shared" si="101"/>
        <v>Unknown</v>
      </c>
      <c r="AJ939" t="str">
        <f t="shared" si="102"/>
        <v>High Trust</v>
      </c>
      <c r="AL939">
        <f t="shared" si="103"/>
        <v>80.5</v>
      </c>
      <c r="AM939" t="str">
        <f t="shared" si="104"/>
        <v>PhD</v>
      </c>
    </row>
    <row r="940" spans="1:39" x14ac:dyDescent="0.25">
      <c r="A940" t="s">
        <v>74</v>
      </c>
      <c r="B940" t="s">
        <v>76</v>
      </c>
      <c r="C940">
        <v>73.53</v>
      </c>
      <c r="D940">
        <v>727</v>
      </c>
      <c r="E940" t="b">
        <v>0</v>
      </c>
      <c r="F940" t="b">
        <v>1</v>
      </c>
      <c r="G940" t="b">
        <v>0</v>
      </c>
      <c r="H940" t="s">
        <v>43</v>
      </c>
      <c r="I940" t="s">
        <v>35</v>
      </c>
      <c r="J940" t="s">
        <v>45</v>
      </c>
      <c r="K940" t="s">
        <v>46</v>
      </c>
      <c r="L940" t="s">
        <v>29</v>
      </c>
      <c r="M940" t="s">
        <v>39</v>
      </c>
      <c r="N940" t="s">
        <v>46</v>
      </c>
      <c r="O940" t="b">
        <v>1</v>
      </c>
      <c r="P940" t="b">
        <v>0</v>
      </c>
      <c r="Q940">
        <v>8.3000000000000007</v>
      </c>
      <c r="R940" t="b">
        <v>1</v>
      </c>
      <c r="S940" t="s">
        <v>65</v>
      </c>
      <c r="T940">
        <v>39.1</v>
      </c>
      <c r="U940">
        <v>70.569999999999993</v>
      </c>
      <c r="V940" t="b">
        <v>1</v>
      </c>
      <c r="W940" t="s">
        <v>31</v>
      </c>
      <c r="AE940" t="str">
        <f t="shared" si="98"/>
        <v>Yes</v>
      </c>
      <c r="AF940" t="str">
        <f t="shared" si="99"/>
        <v>Medium</v>
      </c>
      <c r="AG940" t="str">
        <f t="shared" si="100"/>
        <v>Yes</v>
      </c>
      <c r="AH940" t="str">
        <f t="shared" si="101"/>
        <v>Cross-referenced Multiple AIs</v>
      </c>
      <c r="AJ940" t="str">
        <f t="shared" si="102"/>
        <v>High Trust</v>
      </c>
      <c r="AL940">
        <f t="shared" si="103"/>
        <v>70.599999999999994</v>
      </c>
      <c r="AM940" t="str">
        <f t="shared" si="104"/>
        <v>High School</v>
      </c>
    </row>
    <row r="941" spans="1:39" x14ac:dyDescent="0.25">
      <c r="A941" t="s">
        <v>68</v>
      </c>
      <c r="B941" t="s">
        <v>42</v>
      </c>
      <c r="C941">
        <v>75.31</v>
      </c>
      <c r="D941">
        <v>60</v>
      </c>
      <c r="E941" t="b">
        <v>1</v>
      </c>
      <c r="F941" t="b">
        <v>0</v>
      </c>
      <c r="G941" t="b">
        <v>0</v>
      </c>
      <c r="H941" t="s">
        <v>43</v>
      </c>
      <c r="I941" t="s">
        <v>35</v>
      </c>
      <c r="J941" t="s">
        <v>27</v>
      </c>
      <c r="K941" t="s">
        <v>28</v>
      </c>
      <c r="L941" t="s">
        <v>51</v>
      </c>
      <c r="M941" t="s">
        <v>28</v>
      </c>
      <c r="N941" t="s">
        <v>46</v>
      </c>
      <c r="O941" t="b">
        <v>0</v>
      </c>
      <c r="P941" t="b">
        <v>0</v>
      </c>
      <c r="Q941">
        <v>8.9</v>
      </c>
      <c r="R941" t="b">
        <v>1</v>
      </c>
      <c r="S941" t="s">
        <v>55</v>
      </c>
      <c r="T941">
        <v>24.7</v>
      </c>
      <c r="U941">
        <v>60.54</v>
      </c>
      <c r="V941" t="b">
        <v>0</v>
      </c>
      <c r="W941" t="s">
        <v>31</v>
      </c>
      <c r="AE941" t="str">
        <f t="shared" si="98"/>
        <v>No</v>
      </c>
      <c r="AF941" t="str">
        <f t="shared" si="99"/>
        <v>Medium</v>
      </c>
      <c r="AG941" t="str">
        <f t="shared" si="100"/>
        <v>No</v>
      </c>
      <c r="AH941" t="str">
        <f t="shared" si="101"/>
        <v>Academic Paper</v>
      </c>
      <c r="AJ941" t="str">
        <f t="shared" si="102"/>
        <v>High Trust</v>
      </c>
      <c r="AL941">
        <f t="shared" si="103"/>
        <v>60.5</v>
      </c>
      <c r="AM941" t="str">
        <f t="shared" si="104"/>
        <v>Bachelors</v>
      </c>
    </row>
    <row r="942" spans="1:39" x14ac:dyDescent="0.25">
      <c r="A942" t="s">
        <v>61</v>
      </c>
      <c r="B942" t="s">
        <v>66</v>
      </c>
      <c r="C942">
        <v>70.13</v>
      </c>
      <c r="D942">
        <v>105</v>
      </c>
      <c r="E942" t="b">
        <v>0</v>
      </c>
      <c r="F942" t="b">
        <v>0</v>
      </c>
      <c r="G942" t="b">
        <v>1</v>
      </c>
      <c r="H942" t="s">
        <v>25</v>
      </c>
      <c r="I942" t="s">
        <v>35</v>
      </c>
      <c r="J942" t="s">
        <v>27</v>
      </c>
      <c r="K942" t="s">
        <v>39</v>
      </c>
      <c r="L942" t="s">
        <v>51</v>
      </c>
      <c r="M942" t="s">
        <v>47</v>
      </c>
      <c r="O942" t="b">
        <v>0</v>
      </c>
      <c r="P942" t="b">
        <v>1</v>
      </c>
      <c r="Q942">
        <v>4.8</v>
      </c>
      <c r="R942" t="b">
        <v>1</v>
      </c>
      <c r="S942" t="s">
        <v>30</v>
      </c>
      <c r="T942">
        <v>39.6</v>
      </c>
      <c r="U942">
        <v>64.3</v>
      </c>
      <c r="V942" t="b">
        <v>1</v>
      </c>
      <c r="W942" t="s">
        <v>72</v>
      </c>
      <c r="AE942" t="str">
        <f t="shared" si="98"/>
        <v>No</v>
      </c>
      <c r="AF942" t="str">
        <f t="shared" si="99"/>
        <v>Unknown</v>
      </c>
      <c r="AG942" t="str">
        <f t="shared" si="100"/>
        <v>No</v>
      </c>
      <c r="AH942" t="str">
        <f t="shared" si="101"/>
        <v>Google Search</v>
      </c>
      <c r="AJ942" t="str">
        <f t="shared" si="102"/>
        <v>Moderate Trust</v>
      </c>
      <c r="AL942">
        <f t="shared" si="103"/>
        <v>64.3</v>
      </c>
      <c r="AM942" t="str">
        <f t="shared" si="104"/>
        <v>Bachelors</v>
      </c>
    </row>
    <row r="943" spans="1:39" x14ac:dyDescent="0.25">
      <c r="A943" t="s">
        <v>56</v>
      </c>
      <c r="B943" t="s">
        <v>76</v>
      </c>
      <c r="C943">
        <v>79.87</v>
      </c>
      <c r="D943">
        <v>687</v>
      </c>
      <c r="E943" t="b">
        <v>0</v>
      </c>
      <c r="F943" t="b">
        <v>1</v>
      </c>
      <c r="G943" t="b">
        <v>1</v>
      </c>
      <c r="H943" t="s">
        <v>25</v>
      </c>
      <c r="I943" t="s">
        <v>35</v>
      </c>
      <c r="J943" t="s">
        <v>50</v>
      </c>
      <c r="K943" t="s">
        <v>28</v>
      </c>
      <c r="L943" t="s">
        <v>51</v>
      </c>
      <c r="M943" t="s">
        <v>46</v>
      </c>
      <c r="N943" t="s">
        <v>46</v>
      </c>
      <c r="O943" t="b">
        <v>1</v>
      </c>
      <c r="P943" t="b">
        <v>1</v>
      </c>
      <c r="Q943">
        <v>10</v>
      </c>
      <c r="R943" t="b">
        <v>0</v>
      </c>
      <c r="T943">
        <v>0</v>
      </c>
      <c r="U943">
        <v>89.52</v>
      </c>
      <c r="V943" t="b">
        <v>1</v>
      </c>
      <c r="W943" t="s">
        <v>58</v>
      </c>
      <c r="AE943" t="str">
        <f t="shared" si="98"/>
        <v>Yes</v>
      </c>
      <c r="AF943" t="str">
        <f t="shared" si="99"/>
        <v>Medium</v>
      </c>
      <c r="AG943" t="str">
        <f t="shared" si="100"/>
        <v>Yes</v>
      </c>
      <c r="AH943" t="str">
        <f t="shared" si="101"/>
        <v>Unknown</v>
      </c>
      <c r="AJ943" t="str">
        <f t="shared" si="102"/>
        <v>High Trust</v>
      </c>
      <c r="AL943">
        <f t="shared" si="103"/>
        <v>89.5</v>
      </c>
      <c r="AM943" t="str">
        <f t="shared" si="104"/>
        <v>Professional</v>
      </c>
    </row>
    <row r="944" spans="1:39" x14ac:dyDescent="0.25">
      <c r="A944" t="s">
        <v>23</v>
      </c>
      <c r="B944" t="s">
        <v>70</v>
      </c>
      <c r="C944">
        <v>73.47</v>
      </c>
      <c r="D944">
        <v>799</v>
      </c>
      <c r="E944" t="b">
        <v>1</v>
      </c>
      <c r="F944" t="b">
        <v>1</v>
      </c>
      <c r="G944" t="b">
        <v>1</v>
      </c>
      <c r="H944" t="s">
        <v>25</v>
      </c>
      <c r="I944" t="s">
        <v>67</v>
      </c>
      <c r="J944" t="s">
        <v>50</v>
      </c>
      <c r="K944" t="s">
        <v>46</v>
      </c>
      <c r="L944" t="s">
        <v>51</v>
      </c>
      <c r="M944" t="s">
        <v>47</v>
      </c>
      <c r="N944" t="s">
        <v>39</v>
      </c>
      <c r="O944" t="b">
        <v>0</v>
      </c>
      <c r="P944" t="b">
        <v>1</v>
      </c>
      <c r="Q944">
        <v>6.8</v>
      </c>
      <c r="R944" t="b">
        <v>1</v>
      </c>
      <c r="S944" t="s">
        <v>40</v>
      </c>
      <c r="T944">
        <v>42.8</v>
      </c>
      <c r="U944">
        <v>59.53</v>
      </c>
      <c r="V944" t="b">
        <v>1</v>
      </c>
      <c r="W944" t="s">
        <v>41</v>
      </c>
      <c r="AE944" t="str">
        <f t="shared" si="98"/>
        <v>Yes</v>
      </c>
      <c r="AF944" t="str">
        <f t="shared" si="99"/>
        <v>High</v>
      </c>
      <c r="AG944" t="str">
        <f t="shared" si="100"/>
        <v>No</v>
      </c>
      <c r="AH944" t="str">
        <f t="shared" si="101"/>
        <v>Asked Expert</v>
      </c>
      <c r="AJ944" t="str">
        <f t="shared" si="102"/>
        <v>Moderate Trust</v>
      </c>
      <c r="AL944">
        <f t="shared" si="103"/>
        <v>59.5</v>
      </c>
      <c r="AM944" t="str">
        <f t="shared" si="104"/>
        <v>Professional</v>
      </c>
    </row>
    <row r="945" spans="1:39" x14ac:dyDescent="0.25">
      <c r="A945" t="s">
        <v>68</v>
      </c>
      <c r="B945" t="s">
        <v>76</v>
      </c>
      <c r="C945">
        <v>76.77</v>
      </c>
      <c r="D945">
        <v>471</v>
      </c>
      <c r="E945" t="b">
        <v>1</v>
      </c>
      <c r="F945" t="b">
        <v>0</v>
      </c>
      <c r="G945" t="b">
        <v>0</v>
      </c>
      <c r="H945" t="s">
        <v>53</v>
      </c>
      <c r="I945" t="s">
        <v>57</v>
      </c>
      <c r="J945" t="s">
        <v>27</v>
      </c>
      <c r="K945" t="s">
        <v>37</v>
      </c>
      <c r="L945" t="s">
        <v>69</v>
      </c>
      <c r="M945" t="s">
        <v>47</v>
      </c>
      <c r="N945" t="s">
        <v>28</v>
      </c>
      <c r="O945" t="b">
        <v>1</v>
      </c>
      <c r="P945" t="b">
        <v>1</v>
      </c>
      <c r="Q945">
        <v>9.6</v>
      </c>
      <c r="R945" t="b">
        <v>1</v>
      </c>
      <c r="S945" t="s">
        <v>52</v>
      </c>
      <c r="T945">
        <v>37.799999999999997</v>
      </c>
      <c r="U945">
        <v>88.05</v>
      </c>
      <c r="V945" t="b">
        <v>1</v>
      </c>
      <c r="W945" t="s">
        <v>31</v>
      </c>
      <c r="AE945" t="str">
        <f t="shared" si="98"/>
        <v>No</v>
      </c>
      <c r="AF945" t="str">
        <f t="shared" si="99"/>
        <v>Low</v>
      </c>
      <c r="AG945" t="str">
        <f t="shared" si="100"/>
        <v>Yes</v>
      </c>
      <c r="AH945" t="str">
        <f t="shared" si="101"/>
        <v>Checked Official Source</v>
      </c>
      <c r="AJ945" t="str">
        <f t="shared" si="102"/>
        <v>High Trust</v>
      </c>
      <c r="AL945">
        <f t="shared" si="103"/>
        <v>88.1</v>
      </c>
      <c r="AM945" t="str">
        <f t="shared" si="104"/>
        <v>Bachelors</v>
      </c>
    </row>
    <row r="946" spans="1:39" x14ac:dyDescent="0.25">
      <c r="A946" t="s">
        <v>68</v>
      </c>
      <c r="B946" t="s">
        <v>33</v>
      </c>
      <c r="C946">
        <v>81.22</v>
      </c>
      <c r="D946">
        <v>570</v>
      </c>
      <c r="E946" t="b">
        <v>1</v>
      </c>
      <c r="F946" t="b">
        <v>1</v>
      </c>
      <c r="G946" t="b">
        <v>0</v>
      </c>
      <c r="H946" t="s">
        <v>53</v>
      </c>
      <c r="I946" t="s">
        <v>44</v>
      </c>
      <c r="J946" t="s">
        <v>54</v>
      </c>
      <c r="K946" t="s">
        <v>46</v>
      </c>
      <c r="L946" t="s">
        <v>29</v>
      </c>
      <c r="M946" t="s">
        <v>28</v>
      </c>
      <c r="N946" t="s">
        <v>46</v>
      </c>
      <c r="O946" t="b">
        <v>1</v>
      </c>
      <c r="P946" t="b">
        <v>0</v>
      </c>
      <c r="Q946">
        <v>10</v>
      </c>
      <c r="R946" t="b">
        <v>0</v>
      </c>
      <c r="T946">
        <v>0</v>
      </c>
      <c r="U946">
        <v>80.25</v>
      </c>
      <c r="V946" t="b">
        <v>1</v>
      </c>
      <c r="W946" t="s">
        <v>58</v>
      </c>
      <c r="AE946" t="str">
        <f t="shared" si="98"/>
        <v>Yes</v>
      </c>
      <c r="AF946" t="str">
        <f t="shared" si="99"/>
        <v>Medium</v>
      </c>
      <c r="AG946" t="str">
        <f t="shared" si="100"/>
        <v>Yes</v>
      </c>
      <c r="AH946" t="str">
        <f t="shared" si="101"/>
        <v>Unknown</v>
      </c>
      <c r="AJ946" t="str">
        <f t="shared" si="102"/>
        <v>High Trust</v>
      </c>
      <c r="AL946">
        <f t="shared" si="103"/>
        <v>80.3</v>
      </c>
      <c r="AM946" t="str">
        <f t="shared" si="104"/>
        <v>Masters</v>
      </c>
    </row>
    <row r="947" spans="1:39" x14ac:dyDescent="0.25">
      <c r="A947" t="s">
        <v>23</v>
      </c>
      <c r="B947" t="s">
        <v>49</v>
      </c>
      <c r="C947">
        <v>65.36</v>
      </c>
      <c r="D947">
        <v>640</v>
      </c>
      <c r="E947" t="b">
        <v>1</v>
      </c>
      <c r="F947" t="b">
        <v>0</v>
      </c>
      <c r="G947" t="b">
        <v>0</v>
      </c>
      <c r="H947" t="s">
        <v>43</v>
      </c>
      <c r="I947" t="s">
        <v>44</v>
      </c>
      <c r="J947" t="s">
        <v>54</v>
      </c>
      <c r="K947" t="s">
        <v>46</v>
      </c>
      <c r="L947" t="s">
        <v>37</v>
      </c>
      <c r="M947" t="s">
        <v>39</v>
      </c>
      <c r="N947" t="s">
        <v>39</v>
      </c>
      <c r="P947" t="b">
        <v>0</v>
      </c>
      <c r="Q947">
        <v>7.4</v>
      </c>
      <c r="R947" t="b">
        <v>1</v>
      </c>
      <c r="S947" t="s">
        <v>65</v>
      </c>
      <c r="T947">
        <v>32.299999999999997</v>
      </c>
      <c r="U947">
        <v>61.3</v>
      </c>
      <c r="V947" t="b">
        <v>1</v>
      </c>
      <c r="W947" t="s">
        <v>41</v>
      </c>
      <c r="AE947" t="str">
        <f t="shared" si="98"/>
        <v>No</v>
      </c>
      <c r="AF947" t="str">
        <f t="shared" si="99"/>
        <v>High</v>
      </c>
      <c r="AG947" t="str">
        <f t="shared" si="100"/>
        <v>No</v>
      </c>
      <c r="AH947" t="str">
        <f t="shared" si="101"/>
        <v>Cross-referenced Multiple AIs</v>
      </c>
      <c r="AJ947" t="str">
        <f t="shared" si="102"/>
        <v>Moderate Trust</v>
      </c>
      <c r="AL947">
        <f t="shared" si="103"/>
        <v>61.3</v>
      </c>
      <c r="AM947" t="str">
        <f t="shared" si="104"/>
        <v>Masters</v>
      </c>
    </row>
    <row r="948" spans="1:39" x14ac:dyDescent="0.25">
      <c r="A948" t="s">
        <v>56</v>
      </c>
      <c r="B948" t="s">
        <v>76</v>
      </c>
      <c r="C948">
        <v>78.17</v>
      </c>
      <c r="D948">
        <v>350</v>
      </c>
      <c r="E948" t="b">
        <v>0</v>
      </c>
      <c r="F948" t="b">
        <v>0</v>
      </c>
      <c r="G948" t="b">
        <v>0</v>
      </c>
      <c r="H948" t="s">
        <v>53</v>
      </c>
      <c r="I948" t="s">
        <v>57</v>
      </c>
      <c r="J948" t="s">
        <v>36</v>
      </c>
      <c r="K948" t="s">
        <v>37</v>
      </c>
      <c r="L948" t="s">
        <v>37</v>
      </c>
      <c r="M948" t="s">
        <v>39</v>
      </c>
      <c r="N948" t="s">
        <v>28</v>
      </c>
      <c r="P948" t="b">
        <v>1</v>
      </c>
      <c r="Q948">
        <v>7.3</v>
      </c>
      <c r="R948" t="b">
        <v>1</v>
      </c>
      <c r="S948" t="s">
        <v>48</v>
      </c>
      <c r="T948">
        <v>23.3</v>
      </c>
      <c r="U948">
        <v>76.52</v>
      </c>
      <c r="V948" t="b">
        <v>1</v>
      </c>
      <c r="W948" t="s">
        <v>41</v>
      </c>
      <c r="AE948" t="str">
        <f t="shared" si="98"/>
        <v>No</v>
      </c>
      <c r="AF948" t="str">
        <f t="shared" si="99"/>
        <v>Low</v>
      </c>
      <c r="AG948" t="str">
        <f t="shared" si="100"/>
        <v>No</v>
      </c>
      <c r="AH948" t="str">
        <f t="shared" si="101"/>
        <v>Consulted Documentation</v>
      </c>
      <c r="AJ948" t="str">
        <f t="shared" si="102"/>
        <v>Moderate Trust</v>
      </c>
      <c r="AL948">
        <f t="shared" si="103"/>
        <v>76.5</v>
      </c>
      <c r="AM948" t="str">
        <f t="shared" si="104"/>
        <v>PhD</v>
      </c>
    </row>
    <row r="949" spans="1:39" x14ac:dyDescent="0.25">
      <c r="A949" t="s">
        <v>68</v>
      </c>
      <c r="B949" t="s">
        <v>49</v>
      </c>
      <c r="C949">
        <v>67.150000000000006</v>
      </c>
      <c r="D949">
        <v>223</v>
      </c>
      <c r="E949" t="b">
        <v>0</v>
      </c>
      <c r="F949" t="b">
        <v>0</v>
      </c>
      <c r="G949" t="b">
        <v>0</v>
      </c>
      <c r="H949" t="s">
        <v>34</v>
      </c>
      <c r="I949" t="s">
        <v>26</v>
      </c>
      <c r="J949" t="s">
        <v>45</v>
      </c>
      <c r="K949" t="s">
        <v>28</v>
      </c>
      <c r="L949" t="s">
        <v>38</v>
      </c>
      <c r="M949" t="s">
        <v>47</v>
      </c>
      <c r="N949" t="s">
        <v>46</v>
      </c>
      <c r="P949" t="b">
        <v>1</v>
      </c>
      <c r="Q949">
        <v>7.3</v>
      </c>
      <c r="R949" t="b">
        <v>0</v>
      </c>
      <c r="T949">
        <v>0</v>
      </c>
      <c r="U949">
        <v>77.36</v>
      </c>
      <c r="V949" t="b">
        <v>1</v>
      </c>
      <c r="W949" t="s">
        <v>31</v>
      </c>
      <c r="AE949" t="str">
        <f t="shared" si="98"/>
        <v>No</v>
      </c>
      <c r="AF949" t="str">
        <f t="shared" si="99"/>
        <v>Medium</v>
      </c>
      <c r="AG949" t="str">
        <f t="shared" si="100"/>
        <v>No</v>
      </c>
      <c r="AH949" t="str">
        <f t="shared" si="101"/>
        <v>Unknown</v>
      </c>
      <c r="AJ949" t="str">
        <f t="shared" si="102"/>
        <v>Moderate Trust</v>
      </c>
      <c r="AL949">
        <f t="shared" si="103"/>
        <v>77.400000000000006</v>
      </c>
      <c r="AM949" t="str">
        <f t="shared" si="104"/>
        <v>High School</v>
      </c>
    </row>
    <row r="950" spans="1:39" x14ac:dyDescent="0.25">
      <c r="A950" t="s">
        <v>32</v>
      </c>
      <c r="B950" t="s">
        <v>33</v>
      </c>
      <c r="C950">
        <v>89.39</v>
      </c>
      <c r="D950">
        <v>183</v>
      </c>
      <c r="E950" t="b">
        <v>0</v>
      </c>
      <c r="F950" t="b">
        <v>0</v>
      </c>
      <c r="G950" t="b">
        <v>1</v>
      </c>
      <c r="H950" t="s">
        <v>53</v>
      </c>
      <c r="I950" t="s">
        <v>44</v>
      </c>
      <c r="J950" t="s">
        <v>54</v>
      </c>
      <c r="K950" t="s">
        <v>37</v>
      </c>
      <c r="L950" t="s">
        <v>51</v>
      </c>
      <c r="M950" t="s">
        <v>47</v>
      </c>
      <c r="N950" t="s">
        <v>39</v>
      </c>
      <c r="O950" t="b">
        <v>0</v>
      </c>
      <c r="P950" t="b">
        <v>0</v>
      </c>
      <c r="Q950">
        <v>6.7</v>
      </c>
      <c r="R950" t="b">
        <v>1</v>
      </c>
      <c r="S950" t="s">
        <v>55</v>
      </c>
      <c r="T950">
        <v>7.2</v>
      </c>
      <c r="U950">
        <v>80.17</v>
      </c>
      <c r="V950" t="b">
        <v>1</v>
      </c>
      <c r="W950" t="s">
        <v>41</v>
      </c>
      <c r="AE950" t="str">
        <f t="shared" si="98"/>
        <v>No</v>
      </c>
      <c r="AF950" t="str">
        <f t="shared" si="99"/>
        <v>High</v>
      </c>
      <c r="AG950" t="str">
        <f t="shared" si="100"/>
        <v>No</v>
      </c>
      <c r="AH950" t="str">
        <f t="shared" si="101"/>
        <v>Academic Paper</v>
      </c>
      <c r="AJ950" t="str">
        <f t="shared" si="102"/>
        <v>Moderate Trust</v>
      </c>
      <c r="AL950">
        <f t="shared" si="103"/>
        <v>80.2</v>
      </c>
      <c r="AM950" t="str">
        <f t="shared" si="104"/>
        <v>Masters</v>
      </c>
    </row>
    <row r="951" spans="1:39" x14ac:dyDescent="0.25">
      <c r="A951" t="s">
        <v>56</v>
      </c>
      <c r="B951" t="s">
        <v>62</v>
      </c>
      <c r="C951">
        <v>50.41</v>
      </c>
      <c r="D951">
        <v>355</v>
      </c>
      <c r="E951" t="b">
        <v>0</v>
      </c>
      <c r="F951" t="b">
        <v>0</v>
      </c>
      <c r="G951" t="b">
        <v>0</v>
      </c>
      <c r="H951" t="s">
        <v>43</v>
      </c>
      <c r="I951" t="s">
        <v>44</v>
      </c>
      <c r="J951" t="s">
        <v>27</v>
      </c>
      <c r="K951" t="s">
        <v>39</v>
      </c>
      <c r="L951" t="s">
        <v>29</v>
      </c>
      <c r="M951" t="s">
        <v>47</v>
      </c>
      <c r="N951" t="s">
        <v>39</v>
      </c>
      <c r="O951" t="b">
        <v>1</v>
      </c>
      <c r="P951" t="b">
        <v>1</v>
      </c>
      <c r="Q951">
        <v>5.2</v>
      </c>
      <c r="R951" t="b">
        <v>1</v>
      </c>
      <c r="S951" t="s">
        <v>64</v>
      </c>
      <c r="T951">
        <v>17.8</v>
      </c>
      <c r="U951">
        <v>60</v>
      </c>
      <c r="V951" t="b">
        <v>1</v>
      </c>
      <c r="W951" t="s">
        <v>41</v>
      </c>
      <c r="AE951" t="str">
        <f t="shared" si="98"/>
        <v>No</v>
      </c>
      <c r="AF951" t="str">
        <f t="shared" si="99"/>
        <v>High</v>
      </c>
      <c r="AG951" t="str">
        <f t="shared" si="100"/>
        <v>Yes</v>
      </c>
      <c r="AH951" t="str">
        <f t="shared" si="101"/>
        <v>Personal Testing</v>
      </c>
      <c r="AJ951" t="str">
        <f t="shared" si="102"/>
        <v>Moderate Trust</v>
      </c>
      <c r="AL951">
        <f t="shared" si="103"/>
        <v>60</v>
      </c>
      <c r="AM951" t="str">
        <f t="shared" si="104"/>
        <v>Bachelors</v>
      </c>
    </row>
    <row r="952" spans="1:39" x14ac:dyDescent="0.25">
      <c r="A952" t="s">
        <v>32</v>
      </c>
      <c r="B952" t="s">
        <v>76</v>
      </c>
      <c r="C952">
        <v>88.29</v>
      </c>
      <c r="D952">
        <v>435</v>
      </c>
      <c r="E952" t="b">
        <v>1</v>
      </c>
      <c r="F952" t="b">
        <v>1</v>
      </c>
      <c r="G952" t="b">
        <v>1</v>
      </c>
      <c r="H952" t="s">
        <v>53</v>
      </c>
      <c r="I952" t="s">
        <v>44</v>
      </c>
      <c r="J952" t="s">
        <v>50</v>
      </c>
      <c r="K952" t="s">
        <v>46</v>
      </c>
      <c r="L952" t="s">
        <v>51</v>
      </c>
      <c r="M952" t="s">
        <v>47</v>
      </c>
      <c r="O952" t="b">
        <v>0</v>
      </c>
      <c r="P952" t="b">
        <v>1</v>
      </c>
      <c r="Q952">
        <v>8.1999999999999993</v>
      </c>
      <c r="R952" t="b">
        <v>1</v>
      </c>
      <c r="S952" t="s">
        <v>40</v>
      </c>
      <c r="T952">
        <v>38.4</v>
      </c>
      <c r="U952">
        <v>84.74</v>
      </c>
      <c r="V952" t="b">
        <v>1</v>
      </c>
      <c r="W952" t="s">
        <v>31</v>
      </c>
      <c r="AE952" t="str">
        <f t="shared" si="98"/>
        <v>Yes</v>
      </c>
      <c r="AF952" t="str">
        <f t="shared" si="99"/>
        <v>Unknown</v>
      </c>
      <c r="AG952" t="str">
        <f t="shared" si="100"/>
        <v>No</v>
      </c>
      <c r="AH952" t="str">
        <f t="shared" si="101"/>
        <v>Asked Expert</v>
      </c>
      <c r="AJ952" t="str">
        <f t="shared" si="102"/>
        <v>High Trust</v>
      </c>
      <c r="AL952">
        <f t="shared" si="103"/>
        <v>84.7</v>
      </c>
      <c r="AM952" t="str">
        <f t="shared" si="104"/>
        <v>Professional</v>
      </c>
    </row>
    <row r="953" spans="1:39" x14ac:dyDescent="0.25">
      <c r="A953" t="s">
        <v>68</v>
      </c>
      <c r="B953" t="s">
        <v>76</v>
      </c>
      <c r="C953">
        <v>86.43</v>
      </c>
      <c r="D953">
        <v>208</v>
      </c>
      <c r="E953" t="b">
        <v>1</v>
      </c>
      <c r="F953" t="b">
        <v>1</v>
      </c>
      <c r="G953" t="b">
        <v>1</v>
      </c>
      <c r="H953" t="s">
        <v>34</v>
      </c>
      <c r="I953" t="s">
        <v>44</v>
      </c>
      <c r="J953" t="s">
        <v>50</v>
      </c>
      <c r="K953" t="s">
        <v>39</v>
      </c>
      <c r="L953" t="s">
        <v>37</v>
      </c>
      <c r="M953" t="s">
        <v>39</v>
      </c>
      <c r="N953" t="s">
        <v>39</v>
      </c>
      <c r="O953" t="b">
        <v>0</v>
      </c>
      <c r="P953" t="b">
        <v>0</v>
      </c>
      <c r="Q953">
        <v>7.4</v>
      </c>
      <c r="R953" t="b">
        <v>1</v>
      </c>
      <c r="S953" t="s">
        <v>65</v>
      </c>
      <c r="T953">
        <v>7.4</v>
      </c>
      <c r="U953">
        <v>72.069999999999993</v>
      </c>
      <c r="V953" t="b">
        <v>1</v>
      </c>
      <c r="W953" t="s">
        <v>41</v>
      </c>
      <c r="AE953" t="str">
        <f t="shared" si="98"/>
        <v>Yes</v>
      </c>
      <c r="AF953" t="str">
        <f t="shared" si="99"/>
        <v>High</v>
      </c>
      <c r="AG953" t="str">
        <f t="shared" si="100"/>
        <v>No</v>
      </c>
      <c r="AH953" t="str">
        <f t="shared" si="101"/>
        <v>Cross-referenced Multiple AIs</v>
      </c>
      <c r="AJ953" t="str">
        <f t="shared" si="102"/>
        <v>Low Trust</v>
      </c>
      <c r="AL953">
        <f t="shared" si="103"/>
        <v>72.099999999999994</v>
      </c>
      <c r="AM953" t="str">
        <f t="shared" si="104"/>
        <v>Professional</v>
      </c>
    </row>
    <row r="954" spans="1:39" x14ac:dyDescent="0.25">
      <c r="A954" t="s">
        <v>56</v>
      </c>
      <c r="B954" t="s">
        <v>73</v>
      </c>
      <c r="C954">
        <v>63.97</v>
      </c>
      <c r="D954">
        <v>514</v>
      </c>
      <c r="E954" t="b">
        <v>0</v>
      </c>
      <c r="F954" t="b">
        <v>0</v>
      </c>
      <c r="G954" t="b">
        <v>1</v>
      </c>
      <c r="H954" t="s">
        <v>34</v>
      </c>
      <c r="I954" t="s">
        <v>35</v>
      </c>
      <c r="J954" t="s">
        <v>54</v>
      </c>
      <c r="K954" t="s">
        <v>46</v>
      </c>
      <c r="L954" t="s">
        <v>51</v>
      </c>
      <c r="M954" t="s">
        <v>47</v>
      </c>
      <c r="O954" t="b">
        <v>0</v>
      </c>
      <c r="P954" t="b">
        <v>0</v>
      </c>
      <c r="Q954">
        <v>4.5999999999999996</v>
      </c>
      <c r="R954" t="b">
        <v>1</v>
      </c>
      <c r="S954" t="s">
        <v>30</v>
      </c>
      <c r="T954">
        <v>6.7</v>
      </c>
      <c r="U954">
        <v>56.63</v>
      </c>
      <c r="V954" t="b">
        <v>1</v>
      </c>
      <c r="W954" t="s">
        <v>72</v>
      </c>
      <c r="AE954" t="str">
        <f t="shared" si="98"/>
        <v>No</v>
      </c>
      <c r="AF954" t="str">
        <f t="shared" si="99"/>
        <v>Unknown</v>
      </c>
      <c r="AG954" t="str">
        <f t="shared" si="100"/>
        <v>No</v>
      </c>
      <c r="AH954" t="str">
        <f t="shared" si="101"/>
        <v>Google Search</v>
      </c>
      <c r="AJ954" t="str">
        <f t="shared" si="102"/>
        <v>Moderate Trust</v>
      </c>
      <c r="AL954">
        <f t="shared" si="103"/>
        <v>56.6</v>
      </c>
      <c r="AM954" t="str">
        <f t="shared" si="104"/>
        <v>Masters</v>
      </c>
    </row>
    <row r="955" spans="1:39" x14ac:dyDescent="0.25">
      <c r="A955" t="s">
        <v>61</v>
      </c>
      <c r="B955" t="s">
        <v>33</v>
      </c>
      <c r="C955">
        <v>87.38</v>
      </c>
      <c r="D955">
        <v>430</v>
      </c>
      <c r="E955" t="b">
        <v>1</v>
      </c>
      <c r="F955" t="b">
        <v>1</v>
      </c>
      <c r="G955" t="b">
        <v>1</v>
      </c>
      <c r="H955" t="s">
        <v>25</v>
      </c>
      <c r="I955" t="s">
        <v>67</v>
      </c>
      <c r="J955" t="s">
        <v>27</v>
      </c>
      <c r="K955" t="s">
        <v>46</v>
      </c>
      <c r="L955" t="s">
        <v>37</v>
      </c>
      <c r="M955" t="s">
        <v>39</v>
      </c>
      <c r="N955" t="s">
        <v>46</v>
      </c>
      <c r="P955" t="b">
        <v>1</v>
      </c>
      <c r="Q955">
        <v>9.8000000000000007</v>
      </c>
      <c r="R955" t="b">
        <v>0</v>
      </c>
      <c r="T955">
        <v>0</v>
      </c>
      <c r="U955">
        <v>97.04</v>
      </c>
      <c r="V955" t="b">
        <v>1</v>
      </c>
      <c r="W955" t="s">
        <v>58</v>
      </c>
      <c r="AE955" t="str">
        <f t="shared" si="98"/>
        <v>Yes</v>
      </c>
      <c r="AF955" t="str">
        <f t="shared" si="99"/>
        <v>Medium</v>
      </c>
      <c r="AG955" t="str">
        <f t="shared" si="100"/>
        <v>No</v>
      </c>
      <c r="AH955" t="str">
        <f t="shared" si="101"/>
        <v>Unknown</v>
      </c>
      <c r="AJ955" t="str">
        <f t="shared" si="102"/>
        <v>High Trust</v>
      </c>
      <c r="AL955">
        <f t="shared" si="103"/>
        <v>97</v>
      </c>
      <c r="AM955" t="str">
        <f t="shared" si="104"/>
        <v>Bachelors</v>
      </c>
    </row>
    <row r="956" spans="1:39" x14ac:dyDescent="0.25">
      <c r="A956" t="s">
        <v>74</v>
      </c>
      <c r="B956" t="s">
        <v>33</v>
      </c>
      <c r="C956">
        <v>84.29</v>
      </c>
      <c r="D956">
        <v>528</v>
      </c>
      <c r="E956" t="b">
        <v>0</v>
      </c>
      <c r="F956" t="b">
        <v>1</v>
      </c>
      <c r="G956" t="b">
        <v>1</v>
      </c>
      <c r="H956" t="s">
        <v>53</v>
      </c>
      <c r="I956" t="s">
        <v>35</v>
      </c>
      <c r="J956" t="s">
        <v>45</v>
      </c>
      <c r="K956" t="s">
        <v>28</v>
      </c>
      <c r="L956" t="s">
        <v>37</v>
      </c>
      <c r="M956" t="s">
        <v>39</v>
      </c>
      <c r="P956" t="b">
        <v>0</v>
      </c>
      <c r="Q956">
        <v>7.9</v>
      </c>
      <c r="R956" t="b">
        <v>0</v>
      </c>
      <c r="T956">
        <v>0</v>
      </c>
      <c r="U956">
        <v>94.79</v>
      </c>
      <c r="V956" t="b">
        <v>1</v>
      </c>
      <c r="W956" t="s">
        <v>31</v>
      </c>
      <c r="AE956" t="str">
        <f t="shared" si="98"/>
        <v>Yes</v>
      </c>
      <c r="AF956" t="str">
        <f t="shared" si="99"/>
        <v>Unknown</v>
      </c>
      <c r="AG956" t="str">
        <f t="shared" si="100"/>
        <v>No</v>
      </c>
      <c r="AH956" t="str">
        <f t="shared" si="101"/>
        <v>Unknown</v>
      </c>
      <c r="AJ956" t="str">
        <f t="shared" si="102"/>
        <v>Moderate Trust</v>
      </c>
      <c r="AL956">
        <f t="shared" si="103"/>
        <v>94.8</v>
      </c>
      <c r="AM956" t="str">
        <f t="shared" si="104"/>
        <v>High School</v>
      </c>
    </row>
    <row r="957" spans="1:39" x14ac:dyDescent="0.25">
      <c r="A957" t="s">
        <v>74</v>
      </c>
      <c r="B957" t="s">
        <v>71</v>
      </c>
      <c r="C957">
        <v>45.48</v>
      </c>
      <c r="D957">
        <v>276</v>
      </c>
      <c r="E957" t="b">
        <v>0</v>
      </c>
      <c r="F957" t="b">
        <v>0</v>
      </c>
      <c r="G957" t="b">
        <v>1</v>
      </c>
      <c r="H957" t="s">
        <v>25</v>
      </c>
      <c r="I957" t="s">
        <v>26</v>
      </c>
      <c r="J957" t="s">
        <v>54</v>
      </c>
      <c r="K957" t="s">
        <v>46</v>
      </c>
      <c r="L957" t="s">
        <v>29</v>
      </c>
      <c r="M957" t="s">
        <v>28</v>
      </c>
      <c r="N957" t="s">
        <v>39</v>
      </c>
      <c r="O957" t="b">
        <v>1</v>
      </c>
      <c r="P957" t="b">
        <v>1</v>
      </c>
      <c r="Q957">
        <v>7.9</v>
      </c>
      <c r="R957" t="b">
        <v>0</v>
      </c>
      <c r="T957">
        <v>0</v>
      </c>
      <c r="U957">
        <v>38.53</v>
      </c>
      <c r="V957" t="b">
        <v>0</v>
      </c>
      <c r="W957" t="s">
        <v>31</v>
      </c>
      <c r="AE957" t="str">
        <f t="shared" si="98"/>
        <v>No</v>
      </c>
      <c r="AF957" t="str">
        <f t="shared" si="99"/>
        <v>High</v>
      </c>
      <c r="AG957" t="str">
        <f t="shared" si="100"/>
        <v>Yes</v>
      </c>
      <c r="AH957" t="str">
        <f t="shared" si="101"/>
        <v>Unknown</v>
      </c>
      <c r="AJ957" t="str">
        <f t="shared" si="102"/>
        <v>Moderate Trust</v>
      </c>
      <c r="AL957">
        <f t="shared" si="103"/>
        <v>38.5</v>
      </c>
      <c r="AM957" t="str">
        <f t="shared" si="104"/>
        <v>Masters</v>
      </c>
    </row>
    <row r="958" spans="1:39" x14ac:dyDescent="0.25">
      <c r="A958" t="s">
        <v>23</v>
      </c>
      <c r="B958" t="s">
        <v>49</v>
      </c>
      <c r="C958">
        <v>68.7</v>
      </c>
      <c r="D958">
        <v>629</v>
      </c>
      <c r="E958" t="b">
        <v>1</v>
      </c>
      <c r="F958" t="b">
        <v>0</v>
      </c>
      <c r="G958" t="b">
        <v>1</v>
      </c>
      <c r="H958" t="s">
        <v>25</v>
      </c>
      <c r="I958" t="s">
        <v>35</v>
      </c>
      <c r="J958" t="s">
        <v>54</v>
      </c>
      <c r="K958" t="s">
        <v>37</v>
      </c>
      <c r="L958" t="s">
        <v>51</v>
      </c>
      <c r="M958" t="s">
        <v>28</v>
      </c>
      <c r="N958" t="s">
        <v>46</v>
      </c>
      <c r="O958" t="b">
        <v>1</v>
      </c>
      <c r="P958" t="b">
        <v>0</v>
      </c>
      <c r="Q958">
        <v>9.8000000000000007</v>
      </c>
      <c r="R958" t="b">
        <v>0</v>
      </c>
      <c r="T958">
        <v>0</v>
      </c>
      <c r="U958">
        <v>79.77</v>
      </c>
      <c r="V958" t="b">
        <v>1</v>
      </c>
      <c r="W958" t="s">
        <v>58</v>
      </c>
      <c r="AE958" t="str">
        <f t="shared" si="98"/>
        <v>No</v>
      </c>
      <c r="AF958" t="str">
        <f t="shared" si="99"/>
        <v>Medium</v>
      </c>
      <c r="AG958" t="str">
        <f t="shared" si="100"/>
        <v>Yes</v>
      </c>
      <c r="AH958" t="str">
        <f t="shared" si="101"/>
        <v>Unknown</v>
      </c>
      <c r="AJ958" t="str">
        <f t="shared" si="102"/>
        <v>High Trust</v>
      </c>
      <c r="AL958">
        <f t="shared" si="103"/>
        <v>79.8</v>
      </c>
      <c r="AM958" t="str">
        <f t="shared" si="104"/>
        <v>Masters</v>
      </c>
    </row>
    <row r="959" spans="1:39" x14ac:dyDescent="0.25">
      <c r="A959" t="s">
        <v>68</v>
      </c>
      <c r="B959" t="s">
        <v>59</v>
      </c>
      <c r="C959">
        <v>92.66</v>
      </c>
      <c r="D959">
        <v>387</v>
      </c>
      <c r="E959" t="b">
        <v>1</v>
      </c>
      <c r="F959" t="b">
        <v>0</v>
      </c>
      <c r="G959" t="b">
        <v>1</v>
      </c>
      <c r="H959" t="s">
        <v>43</v>
      </c>
      <c r="I959" t="s">
        <v>57</v>
      </c>
      <c r="J959" t="s">
        <v>36</v>
      </c>
      <c r="K959" t="s">
        <v>39</v>
      </c>
      <c r="L959" t="s">
        <v>51</v>
      </c>
      <c r="M959" t="s">
        <v>47</v>
      </c>
      <c r="O959" t="b">
        <v>0</v>
      </c>
      <c r="P959" t="b">
        <v>1</v>
      </c>
      <c r="Q959">
        <v>8.1</v>
      </c>
      <c r="R959" t="b">
        <v>1</v>
      </c>
      <c r="S959" t="s">
        <v>64</v>
      </c>
      <c r="T959">
        <v>43.8</v>
      </c>
      <c r="U959">
        <v>81.75</v>
      </c>
      <c r="V959" t="b">
        <v>1</v>
      </c>
      <c r="W959" t="s">
        <v>31</v>
      </c>
      <c r="AE959" t="str">
        <f t="shared" si="98"/>
        <v>No</v>
      </c>
      <c r="AF959" t="str">
        <f t="shared" si="99"/>
        <v>Unknown</v>
      </c>
      <c r="AG959" t="str">
        <f t="shared" si="100"/>
        <v>No</v>
      </c>
      <c r="AH959" t="str">
        <f t="shared" si="101"/>
        <v>Personal Testing</v>
      </c>
      <c r="AJ959" t="str">
        <f t="shared" si="102"/>
        <v>High Trust</v>
      </c>
      <c r="AL959">
        <f t="shared" si="103"/>
        <v>81.8</v>
      </c>
      <c r="AM959" t="str">
        <f t="shared" si="104"/>
        <v>PhD</v>
      </c>
    </row>
    <row r="960" spans="1:39" x14ac:dyDescent="0.25">
      <c r="A960" t="s">
        <v>74</v>
      </c>
      <c r="B960" t="s">
        <v>62</v>
      </c>
      <c r="C960">
        <v>59.89</v>
      </c>
      <c r="D960">
        <v>701</v>
      </c>
      <c r="E960" t="b">
        <v>0</v>
      </c>
      <c r="F960" t="b">
        <v>0</v>
      </c>
      <c r="G960" t="b">
        <v>1</v>
      </c>
      <c r="H960" t="s">
        <v>34</v>
      </c>
      <c r="I960" t="s">
        <v>26</v>
      </c>
      <c r="J960" t="s">
        <v>45</v>
      </c>
      <c r="K960" t="s">
        <v>39</v>
      </c>
      <c r="L960" t="s">
        <v>69</v>
      </c>
      <c r="M960" t="s">
        <v>39</v>
      </c>
      <c r="O960" t="b">
        <v>1</v>
      </c>
      <c r="P960" t="b">
        <v>1</v>
      </c>
      <c r="Q960">
        <v>8.3000000000000007</v>
      </c>
      <c r="R960" t="b">
        <v>1</v>
      </c>
      <c r="S960" t="s">
        <v>75</v>
      </c>
      <c r="T960">
        <v>30.5</v>
      </c>
      <c r="U960">
        <v>62.75</v>
      </c>
      <c r="V960" t="b">
        <v>0</v>
      </c>
      <c r="W960" t="s">
        <v>31</v>
      </c>
      <c r="AE960" t="str">
        <f t="shared" si="98"/>
        <v>No</v>
      </c>
      <c r="AF960" t="str">
        <f t="shared" si="99"/>
        <v>Unknown</v>
      </c>
      <c r="AG960" t="str">
        <f t="shared" si="100"/>
        <v>Yes</v>
      </c>
      <c r="AH960" t="str">
        <f t="shared" si="101"/>
        <v>Asked Colleague</v>
      </c>
      <c r="AJ960" t="str">
        <f t="shared" si="102"/>
        <v>High Trust</v>
      </c>
      <c r="AL960">
        <f t="shared" si="103"/>
        <v>62.8</v>
      </c>
      <c r="AM960" t="str">
        <f t="shared" si="104"/>
        <v>High School</v>
      </c>
    </row>
    <row r="961" spans="1:39" x14ac:dyDescent="0.25">
      <c r="A961" t="s">
        <v>61</v>
      </c>
      <c r="B961" t="s">
        <v>62</v>
      </c>
      <c r="C961">
        <v>69</v>
      </c>
      <c r="D961">
        <v>724</v>
      </c>
      <c r="E961" t="b">
        <v>0</v>
      </c>
      <c r="F961" t="b">
        <v>1</v>
      </c>
      <c r="G961" t="b">
        <v>1</v>
      </c>
      <c r="H961" t="s">
        <v>43</v>
      </c>
      <c r="I961" t="s">
        <v>44</v>
      </c>
      <c r="J961" t="s">
        <v>54</v>
      </c>
      <c r="K961" t="s">
        <v>39</v>
      </c>
      <c r="L961" t="s">
        <v>38</v>
      </c>
      <c r="M961" t="s">
        <v>47</v>
      </c>
      <c r="O961" t="b">
        <v>1</v>
      </c>
      <c r="P961" t="b">
        <v>0</v>
      </c>
      <c r="Q961">
        <v>8.3000000000000007</v>
      </c>
      <c r="R961" t="b">
        <v>1</v>
      </c>
      <c r="S961" t="s">
        <v>30</v>
      </c>
      <c r="T961">
        <v>8</v>
      </c>
      <c r="U961">
        <v>72.650000000000006</v>
      </c>
      <c r="V961" t="b">
        <v>1</v>
      </c>
      <c r="W961" t="s">
        <v>31</v>
      </c>
      <c r="AE961" t="str">
        <f t="shared" si="98"/>
        <v>Yes</v>
      </c>
      <c r="AF961" t="str">
        <f t="shared" si="99"/>
        <v>Unknown</v>
      </c>
      <c r="AG961" t="str">
        <f t="shared" si="100"/>
        <v>Yes</v>
      </c>
      <c r="AH961" t="str">
        <f t="shared" si="101"/>
        <v>Google Search</v>
      </c>
      <c r="AJ961" t="str">
        <f t="shared" si="102"/>
        <v>High Trust</v>
      </c>
      <c r="AL961">
        <f t="shared" si="103"/>
        <v>72.7</v>
      </c>
      <c r="AM961" t="str">
        <f t="shared" si="104"/>
        <v>Masters</v>
      </c>
    </row>
    <row r="962" spans="1:39" x14ac:dyDescent="0.25">
      <c r="A962" t="s">
        <v>68</v>
      </c>
      <c r="B962" t="s">
        <v>66</v>
      </c>
      <c r="C962">
        <v>70.42</v>
      </c>
      <c r="D962">
        <v>268</v>
      </c>
      <c r="E962" t="b">
        <v>0</v>
      </c>
      <c r="F962" t="b">
        <v>1</v>
      </c>
      <c r="G962" t="b">
        <v>0</v>
      </c>
      <c r="H962" t="s">
        <v>34</v>
      </c>
      <c r="I962" t="s">
        <v>26</v>
      </c>
      <c r="J962" t="s">
        <v>54</v>
      </c>
      <c r="K962" t="s">
        <v>28</v>
      </c>
      <c r="L962" t="s">
        <v>29</v>
      </c>
      <c r="M962" t="s">
        <v>39</v>
      </c>
      <c r="N962" t="s">
        <v>39</v>
      </c>
      <c r="O962" t="b">
        <v>1</v>
      </c>
      <c r="P962" t="b">
        <v>1</v>
      </c>
      <c r="Q962">
        <v>8.1999999999999993</v>
      </c>
      <c r="R962" t="b">
        <v>1</v>
      </c>
      <c r="S962" t="s">
        <v>40</v>
      </c>
      <c r="T962">
        <v>3.1</v>
      </c>
      <c r="U962">
        <v>70.39</v>
      </c>
      <c r="V962" t="b">
        <v>1</v>
      </c>
      <c r="W962" t="s">
        <v>31</v>
      </c>
      <c r="AE962" t="str">
        <f t="shared" si="98"/>
        <v>Yes</v>
      </c>
      <c r="AF962" t="str">
        <f t="shared" si="99"/>
        <v>High</v>
      </c>
      <c r="AG962" t="str">
        <f t="shared" si="100"/>
        <v>Yes</v>
      </c>
      <c r="AH962" t="str">
        <f t="shared" si="101"/>
        <v>Asked Expert</v>
      </c>
      <c r="AJ962" t="str">
        <f t="shared" si="102"/>
        <v>High Trust</v>
      </c>
      <c r="AL962">
        <f t="shared" si="103"/>
        <v>70.400000000000006</v>
      </c>
      <c r="AM962" t="str">
        <f t="shared" si="104"/>
        <v>Masters</v>
      </c>
    </row>
    <row r="963" spans="1:39" x14ac:dyDescent="0.25">
      <c r="A963" t="s">
        <v>74</v>
      </c>
      <c r="B963" t="s">
        <v>59</v>
      </c>
      <c r="C963">
        <v>77.34</v>
      </c>
      <c r="D963">
        <v>631</v>
      </c>
      <c r="E963" t="b">
        <v>1</v>
      </c>
      <c r="F963" t="b">
        <v>0</v>
      </c>
      <c r="G963" t="b">
        <v>1</v>
      </c>
      <c r="H963" t="s">
        <v>43</v>
      </c>
      <c r="I963" t="s">
        <v>67</v>
      </c>
      <c r="J963" t="s">
        <v>27</v>
      </c>
      <c r="K963" t="s">
        <v>37</v>
      </c>
      <c r="L963" t="s">
        <v>69</v>
      </c>
      <c r="M963" t="s">
        <v>46</v>
      </c>
      <c r="N963" t="s">
        <v>39</v>
      </c>
      <c r="O963" t="b">
        <v>1</v>
      </c>
      <c r="P963" t="b">
        <v>0</v>
      </c>
      <c r="Q963">
        <v>10</v>
      </c>
      <c r="R963" t="b">
        <v>0</v>
      </c>
      <c r="T963">
        <v>0</v>
      </c>
      <c r="U963">
        <v>67.02</v>
      </c>
      <c r="V963" t="b">
        <v>0</v>
      </c>
      <c r="W963" t="s">
        <v>58</v>
      </c>
      <c r="AE963" t="str">
        <f t="shared" ref="AE963:AE1001" si="105">IF(F963=TRUE,"Yes","No")</f>
        <v>No</v>
      </c>
      <c r="AF963" t="str">
        <f t="shared" ref="AF963:AF1001" si="106">IF(ISBLANK(N963),"Unknown",N963)</f>
        <v>High</v>
      </c>
      <c r="AG963" t="str">
        <f t="shared" ref="AG963:AG1001" si="107">IF(O963=TRUE,"Yes","No")</f>
        <v>Yes</v>
      </c>
      <c r="AH963" t="str">
        <f t="shared" ref="AH963:AH1001" si="108">IF(ISBLANK(S963),"Unknown",S963)</f>
        <v>Unknown</v>
      </c>
      <c r="AJ963" t="str">
        <f t="shared" ref="AJ963:AJ1000" si="109">IF(Q963&gt;=8,"High Trust",
IF(Q964&gt;=5,"Moderate Trust","Low Trust"))</f>
        <v>High Trust</v>
      </c>
      <c r="AL963">
        <f t="shared" ref="AL963:AL1001" si="110">ROUND(U963,1)</f>
        <v>67</v>
      </c>
      <c r="AM963" t="str">
        <f t="shared" ref="AM963:AM1001" si="111">TRIM(J963)</f>
        <v>Bachelors</v>
      </c>
    </row>
    <row r="964" spans="1:39" x14ac:dyDescent="0.25">
      <c r="A964" t="s">
        <v>68</v>
      </c>
      <c r="B964" t="s">
        <v>42</v>
      </c>
      <c r="C964">
        <v>70.63</v>
      </c>
      <c r="D964">
        <v>631</v>
      </c>
      <c r="E964" t="b">
        <v>0</v>
      </c>
      <c r="F964" t="b">
        <v>0</v>
      </c>
      <c r="G964" t="b">
        <v>0</v>
      </c>
      <c r="H964" t="s">
        <v>53</v>
      </c>
      <c r="I964" t="s">
        <v>67</v>
      </c>
      <c r="J964" t="s">
        <v>45</v>
      </c>
      <c r="K964" t="s">
        <v>28</v>
      </c>
      <c r="L964" t="s">
        <v>37</v>
      </c>
      <c r="M964" t="s">
        <v>28</v>
      </c>
      <c r="N964" t="s">
        <v>46</v>
      </c>
      <c r="P964" t="b">
        <v>0</v>
      </c>
      <c r="Q964">
        <v>8.4</v>
      </c>
      <c r="R964" t="b">
        <v>0</v>
      </c>
      <c r="T964">
        <v>0</v>
      </c>
      <c r="U964">
        <v>85.13</v>
      </c>
      <c r="V964" t="b">
        <v>1</v>
      </c>
      <c r="W964" t="s">
        <v>58</v>
      </c>
      <c r="AE964" t="str">
        <f t="shared" si="105"/>
        <v>No</v>
      </c>
      <c r="AF964" t="str">
        <f t="shared" si="106"/>
        <v>Medium</v>
      </c>
      <c r="AG964" t="str">
        <f t="shared" si="107"/>
        <v>No</v>
      </c>
      <c r="AH964" t="str">
        <f t="shared" si="108"/>
        <v>Unknown</v>
      </c>
      <c r="AJ964" t="str">
        <f t="shared" si="109"/>
        <v>High Trust</v>
      </c>
      <c r="AL964">
        <f t="shared" si="110"/>
        <v>85.1</v>
      </c>
      <c r="AM964" t="str">
        <f t="shared" si="111"/>
        <v>High School</v>
      </c>
    </row>
    <row r="965" spans="1:39" x14ac:dyDescent="0.25">
      <c r="A965" t="s">
        <v>61</v>
      </c>
      <c r="B965" t="s">
        <v>59</v>
      </c>
      <c r="C965">
        <v>80.349999999999994</v>
      </c>
      <c r="D965">
        <v>171</v>
      </c>
      <c r="E965" t="b">
        <v>0</v>
      </c>
      <c r="F965" t="b">
        <v>1</v>
      </c>
      <c r="G965" t="b">
        <v>0</v>
      </c>
      <c r="H965" t="s">
        <v>43</v>
      </c>
      <c r="I965" t="s">
        <v>44</v>
      </c>
      <c r="J965" t="s">
        <v>27</v>
      </c>
      <c r="K965" t="s">
        <v>39</v>
      </c>
      <c r="L965" t="s">
        <v>37</v>
      </c>
      <c r="M965" t="s">
        <v>28</v>
      </c>
      <c r="P965" t="b">
        <v>1</v>
      </c>
      <c r="Q965">
        <v>7.9</v>
      </c>
      <c r="R965" t="b">
        <v>1</v>
      </c>
      <c r="S965" t="s">
        <v>64</v>
      </c>
      <c r="T965">
        <v>32</v>
      </c>
      <c r="U965">
        <v>75.27</v>
      </c>
      <c r="V965" t="b">
        <v>1</v>
      </c>
      <c r="W965" t="s">
        <v>41</v>
      </c>
      <c r="AE965" t="str">
        <f t="shared" si="105"/>
        <v>Yes</v>
      </c>
      <c r="AF965" t="str">
        <f t="shared" si="106"/>
        <v>Unknown</v>
      </c>
      <c r="AG965" t="str">
        <f t="shared" si="107"/>
        <v>No</v>
      </c>
      <c r="AH965" t="str">
        <f t="shared" si="108"/>
        <v>Personal Testing</v>
      </c>
      <c r="AJ965" t="str">
        <f t="shared" si="109"/>
        <v>Moderate Trust</v>
      </c>
      <c r="AL965">
        <f t="shared" si="110"/>
        <v>75.3</v>
      </c>
      <c r="AM965" t="str">
        <f t="shared" si="111"/>
        <v>Bachelors</v>
      </c>
    </row>
    <row r="966" spans="1:39" x14ac:dyDescent="0.25">
      <c r="A966" t="s">
        <v>68</v>
      </c>
      <c r="B966" t="s">
        <v>71</v>
      </c>
      <c r="C966">
        <v>41.66</v>
      </c>
      <c r="D966">
        <v>551</v>
      </c>
      <c r="E966" t="b">
        <v>1</v>
      </c>
      <c r="F966" t="b">
        <v>0</v>
      </c>
      <c r="G966" t="b">
        <v>0</v>
      </c>
      <c r="H966" t="s">
        <v>34</v>
      </c>
      <c r="I966" t="s">
        <v>63</v>
      </c>
      <c r="J966" t="s">
        <v>45</v>
      </c>
      <c r="K966" t="s">
        <v>28</v>
      </c>
      <c r="L966" t="s">
        <v>37</v>
      </c>
      <c r="M966" t="s">
        <v>46</v>
      </c>
      <c r="O966" t="b">
        <v>1</v>
      </c>
      <c r="P966" t="b">
        <v>1</v>
      </c>
      <c r="Q966">
        <v>7.1</v>
      </c>
      <c r="R966" t="b">
        <v>1</v>
      </c>
      <c r="S966" t="s">
        <v>30</v>
      </c>
      <c r="T966">
        <v>8.6999999999999993</v>
      </c>
      <c r="U966">
        <v>24.24</v>
      </c>
      <c r="V966" t="b">
        <v>0</v>
      </c>
      <c r="W966" t="s">
        <v>41</v>
      </c>
      <c r="AE966" t="str">
        <f t="shared" si="105"/>
        <v>No</v>
      </c>
      <c r="AF966" t="str">
        <f t="shared" si="106"/>
        <v>Unknown</v>
      </c>
      <c r="AG966" t="str">
        <f t="shared" si="107"/>
        <v>Yes</v>
      </c>
      <c r="AH966" t="str">
        <f t="shared" si="108"/>
        <v>Google Search</v>
      </c>
      <c r="AJ966" t="str">
        <f t="shared" si="109"/>
        <v>Moderate Trust</v>
      </c>
      <c r="AL966">
        <f t="shared" si="110"/>
        <v>24.2</v>
      </c>
      <c r="AM966" t="str">
        <f t="shared" si="111"/>
        <v>High School</v>
      </c>
    </row>
    <row r="967" spans="1:39" x14ac:dyDescent="0.25">
      <c r="A967" t="s">
        <v>32</v>
      </c>
      <c r="B967" t="s">
        <v>71</v>
      </c>
      <c r="C967">
        <v>54.89</v>
      </c>
      <c r="D967">
        <v>108</v>
      </c>
      <c r="E967" t="b">
        <v>1</v>
      </c>
      <c r="F967" t="b">
        <v>1</v>
      </c>
      <c r="G967" t="b">
        <v>1</v>
      </c>
      <c r="H967" t="s">
        <v>34</v>
      </c>
      <c r="I967" t="s">
        <v>57</v>
      </c>
      <c r="J967" t="s">
        <v>54</v>
      </c>
      <c r="K967" t="s">
        <v>46</v>
      </c>
      <c r="L967" t="s">
        <v>69</v>
      </c>
      <c r="M967" t="s">
        <v>28</v>
      </c>
      <c r="P967" t="b">
        <v>0</v>
      </c>
      <c r="Q967">
        <v>7.3</v>
      </c>
      <c r="R967" t="b">
        <v>0</v>
      </c>
      <c r="T967">
        <v>0</v>
      </c>
      <c r="U967">
        <v>42.88</v>
      </c>
      <c r="V967" t="b">
        <v>0</v>
      </c>
      <c r="W967" t="s">
        <v>31</v>
      </c>
      <c r="AE967" t="str">
        <f t="shared" si="105"/>
        <v>Yes</v>
      </c>
      <c r="AF967" t="str">
        <f t="shared" si="106"/>
        <v>Unknown</v>
      </c>
      <c r="AG967" t="str">
        <f t="shared" si="107"/>
        <v>No</v>
      </c>
      <c r="AH967" t="str">
        <f t="shared" si="108"/>
        <v>Unknown</v>
      </c>
      <c r="AJ967" t="str">
        <f t="shared" si="109"/>
        <v>Moderate Trust</v>
      </c>
      <c r="AL967">
        <f t="shared" si="110"/>
        <v>42.9</v>
      </c>
      <c r="AM967" t="str">
        <f t="shared" si="111"/>
        <v>Masters</v>
      </c>
    </row>
    <row r="968" spans="1:39" x14ac:dyDescent="0.25">
      <c r="A968" t="s">
        <v>68</v>
      </c>
      <c r="B968" t="s">
        <v>49</v>
      </c>
      <c r="C968">
        <v>67.02</v>
      </c>
      <c r="D968">
        <v>105</v>
      </c>
      <c r="E968" t="b">
        <v>1</v>
      </c>
      <c r="F968" t="b">
        <v>1</v>
      </c>
      <c r="G968" t="b">
        <v>1</v>
      </c>
      <c r="H968" t="s">
        <v>25</v>
      </c>
      <c r="I968" t="s">
        <v>26</v>
      </c>
      <c r="J968" t="s">
        <v>27</v>
      </c>
      <c r="K968" t="s">
        <v>37</v>
      </c>
      <c r="L968" t="s">
        <v>37</v>
      </c>
      <c r="M968" t="s">
        <v>28</v>
      </c>
      <c r="N968" t="s">
        <v>46</v>
      </c>
      <c r="O968" t="b">
        <v>1</v>
      </c>
      <c r="P968" t="b">
        <v>1</v>
      </c>
      <c r="Q968">
        <v>9.5</v>
      </c>
      <c r="R968" t="b">
        <v>0</v>
      </c>
      <c r="T968">
        <v>0</v>
      </c>
      <c r="U968">
        <v>59.94</v>
      </c>
      <c r="V968" t="b">
        <v>0</v>
      </c>
      <c r="W968" t="s">
        <v>58</v>
      </c>
      <c r="AE968" t="str">
        <f t="shared" si="105"/>
        <v>Yes</v>
      </c>
      <c r="AF968" t="str">
        <f t="shared" si="106"/>
        <v>Medium</v>
      </c>
      <c r="AG968" t="str">
        <f t="shared" si="107"/>
        <v>Yes</v>
      </c>
      <c r="AH968" t="str">
        <f t="shared" si="108"/>
        <v>Unknown</v>
      </c>
      <c r="AJ968" t="str">
        <f t="shared" si="109"/>
        <v>High Trust</v>
      </c>
      <c r="AL968">
        <f t="shared" si="110"/>
        <v>59.9</v>
      </c>
      <c r="AM968" t="str">
        <f t="shared" si="111"/>
        <v>Bachelors</v>
      </c>
    </row>
    <row r="969" spans="1:39" x14ac:dyDescent="0.25">
      <c r="A969" t="s">
        <v>61</v>
      </c>
      <c r="B969" t="s">
        <v>71</v>
      </c>
      <c r="C969">
        <v>48.62</v>
      </c>
      <c r="D969">
        <v>442</v>
      </c>
      <c r="E969" t="b">
        <v>1</v>
      </c>
      <c r="F969" t="b">
        <v>1</v>
      </c>
      <c r="G969" t="b">
        <v>0</v>
      </c>
      <c r="H969" t="s">
        <v>53</v>
      </c>
      <c r="I969" t="s">
        <v>63</v>
      </c>
      <c r="J969" t="s">
        <v>50</v>
      </c>
      <c r="K969" t="s">
        <v>28</v>
      </c>
      <c r="L969" t="s">
        <v>29</v>
      </c>
      <c r="M969" t="s">
        <v>28</v>
      </c>
      <c r="N969" t="s">
        <v>39</v>
      </c>
      <c r="P969" t="b">
        <v>0</v>
      </c>
      <c r="Q969">
        <v>6.6</v>
      </c>
      <c r="R969" t="b">
        <v>0</v>
      </c>
      <c r="T969">
        <v>0</v>
      </c>
      <c r="U969">
        <v>42.55</v>
      </c>
      <c r="V969" t="b">
        <v>0</v>
      </c>
      <c r="W969" t="s">
        <v>31</v>
      </c>
      <c r="AE969" t="str">
        <f t="shared" si="105"/>
        <v>Yes</v>
      </c>
      <c r="AF969" t="str">
        <f t="shared" si="106"/>
        <v>High</v>
      </c>
      <c r="AG969" t="str">
        <f t="shared" si="107"/>
        <v>No</v>
      </c>
      <c r="AH969" t="str">
        <f t="shared" si="108"/>
        <v>Unknown</v>
      </c>
      <c r="AJ969" t="str">
        <f t="shared" si="109"/>
        <v>Moderate Trust</v>
      </c>
      <c r="AL969">
        <f t="shared" si="110"/>
        <v>42.6</v>
      </c>
      <c r="AM969" t="str">
        <f t="shared" si="111"/>
        <v>Professional</v>
      </c>
    </row>
    <row r="970" spans="1:39" x14ac:dyDescent="0.25">
      <c r="A970" t="s">
        <v>56</v>
      </c>
      <c r="B970" t="s">
        <v>76</v>
      </c>
      <c r="C970">
        <v>83.86</v>
      </c>
      <c r="D970">
        <v>353</v>
      </c>
      <c r="E970" t="b">
        <v>1</v>
      </c>
      <c r="F970" t="b">
        <v>1</v>
      </c>
      <c r="G970" t="b">
        <v>1</v>
      </c>
      <c r="H970" t="s">
        <v>43</v>
      </c>
      <c r="I970" t="s">
        <v>35</v>
      </c>
      <c r="J970" t="s">
        <v>27</v>
      </c>
      <c r="K970" t="s">
        <v>46</v>
      </c>
      <c r="L970" t="s">
        <v>29</v>
      </c>
      <c r="M970" t="s">
        <v>39</v>
      </c>
      <c r="N970" t="s">
        <v>28</v>
      </c>
      <c r="O970" t="b">
        <v>1</v>
      </c>
      <c r="P970" t="b">
        <v>0</v>
      </c>
      <c r="Q970">
        <v>10</v>
      </c>
      <c r="R970" t="b">
        <v>0</v>
      </c>
      <c r="T970">
        <v>0</v>
      </c>
      <c r="U970">
        <v>75.37</v>
      </c>
      <c r="V970" t="b">
        <v>0</v>
      </c>
      <c r="W970" t="s">
        <v>58</v>
      </c>
      <c r="AE970" t="str">
        <f t="shared" si="105"/>
        <v>Yes</v>
      </c>
      <c r="AF970" t="str">
        <f t="shared" si="106"/>
        <v>Low</v>
      </c>
      <c r="AG970" t="str">
        <f t="shared" si="107"/>
        <v>Yes</v>
      </c>
      <c r="AH970" t="str">
        <f t="shared" si="108"/>
        <v>Unknown</v>
      </c>
      <c r="AJ970" t="str">
        <f t="shared" si="109"/>
        <v>High Trust</v>
      </c>
      <c r="AL970">
        <f t="shared" si="110"/>
        <v>75.400000000000006</v>
      </c>
      <c r="AM970" t="str">
        <f t="shared" si="111"/>
        <v>Bachelors</v>
      </c>
    </row>
    <row r="971" spans="1:39" x14ac:dyDescent="0.25">
      <c r="A971" t="s">
        <v>68</v>
      </c>
      <c r="B971" t="s">
        <v>60</v>
      </c>
      <c r="C971">
        <v>42.42</v>
      </c>
      <c r="D971">
        <v>666</v>
      </c>
      <c r="E971" t="b">
        <v>0</v>
      </c>
      <c r="F971" t="b">
        <v>0</v>
      </c>
      <c r="G971" t="b">
        <v>1</v>
      </c>
      <c r="H971" t="s">
        <v>25</v>
      </c>
      <c r="I971" t="s">
        <v>35</v>
      </c>
      <c r="J971" t="s">
        <v>27</v>
      </c>
      <c r="K971" t="s">
        <v>46</v>
      </c>
      <c r="L971" t="s">
        <v>38</v>
      </c>
      <c r="M971" t="s">
        <v>47</v>
      </c>
      <c r="N971" t="s">
        <v>46</v>
      </c>
      <c r="P971" t="b">
        <v>1</v>
      </c>
      <c r="Q971">
        <v>4.9000000000000004</v>
      </c>
      <c r="R971" t="b">
        <v>1</v>
      </c>
      <c r="S971" t="s">
        <v>65</v>
      </c>
      <c r="T971">
        <v>7.3</v>
      </c>
      <c r="U971">
        <v>52.95</v>
      </c>
      <c r="V971" t="b">
        <v>1</v>
      </c>
      <c r="W971" t="s">
        <v>72</v>
      </c>
      <c r="AE971" t="str">
        <f t="shared" si="105"/>
        <v>No</v>
      </c>
      <c r="AF971" t="str">
        <f t="shared" si="106"/>
        <v>Medium</v>
      </c>
      <c r="AG971" t="str">
        <f t="shared" si="107"/>
        <v>No</v>
      </c>
      <c r="AH971" t="str">
        <f t="shared" si="108"/>
        <v>Cross-referenced Multiple AIs</v>
      </c>
      <c r="AJ971" t="str">
        <f t="shared" si="109"/>
        <v>Moderate Trust</v>
      </c>
      <c r="AL971">
        <f t="shared" si="110"/>
        <v>53</v>
      </c>
      <c r="AM971" t="str">
        <f t="shared" si="111"/>
        <v>Bachelors</v>
      </c>
    </row>
    <row r="972" spans="1:39" x14ac:dyDescent="0.25">
      <c r="A972" t="s">
        <v>61</v>
      </c>
      <c r="B972" t="s">
        <v>73</v>
      </c>
      <c r="C972">
        <v>56.66</v>
      </c>
      <c r="D972">
        <v>377</v>
      </c>
      <c r="E972" t="b">
        <v>0</v>
      </c>
      <c r="F972" t="b">
        <v>0</v>
      </c>
      <c r="G972" t="b">
        <v>1</v>
      </c>
      <c r="H972" t="s">
        <v>43</v>
      </c>
      <c r="I972" t="s">
        <v>57</v>
      </c>
      <c r="J972" t="s">
        <v>36</v>
      </c>
      <c r="K972" t="s">
        <v>37</v>
      </c>
      <c r="L972" t="s">
        <v>29</v>
      </c>
      <c r="M972" t="s">
        <v>28</v>
      </c>
      <c r="N972" t="s">
        <v>28</v>
      </c>
      <c r="O972" t="b">
        <v>1</v>
      </c>
      <c r="P972" t="b">
        <v>1</v>
      </c>
      <c r="Q972">
        <v>7.9</v>
      </c>
      <c r="R972" t="b">
        <v>1</v>
      </c>
      <c r="S972" t="s">
        <v>40</v>
      </c>
      <c r="T972">
        <v>38.200000000000003</v>
      </c>
      <c r="U972">
        <v>41.83</v>
      </c>
      <c r="V972" t="b">
        <v>0</v>
      </c>
      <c r="W972" t="s">
        <v>41</v>
      </c>
      <c r="AE972" t="str">
        <f t="shared" si="105"/>
        <v>No</v>
      </c>
      <c r="AF972" t="str">
        <f t="shared" si="106"/>
        <v>Low</v>
      </c>
      <c r="AG972" t="str">
        <f t="shared" si="107"/>
        <v>Yes</v>
      </c>
      <c r="AH972" t="str">
        <f t="shared" si="108"/>
        <v>Asked Expert</v>
      </c>
      <c r="AJ972" t="str">
        <f t="shared" si="109"/>
        <v>Moderate Trust</v>
      </c>
      <c r="AL972">
        <f t="shared" si="110"/>
        <v>41.8</v>
      </c>
      <c r="AM972" t="str">
        <f t="shared" si="111"/>
        <v>PhD</v>
      </c>
    </row>
    <row r="973" spans="1:39" x14ac:dyDescent="0.25">
      <c r="A973" t="s">
        <v>32</v>
      </c>
      <c r="B973" t="s">
        <v>66</v>
      </c>
      <c r="C973">
        <v>69.31</v>
      </c>
      <c r="D973">
        <v>100</v>
      </c>
      <c r="E973" t="b">
        <v>0</v>
      </c>
      <c r="F973" t="b">
        <v>0</v>
      </c>
      <c r="G973" t="b">
        <v>1</v>
      </c>
      <c r="H973" t="s">
        <v>53</v>
      </c>
      <c r="I973" t="s">
        <v>35</v>
      </c>
      <c r="J973" t="s">
        <v>45</v>
      </c>
      <c r="K973" t="s">
        <v>39</v>
      </c>
      <c r="L973" t="s">
        <v>38</v>
      </c>
      <c r="M973" t="s">
        <v>39</v>
      </c>
      <c r="N973" t="s">
        <v>28</v>
      </c>
      <c r="P973" t="b">
        <v>1</v>
      </c>
      <c r="Q973">
        <v>7</v>
      </c>
      <c r="R973" t="b">
        <v>0</v>
      </c>
      <c r="T973">
        <v>0</v>
      </c>
      <c r="U973">
        <v>65.760000000000005</v>
      </c>
      <c r="V973" t="b">
        <v>1</v>
      </c>
      <c r="W973" t="s">
        <v>31</v>
      </c>
      <c r="AE973" t="str">
        <f t="shared" si="105"/>
        <v>No</v>
      </c>
      <c r="AF973" t="str">
        <f t="shared" si="106"/>
        <v>Low</v>
      </c>
      <c r="AG973" t="str">
        <f t="shared" si="107"/>
        <v>No</v>
      </c>
      <c r="AH973" t="str">
        <f t="shared" si="108"/>
        <v>Unknown</v>
      </c>
      <c r="AJ973" t="str">
        <f t="shared" si="109"/>
        <v>Low Trust</v>
      </c>
      <c r="AL973">
        <f t="shared" si="110"/>
        <v>65.8</v>
      </c>
      <c r="AM973" t="str">
        <f t="shared" si="111"/>
        <v>High School</v>
      </c>
    </row>
    <row r="974" spans="1:39" x14ac:dyDescent="0.25">
      <c r="A974" t="s">
        <v>61</v>
      </c>
      <c r="B974" t="s">
        <v>60</v>
      </c>
      <c r="C974">
        <v>57.41</v>
      </c>
      <c r="D974">
        <v>299</v>
      </c>
      <c r="E974" t="b">
        <v>0</v>
      </c>
      <c r="F974" t="b">
        <v>0</v>
      </c>
      <c r="G974" t="b">
        <v>0</v>
      </c>
      <c r="H974" t="s">
        <v>34</v>
      </c>
      <c r="I974" t="s">
        <v>44</v>
      </c>
      <c r="J974" t="s">
        <v>27</v>
      </c>
      <c r="K974" t="s">
        <v>46</v>
      </c>
      <c r="L974" t="s">
        <v>69</v>
      </c>
      <c r="M974" t="s">
        <v>47</v>
      </c>
      <c r="N974" t="s">
        <v>46</v>
      </c>
      <c r="O974" t="b">
        <v>0</v>
      </c>
      <c r="P974" t="b">
        <v>1</v>
      </c>
      <c r="Q974">
        <v>4.7</v>
      </c>
      <c r="R974" t="b">
        <v>1</v>
      </c>
      <c r="S974" t="s">
        <v>40</v>
      </c>
      <c r="T974">
        <v>26.2</v>
      </c>
      <c r="U974">
        <v>71.09</v>
      </c>
      <c r="V974" t="b">
        <v>0</v>
      </c>
      <c r="W974" t="s">
        <v>72</v>
      </c>
      <c r="AE974" t="str">
        <f t="shared" si="105"/>
        <v>No</v>
      </c>
      <c r="AF974" t="str">
        <f t="shared" si="106"/>
        <v>Medium</v>
      </c>
      <c r="AG974" t="str">
        <f t="shared" si="107"/>
        <v>No</v>
      </c>
      <c r="AH974" t="str">
        <f t="shared" si="108"/>
        <v>Asked Expert</v>
      </c>
      <c r="AJ974" t="str">
        <f t="shared" si="109"/>
        <v>Moderate Trust</v>
      </c>
      <c r="AL974">
        <f t="shared" si="110"/>
        <v>71.099999999999994</v>
      </c>
      <c r="AM974" t="str">
        <f t="shared" si="111"/>
        <v>Bachelors</v>
      </c>
    </row>
    <row r="975" spans="1:39" x14ac:dyDescent="0.25">
      <c r="A975" t="s">
        <v>23</v>
      </c>
      <c r="B975" t="s">
        <v>62</v>
      </c>
      <c r="C975">
        <v>53.51</v>
      </c>
      <c r="D975">
        <v>364</v>
      </c>
      <c r="E975" t="b">
        <v>1</v>
      </c>
      <c r="F975" t="b">
        <v>0</v>
      </c>
      <c r="G975" t="b">
        <v>0</v>
      </c>
      <c r="H975" t="s">
        <v>25</v>
      </c>
      <c r="I975" t="s">
        <v>57</v>
      </c>
      <c r="J975" t="s">
        <v>50</v>
      </c>
      <c r="K975" t="s">
        <v>46</v>
      </c>
      <c r="L975" t="s">
        <v>69</v>
      </c>
      <c r="M975" t="s">
        <v>39</v>
      </c>
      <c r="P975" t="b">
        <v>0</v>
      </c>
      <c r="Q975">
        <v>7.6</v>
      </c>
      <c r="R975" t="b">
        <v>1</v>
      </c>
      <c r="S975" t="s">
        <v>65</v>
      </c>
      <c r="T975">
        <v>6.6</v>
      </c>
      <c r="U975">
        <v>65.19</v>
      </c>
      <c r="V975" t="b">
        <v>1</v>
      </c>
      <c r="W975" t="s">
        <v>41</v>
      </c>
      <c r="AE975" t="str">
        <f t="shared" si="105"/>
        <v>No</v>
      </c>
      <c r="AF975" t="str">
        <f t="shared" si="106"/>
        <v>Unknown</v>
      </c>
      <c r="AG975" t="str">
        <f t="shared" si="107"/>
        <v>No</v>
      </c>
      <c r="AH975" t="str">
        <f t="shared" si="108"/>
        <v>Cross-referenced Multiple AIs</v>
      </c>
      <c r="AJ975" t="str">
        <f t="shared" si="109"/>
        <v>Moderate Trust</v>
      </c>
      <c r="AL975">
        <f t="shared" si="110"/>
        <v>65.2</v>
      </c>
      <c r="AM975" t="str">
        <f t="shared" si="111"/>
        <v>Professional</v>
      </c>
    </row>
    <row r="976" spans="1:39" x14ac:dyDescent="0.25">
      <c r="A976" t="s">
        <v>23</v>
      </c>
      <c r="B976" t="s">
        <v>73</v>
      </c>
      <c r="C976">
        <v>64.489999999999995</v>
      </c>
      <c r="D976">
        <v>604</v>
      </c>
      <c r="E976" t="b">
        <v>1</v>
      </c>
      <c r="F976" t="b">
        <v>1</v>
      </c>
      <c r="G976" t="b">
        <v>1</v>
      </c>
      <c r="H976" t="s">
        <v>43</v>
      </c>
      <c r="I976" t="s">
        <v>44</v>
      </c>
      <c r="J976" t="s">
        <v>54</v>
      </c>
      <c r="K976" t="s">
        <v>46</v>
      </c>
      <c r="L976" t="s">
        <v>51</v>
      </c>
      <c r="M976" t="s">
        <v>28</v>
      </c>
      <c r="N976" t="s">
        <v>39</v>
      </c>
      <c r="P976" t="b">
        <v>1</v>
      </c>
      <c r="Q976">
        <v>8.6</v>
      </c>
      <c r="R976" t="b">
        <v>1</v>
      </c>
      <c r="S976" t="s">
        <v>40</v>
      </c>
      <c r="T976">
        <v>29.1</v>
      </c>
      <c r="U976">
        <v>64.06</v>
      </c>
      <c r="V976" t="b">
        <v>0</v>
      </c>
      <c r="W976" t="s">
        <v>31</v>
      </c>
      <c r="AE976" t="str">
        <f t="shared" si="105"/>
        <v>Yes</v>
      </c>
      <c r="AF976" t="str">
        <f t="shared" si="106"/>
        <v>High</v>
      </c>
      <c r="AG976" t="str">
        <f t="shared" si="107"/>
        <v>No</v>
      </c>
      <c r="AH976" t="str">
        <f t="shared" si="108"/>
        <v>Asked Expert</v>
      </c>
      <c r="AJ976" t="str">
        <f t="shared" si="109"/>
        <v>High Trust</v>
      </c>
      <c r="AL976">
        <f t="shared" si="110"/>
        <v>64.099999999999994</v>
      </c>
      <c r="AM976" t="str">
        <f t="shared" si="111"/>
        <v>Masters</v>
      </c>
    </row>
    <row r="977" spans="1:39" x14ac:dyDescent="0.25">
      <c r="A977" t="s">
        <v>23</v>
      </c>
      <c r="B977" t="s">
        <v>24</v>
      </c>
      <c r="C977">
        <v>92.33</v>
      </c>
      <c r="D977">
        <v>53</v>
      </c>
      <c r="E977" t="b">
        <v>0</v>
      </c>
      <c r="F977" t="b">
        <v>0</v>
      </c>
      <c r="G977" t="b">
        <v>0</v>
      </c>
      <c r="H977" t="s">
        <v>43</v>
      </c>
      <c r="I977" t="s">
        <v>57</v>
      </c>
      <c r="J977" t="s">
        <v>50</v>
      </c>
      <c r="K977" t="s">
        <v>39</v>
      </c>
      <c r="L977" t="s">
        <v>38</v>
      </c>
      <c r="M977" t="s">
        <v>28</v>
      </c>
      <c r="N977" t="s">
        <v>28</v>
      </c>
      <c r="O977" t="b">
        <v>1</v>
      </c>
      <c r="P977" t="b">
        <v>1</v>
      </c>
      <c r="Q977">
        <v>10</v>
      </c>
      <c r="R977" t="b">
        <v>1</v>
      </c>
      <c r="S977" t="s">
        <v>55</v>
      </c>
      <c r="T977">
        <v>23.3</v>
      </c>
      <c r="U977">
        <v>100</v>
      </c>
      <c r="V977" t="b">
        <v>1</v>
      </c>
      <c r="W977" t="s">
        <v>31</v>
      </c>
      <c r="AE977" t="str">
        <f t="shared" si="105"/>
        <v>No</v>
      </c>
      <c r="AF977" t="str">
        <f t="shared" si="106"/>
        <v>Low</v>
      </c>
      <c r="AG977" t="str">
        <f t="shared" si="107"/>
        <v>Yes</v>
      </c>
      <c r="AH977" t="str">
        <f t="shared" si="108"/>
        <v>Academic Paper</v>
      </c>
      <c r="AJ977" t="str">
        <f t="shared" si="109"/>
        <v>High Trust</v>
      </c>
      <c r="AL977">
        <f t="shared" si="110"/>
        <v>100</v>
      </c>
      <c r="AM977" t="str">
        <f t="shared" si="111"/>
        <v>Professional</v>
      </c>
    </row>
    <row r="978" spans="1:39" x14ac:dyDescent="0.25">
      <c r="A978" t="s">
        <v>68</v>
      </c>
      <c r="B978" t="s">
        <v>42</v>
      </c>
      <c r="C978">
        <v>66.760000000000005</v>
      </c>
      <c r="D978">
        <v>642</v>
      </c>
      <c r="E978" t="b">
        <v>0</v>
      </c>
      <c r="F978" t="b">
        <v>0</v>
      </c>
      <c r="G978" t="b">
        <v>1</v>
      </c>
      <c r="H978" t="s">
        <v>34</v>
      </c>
      <c r="I978" t="s">
        <v>67</v>
      </c>
      <c r="J978" t="s">
        <v>50</v>
      </c>
      <c r="K978" t="s">
        <v>28</v>
      </c>
      <c r="L978" t="s">
        <v>51</v>
      </c>
      <c r="M978" t="s">
        <v>28</v>
      </c>
      <c r="O978" t="b">
        <v>1</v>
      </c>
      <c r="P978" t="b">
        <v>0</v>
      </c>
      <c r="Q978">
        <v>9.1999999999999993</v>
      </c>
      <c r="R978" t="b">
        <v>0</v>
      </c>
      <c r="T978">
        <v>0</v>
      </c>
      <c r="U978">
        <v>78.95</v>
      </c>
      <c r="V978" t="b">
        <v>1</v>
      </c>
      <c r="W978" t="s">
        <v>58</v>
      </c>
      <c r="AE978" t="str">
        <f t="shared" si="105"/>
        <v>No</v>
      </c>
      <c r="AF978" t="str">
        <f t="shared" si="106"/>
        <v>Unknown</v>
      </c>
      <c r="AG978" t="str">
        <f t="shared" si="107"/>
        <v>Yes</v>
      </c>
      <c r="AH978" t="str">
        <f t="shared" si="108"/>
        <v>Unknown</v>
      </c>
      <c r="AJ978" t="str">
        <f t="shared" si="109"/>
        <v>High Trust</v>
      </c>
      <c r="AL978">
        <f t="shared" si="110"/>
        <v>79</v>
      </c>
      <c r="AM978" t="str">
        <f t="shared" si="111"/>
        <v>Professional</v>
      </c>
    </row>
    <row r="979" spans="1:39" x14ac:dyDescent="0.25">
      <c r="A979" t="s">
        <v>61</v>
      </c>
      <c r="B979" t="s">
        <v>71</v>
      </c>
      <c r="C979">
        <v>43.08</v>
      </c>
      <c r="D979">
        <v>552</v>
      </c>
      <c r="E979" t="b">
        <v>1</v>
      </c>
      <c r="F979" t="b">
        <v>0</v>
      </c>
      <c r="G979" t="b">
        <v>0</v>
      </c>
      <c r="H979" t="s">
        <v>53</v>
      </c>
      <c r="I979" t="s">
        <v>67</v>
      </c>
      <c r="J979" t="s">
        <v>54</v>
      </c>
      <c r="K979" t="s">
        <v>39</v>
      </c>
      <c r="L979" t="s">
        <v>29</v>
      </c>
      <c r="M979" t="s">
        <v>46</v>
      </c>
      <c r="N979" t="s">
        <v>46</v>
      </c>
      <c r="O979" t="b">
        <v>0</v>
      </c>
      <c r="P979" t="b">
        <v>1</v>
      </c>
      <c r="Q979">
        <v>3.8</v>
      </c>
      <c r="R979" t="b">
        <v>1</v>
      </c>
      <c r="S979" t="s">
        <v>40</v>
      </c>
      <c r="T979">
        <v>22.7</v>
      </c>
      <c r="U979">
        <v>25.05</v>
      </c>
      <c r="V979" t="b">
        <v>1</v>
      </c>
      <c r="W979" t="s">
        <v>72</v>
      </c>
      <c r="AE979" t="str">
        <f t="shared" si="105"/>
        <v>No</v>
      </c>
      <c r="AF979" t="str">
        <f t="shared" si="106"/>
        <v>Medium</v>
      </c>
      <c r="AG979" t="str">
        <f t="shared" si="107"/>
        <v>No</v>
      </c>
      <c r="AH979" t="str">
        <f t="shared" si="108"/>
        <v>Asked Expert</v>
      </c>
      <c r="AJ979" t="str">
        <f t="shared" si="109"/>
        <v>Moderate Trust</v>
      </c>
      <c r="AL979">
        <f t="shared" si="110"/>
        <v>25.1</v>
      </c>
      <c r="AM979" t="str">
        <f t="shared" si="111"/>
        <v>Masters</v>
      </c>
    </row>
    <row r="980" spans="1:39" x14ac:dyDescent="0.25">
      <c r="A980" t="s">
        <v>74</v>
      </c>
      <c r="B980" t="s">
        <v>73</v>
      </c>
      <c r="C980">
        <v>69.37</v>
      </c>
      <c r="D980">
        <v>276</v>
      </c>
      <c r="E980" t="b">
        <v>0</v>
      </c>
      <c r="F980" t="b">
        <v>1</v>
      </c>
      <c r="G980" t="b">
        <v>0</v>
      </c>
      <c r="H980" t="s">
        <v>53</v>
      </c>
      <c r="I980" t="s">
        <v>67</v>
      </c>
      <c r="J980" t="s">
        <v>54</v>
      </c>
      <c r="K980" t="s">
        <v>28</v>
      </c>
      <c r="L980" t="s">
        <v>29</v>
      </c>
      <c r="M980" t="s">
        <v>46</v>
      </c>
      <c r="N980" t="s">
        <v>46</v>
      </c>
      <c r="O980" t="b">
        <v>0</v>
      </c>
      <c r="P980" t="b">
        <v>1</v>
      </c>
      <c r="Q980">
        <v>6.2</v>
      </c>
      <c r="R980" t="b">
        <v>0</v>
      </c>
      <c r="T980">
        <v>0</v>
      </c>
      <c r="U980">
        <v>70.84</v>
      </c>
      <c r="V980" t="b">
        <v>1</v>
      </c>
      <c r="W980" t="s">
        <v>31</v>
      </c>
      <c r="AE980" t="str">
        <f t="shared" si="105"/>
        <v>Yes</v>
      </c>
      <c r="AF980" t="str">
        <f t="shared" si="106"/>
        <v>Medium</v>
      </c>
      <c r="AG980" t="str">
        <f t="shared" si="107"/>
        <v>No</v>
      </c>
      <c r="AH980" t="str">
        <f t="shared" si="108"/>
        <v>Unknown</v>
      </c>
      <c r="AJ980" t="str">
        <f t="shared" si="109"/>
        <v>Moderate Trust</v>
      </c>
      <c r="AL980">
        <f t="shared" si="110"/>
        <v>70.8</v>
      </c>
      <c r="AM980" t="str">
        <f t="shared" si="111"/>
        <v>Masters</v>
      </c>
    </row>
    <row r="981" spans="1:39" x14ac:dyDescent="0.25">
      <c r="A981" t="s">
        <v>56</v>
      </c>
      <c r="B981" t="s">
        <v>66</v>
      </c>
      <c r="C981">
        <v>60.59</v>
      </c>
      <c r="D981">
        <v>123</v>
      </c>
      <c r="E981" t="b">
        <v>1</v>
      </c>
      <c r="F981" t="b">
        <v>0</v>
      </c>
      <c r="G981" t="b">
        <v>1</v>
      </c>
      <c r="H981" t="s">
        <v>34</v>
      </c>
      <c r="I981" t="s">
        <v>67</v>
      </c>
      <c r="J981" t="s">
        <v>54</v>
      </c>
      <c r="K981" t="s">
        <v>37</v>
      </c>
      <c r="L981" t="s">
        <v>69</v>
      </c>
      <c r="M981" t="s">
        <v>47</v>
      </c>
      <c r="N981" t="s">
        <v>46</v>
      </c>
      <c r="P981" t="b">
        <v>1</v>
      </c>
      <c r="Q981">
        <v>6.5</v>
      </c>
      <c r="R981" t="b">
        <v>1</v>
      </c>
      <c r="S981" t="s">
        <v>48</v>
      </c>
      <c r="T981">
        <v>29.5</v>
      </c>
      <c r="U981">
        <v>47.43</v>
      </c>
      <c r="V981" t="b">
        <v>1</v>
      </c>
      <c r="W981" t="s">
        <v>41</v>
      </c>
      <c r="AE981" t="str">
        <f t="shared" si="105"/>
        <v>No</v>
      </c>
      <c r="AF981" t="str">
        <f t="shared" si="106"/>
        <v>Medium</v>
      </c>
      <c r="AG981" t="str">
        <f t="shared" si="107"/>
        <v>No</v>
      </c>
      <c r="AH981" t="str">
        <f t="shared" si="108"/>
        <v>Consulted Documentation</v>
      </c>
      <c r="AJ981" t="str">
        <f t="shared" si="109"/>
        <v>Moderate Trust</v>
      </c>
      <c r="AL981">
        <f t="shared" si="110"/>
        <v>47.4</v>
      </c>
      <c r="AM981" t="str">
        <f t="shared" si="111"/>
        <v>Masters</v>
      </c>
    </row>
    <row r="982" spans="1:39" x14ac:dyDescent="0.25">
      <c r="A982" t="s">
        <v>74</v>
      </c>
      <c r="B982" t="s">
        <v>66</v>
      </c>
      <c r="C982">
        <v>59.4</v>
      </c>
      <c r="D982">
        <v>324</v>
      </c>
      <c r="E982" t="b">
        <v>0</v>
      </c>
      <c r="F982" t="b">
        <v>0</v>
      </c>
      <c r="G982" t="b">
        <v>1</v>
      </c>
      <c r="H982" t="s">
        <v>34</v>
      </c>
      <c r="I982" t="s">
        <v>57</v>
      </c>
      <c r="J982" t="s">
        <v>27</v>
      </c>
      <c r="K982" t="s">
        <v>39</v>
      </c>
      <c r="L982" t="s">
        <v>37</v>
      </c>
      <c r="M982" t="s">
        <v>28</v>
      </c>
      <c r="P982" t="b">
        <v>1</v>
      </c>
      <c r="Q982">
        <v>6.4</v>
      </c>
      <c r="R982" t="b">
        <v>0</v>
      </c>
      <c r="T982">
        <v>0</v>
      </c>
      <c r="U982">
        <v>49.86</v>
      </c>
      <c r="V982" t="b">
        <v>1</v>
      </c>
      <c r="W982" t="s">
        <v>31</v>
      </c>
      <c r="AE982" t="str">
        <f t="shared" si="105"/>
        <v>No</v>
      </c>
      <c r="AF982" t="str">
        <f t="shared" si="106"/>
        <v>Unknown</v>
      </c>
      <c r="AG982" t="str">
        <f t="shared" si="107"/>
        <v>No</v>
      </c>
      <c r="AH982" t="str">
        <f t="shared" si="108"/>
        <v>Unknown</v>
      </c>
      <c r="AJ982" t="str">
        <f t="shared" si="109"/>
        <v>Moderate Trust</v>
      </c>
      <c r="AL982">
        <f t="shared" si="110"/>
        <v>49.9</v>
      </c>
      <c r="AM982" t="str">
        <f t="shared" si="111"/>
        <v>Bachelors</v>
      </c>
    </row>
    <row r="983" spans="1:39" x14ac:dyDescent="0.25">
      <c r="A983" t="s">
        <v>23</v>
      </c>
      <c r="B983" t="s">
        <v>33</v>
      </c>
      <c r="C983">
        <v>75.05</v>
      </c>
      <c r="D983">
        <v>375</v>
      </c>
      <c r="E983" t="b">
        <v>0</v>
      </c>
      <c r="F983" t="b">
        <v>0</v>
      </c>
      <c r="G983" t="b">
        <v>0</v>
      </c>
      <c r="H983" t="s">
        <v>25</v>
      </c>
      <c r="I983" t="s">
        <v>35</v>
      </c>
      <c r="J983" t="s">
        <v>36</v>
      </c>
      <c r="K983" t="s">
        <v>46</v>
      </c>
      <c r="L983" t="s">
        <v>69</v>
      </c>
      <c r="M983" t="s">
        <v>39</v>
      </c>
      <c r="N983" t="s">
        <v>28</v>
      </c>
      <c r="O983" t="b">
        <v>1</v>
      </c>
      <c r="P983" t="b">
        <v>1</v>
      </c>
      <c r="Q983">
        <v>9.6</v>
      </c>
      <c r="R983" t="b">
        <v>1</v>
      </c>
      <c r="S983" t="s">
        <v>65</v>
      </c>
      <c r="T983">
        <v>3.8</v>
      </c>
      <c r="U983">
        <v>67.680000000000007</v>
      </c>
      <c r="V983" t="b">
        <v>0</v>
      </c>
      <c r="W983" t="s">
        <v>31</v>
      </c>
      <c r="AE983" t="str">
        <f t="shared" si="105"/>
        <v>No</v>
      </c>
      <c r="AF983" t="str">
        <f t="shared" si="106"/>
        <v>Low</v>
      </c>
      <c r="AG983" t="str">
        <f t="shared" si="107"/>
        <v>Yes</v>
      </c>
      <c r="AH983" t="str">
        <f t="shared" si="108"/>
        <v>Cross-referenced Multiple AIs</v>
      </c>
      <c r="AJ983" t="str">
        <f t="shared" si="109"/>
        <v>High Trust</v>
      </c>
      <c r="AL983">
        <f t="shared" si="110"/>
        <v>67.7</v>
      </c>
      <c r="AM983" t="str">
        <f t="shared" si="111"/>
        <v>PhD</v>
      </c>
    </row>
    <row r="984" spans="1:39" x14ac:dyDescent="0.25">
      <c r="A984" t="s">
        <v>32</v>
      </c>
      <c r="B984" t="s">
        <v>62</v>
      </c>
      <c r="C984">
        <v>64.95</v>
      </c>
      <c r="D984">
        <v>585</v>
      </c>
      <c r="E984" t="b">
        <v>0</v>
      </c>
      <c r="F984" t="b">
        <v>0</v>
      </c>
      <c r="G984" t="b">
        <v>0</v>
      </c>
      <c r="H984" t="s">
        <v>53</v>
      </c>
      <c r="I984" t="s">
        <v>67</v>
      </c>
      <c r="J984" t="s">
        <v>45</v>
      </c>
      <c r="K984" t="s">
        <v>46</v>
      </c>
      <c r="L984" t="s">
        <v>69</v>
      </c>
      <c r="M984" t="s">
        <v>39</v>
      </c>
      <c r="N984" t="s">
        <v>39</v>
      </c>
      <c r="O984" t="b">
        <v>0</v>
      </c>
      <c r="P984" t="b">
        <v>1</v>
      </c>
      <c r="Q984">
        <v>7.2</v>
      </c>
      <c r="R984" t="b">
        <v>1</v>
      </c>
      <c r="S984" t="s">
        <v>64</v>
      </c>
      <c r="T984">
        <v>18.600000000000001</v>
      </c>
      <c r="U984">
        <v>57.99</v>
      </c>
      <c r="V984" t="b">
        <v>1</v>
      </c>
      <c r="W984" t="s">
        <v>41</v>
      </c>
      <c r="AE984" t="str">
        <f t="shared" si="105"/>
        <v>No</v>
      </c>
      <c r="AF984" t="str">
        <f t="shared" si="106"/>
        <v>High</v>
      </c>
      <c r="AG984" t="str">
        <f t="shared" si="107"/>
        <v>No</v>
      </c>
      <c r="AH984" t="str">
        <f t="shared" si="108"/>
        <v>Personal Testing</v>
      </c>
      <c r="AJ984" t="str">
        <f t="shared" si="109"/>
        <v>Moderate Trust</v>
      </c>
      <c r="AL984">
        <f t="shared" si="110"/>
        <v>58</v>
      </c>
      <c r="AM984" t="str">
        <f t="shared" si="111"/>
        <v>High School</v>
      </c>
    </row>
    <row r="985" spans="1:39" x14ac:dyDescent="0.25">
      <c r="A985" t="s">
        <v>61</v>
      </c>
      <c r="B985" t="s">
        <v>24</v>
      </c>
      <c r="C985">
        <v>98</v>
      </c>
      <c r="D985">
        <v>122</v>
      </c>
      <c r="E985" t="b">
        <v>0</v>
      </c>
      <c r="F985" t="b">
        <v>1</v>
      </c>
      <c r="G985" t="b">
        <v>0</v>
      </c>
      <c r="H985" t="s">
        <v>53</v>
      </c>
      <c r="I985" t="s">
        <v>26</v>
      </c>
      <c r="J985" t="s">
        <v>50</v>
      </c>
      <c r="K985" t="s">
        <v>28</v>
      </c>
      <c r="L985" t="s">
        <v>51</v>
      </c>
      <c r="M985" t="s">
        <v>46</v>
      </c>
      <c r="P985" t="b">
        <v>0</v>
      </c>
      <c r="Q985">
        <v>10</v>
      </c>
      <c r="R985" t="b">
        <v>1</v>
      </c>
      <c r="S985" t="s">
        <v>64</v>
      </c>
      <c r="T985">
        <v>20.3</v>
      </c>
      <c r="U985">
        <v>86.65</v>
      </c>
      <c r="V985" t="b">
        <v>1</v>
      </c>
      <c r="W985" t="s">
        <v>31</v>
      </c>
      <c r="AE985" t="str">
        <f t="shared" si="105"/>
        <v>Yes</v>
      </c>
      <c r="AF985" t="str">
        <f t="shared" si="106"/>
        <v>Unknown</v>
      </c>
      <c r="AG985" t="str">
        <f t="shared" si="107"/>
        <v>No</v>
      </c>
      <c r="AH985" t="str">
        <f t="shared" si="108"/>
        <v>Personal Testing</v>
      </c>
      <c r="AJ985" t="str">
        <f t="shared" si="109"/>
        <v>High Trust</v>
      </c>
      <c r="AL985">
        <f t="shared" si="110"/>
        <v>86.7</v>
      </c>
      <c r="AM985" t="str">
        <f t="shared" si="111"/>
        <v>Professional</v>
      </c>
    </row>
    <row r="986" spans="1:39" x14ac:dyDescent="0.25">
      <c r="A986" t="s">
        <v>74</v>
      </c>
      <c r="B986" t="s">
        <v>76</v>
      </c>
      <c r="C986">
        <v>73.42</v>
      </c>
      <c r="D986">
        <v>217</v>
      </c>
      <c r="E986" t="b">
        <v>1</v>
      </c>
      <c r="F986" t="b">
        <v>0</v>
      </c>
      <c r="G986" t="b">
        <v>0</v>
      </c>
      <c r="H986" t="s">
        <v>53</v>
      </c>
      <c r="I986" t="s">
        <v>35</v>
      </c>
      <c r="J986" t="s">
        <v>27</v>
      </c>
      <c r="K986" t="s">
        <v>46</v>
      </c>
      <c r="L986" t="s">
        <v>38</v>
      </c>
      <c r="M986" t="s">
        <v>46</v>
      </c>
      <c r="N986" t="s">
        <v>46</v>
      </c>
      <c r="O986" t="b">
        <v>1</v>
      </c>
      <c r="P986" t="b">
        <v>0</v>
      </c>
      <c r="Q986">
        <v>10</v>
      </c>
      <c r="R986" t="b">
        <v>1</v>
      </c>
      <c r="S986" t="s">
        <v>55</v>
      </c>
      <c r="T986">
        <v>24.8</v>
      </c>
      <c r="U986">
        <v>60.13</v>
      </c>
      <c r="V986" t="b">
        <v>0</v>
      </c>
      <c r="W986" t="s">
        <v>31</v>
      </c>
      <c r="AE986" t="str">
        <f t="shared" si="105"/>
        <v>No</v>
      </c>
      <c r="AF986" t="str">
        <f t="shared" si="106"/>
        <v>Medium</v>
      </c>
      <c r="AG986" t="str">
        <f t="shared" si="107"/>
        <v>Yes</v>
      </c>
      <c r="AH986" t="str">
        <f t="shared" si="108"/>
        <v>Academic Paper</v>
      </c>
      <c r="AJ986" t="str">
        <f t="shared" si="109"/>
        <v>High Trust</v>
      </c>
      <c r="AL986">
        <f t="shared" si="110"/>
        <v>60.1</v>
      </c>
      <c r="AM986" t="str">
        <f t="shared" si="111"/>
        <v>Bachelors</v>
      </c>
    </row>
    <row r="987" spans="1:39" x14ac:dyDescent="0.25">
      <c r="A987" t="s">
        <v>68</v>
      </c>
      <c r="B987" t="s">
        <v>73</v>
      </c>
      <c r="C987">
        <v>49.05</v>
      </c>
      <c r="D987">
        <v>241</v>
      </c>
      <c r="E987" t="b">
        <v>0</v>
      </c>
      <c r="F987" t="b">
        <v>1</v>
      </c>
      <c r="G987" t="b">
        <v>0</v>
      </c>
      <c r="H987" t="s">
        <v>43</v>
      </c>
      <c r="I987" t="s">
        <v>44</v>
      </c>
      <c r="J987" t="s">
        <v>27</v>
      </c>
      <c r="K987" t="s">
        <v>39</v>
      </c>
      <c r="L987" t="s">
        <v>37</v>
      </c>
      <c r="M987" t="s">
        <v>28</v>
      </c>
      <c r="P987" t="b">
        <v>0</v>
      </c>
      <c r="Q987">
        <v>4.5999999999999996</v>
      </c>
      <c r="R987" t="b">
        <v>1</v>
      </c>
      <c r="S987" t="s">
        <v>30</v>
      </c>
      <c r="T987">
        <v>40.6</v>
      </c>
      <c r="U987">
        <v>39.11</v>
      </c>
      <c r="V987" t="b">
        <v>1</v>
      </c>
      <c r="W987" t="s">
        <v>72</v>
      </c>
      <c r="AE987" t="str">
        <f t="shared" si="105"/>
        <v>Yes</v>
      </c>
      <c r="AF987" t="str">
        <f t="shared" si="106"/>
        <v>Unknown</v>
      </c>
      <c r="AG987" t="str">
        <f t="shared" si="107"/>
        <v>No</v>
      </c>
      <c r="AH987" t="str">
        <f t="shared" si="108"/>
        <v>Google Search</v>
      </c>
      <c r="AJ987" t="str">
        <f t="shared" si="109"/>
        <v>Moderate Trust</v>
      </c>
      <c r="AL987">
        <f t="shared" si="110"/>
        <v>39.1</v>
      </c>
      <c r="AM987" t="str">
        <f t="shared" si="111"/>
        <v>Bachelors</v>
      </c>
    </row>
    <row r="988" spans="1:39" x14ac:dyDescent="0.25">
      <c r="A988" t="s">
        <v>61</v>
      </c>
      <c r="B988" t="s">
        <v>76</v>
      </c>
      <c r="C988">
        <v>81.39</v>
      </c>
      <c r="D988">
        <v>410</v>
      </c>
      <c r="E988" t="b">
        <v>1</v>
      </c>
      <c r="F988" t="b">
        <v>1</v>
      </c>
      <c r="G988" t="b">
        <v>0</v>
      </c>
      <c r="H988" t="s">
        <v>34</v>
      </c>
      <c r="I988" t="s">
        <v>57</v>
      </c>
      <c r="J988" t="s">
        <v>54</v>
      </c>
      <c r="K988" t="s">
        <v>28</v>
      </c>
      <c r="L988" t="s">
        <v>29</v>
      </c>
      <c r="M988" t="s">
        <v>46</v>
      </c>
      <c r="N988" t="s">
        <v>28</v>
      </c>
      <c r="P988" t="b">
        <v>0</v>
      </c>
      <c r="Q988">
        <v>9.1</v>
      </c>
      <c r="R988" t="b">
        <v>0</v>
      </c>
      <c r="T988">
        <v>0</v>
      </c>
      <c r="U988">
        <v>79.819999999999993</v>
      </c>
      <c r="V988" t="b">
        <v>1</v>
      </c>
      <c r="W988" t="s">
        <v>58</v>
      </c>
      <c r="AE988" t="str">
        <f t="shared" si="105"/>
        <v>Yes</v>
      </c>
      <c r="AF988" t="str">
        <f t="shared" si="106"/>
        <v>Low</v>
      </c>
      <c r="AG988" t="str">
        <f t="shared" si="107"/>
        <v>No</v>
      </c>
      <c r="AH988" t="str">
        <f t="shared" si="108"/>
        <v>Unknown</v>
      </c>
      <c r="AJ988" t="str">
        <f t="shared" si="109"/>
        <v>High Trust</v>
      </c>
      <c r="AL988">
        <f t="shared" si="110"/>
        <v>79.8</v>
      </c>
      <c r="AM988" t="str">
        <f t="shared" si="111"/>
        <v>Masters</v>
      </c>
    </row>
    <row r="989" spans="1:39" x14ac:dyDescent="0.25">
      <c r="A989" t="s">
        <v>23</v>
      </c>
      <c r="B989" t="s">
        <v>60</v>
      </c>
      <c r="C989">
        <v>51.91</v>
      </c>
      <c r="D989">
        <v>403</v>
      </c>
      <c r="E989" t="b">
        <v>1</v>
      </c>
      <c r="F989" t="b">
        <v>1</v>
      </c>
      <c r="G989" t="b">
        <v>1</v>
      </c>
      <c r="H989" t="s">
        <v>53</v>
      </c>
      <c r="I989" t="s">
        <v>63</v>
      </c>
      <c r="J989" t="s">
        <v>45</v>
      </c>
      <c r="K989" t="s">
        <v>46</v>
      </c>
      <c r="L989" t="s">
        <v>51</v>
      </c>
      <c r="M989" t="s">
        <v>47</v>
      </c>
      <c r="N989" t="s">
        <v>39</v>
      </c>
      <c r="O989" t="b">
        <v>0</v>
      </c>
      <c r="P989" t="b">
        <v>0</v>
      </c>
      <c r="Q989">
        <v>3.5</v>
      </c>
      <c r="R989" t="b">
        <v>0</v>
      </c>
      <c r="T989">
        <v>0</v>
      </c>
      <c r="U989">
        <v>43.51</v>
      </c>
      <c r="V989" t="b">
        <v>1</v>
      </c>
      <c r="W989" t="s">
        <v>41</v>
      </c>
      <c r="AE989" t="str">
        <f t="shared" si="105"/>
        <v>Yes</v>
      </c>
      <c r="AF989" t="str">
        <f t="shared" si="106"/>
        <v>High</v>
      </c>
      <c r="AG989" t="str">
        <f t="shared" si="107"/>
        <v>No</v>
      </c>
      <c r="AH989" t="str">
        <f t="shared" si="108"/>
        <v>Unknown</v>
      </c>
      <c r="AJ989" t="str">
        <f t="shared" si="109"/>
        <v>Moderate Trust</v>
      </c>
      <c r="AL989">
        <f t="shared" si="110"/>
        <v>43.5</v>
      </c>
      <c r="AM989" t="str">
        <f t="shared" si="111"/>
        <v>High School</v>
      </c>
    </row>
    <row r="990" spans="1:39" x14ac:dyDescent="0.25">
      <c r="A990" t="s">
        <v>32</v>
      </c>
      <c r="B990" t="s">
        <v>33</v>
      </c>
      <c r="C990">
        <v>78.8</v>
      </c>
      <c r="D990">
        <v>449</v>
      </c>
      <c r="E990" t="b">
        <v>1</v>
      </c>
      <c r="F990" t="b">
        <v>0</v>
      </c>
      <c r="G990" t="b">
        <v>0</v>
      </c>
      <c r="H990" t="s">
        <v>53</v>
      </c>
      <c r="I990" t="s">
        <v>63</v>
      </c>
      <c r="J990" t="s">
        <v>45</v>
      </c>
      <c r="K990" t="s">
        <v>37</v>
      </c>
      <c r="L990" t="s">
        <v>69</v>
      </c>
      <c r="M990" t="s">
        <v>28</v>
      </c>
      <c r="N990" t="s">
        <v>28</v>
      </c>
      <c r="O990" t="b">
        <v>1</v>
      </c>
      <c r="P990" t="b">
        <v>0</v>
      </c>
      <c r="Q990">
        <v>10</v>
      </c>
      <c r="R990" t="b">
        <v>0</v>
      </c>
      <c r="T990">
        <v>0</v>
      </c>
      <c r="U990">
        <v>84.44</v>
      </c>
      <c r="V990" t="b">
        <v>1</v>
      </c>
      <c r="W990" t="s">
        <v>58</v>
      </c>
      <c r="AE990" t="str">
        <f t="shared" si="105"/>
        <v>No</v>
      </c>
      <c r="AF990" t="str">
        <f t="shared" si="106"/>
        <v>Low</v>
      </c>
      <c r="AG990" t="str">
        <f t="shared" si="107"/>
        <v>Yes</v>
      </c>
      <c r="AH990" t="str">
        <f t="shared" si="108"/>
        <v>Unknown</v>
      </c>
      <c r="AJ990" t="str">
        <f t="shared" si="109"/>
        <v>High Trust</v>
      </c>
      <c r="AL990">
        <f t="shared" si="110"/>
        <v>84.4</v>
      </c>
      <c r="AM990" t="str">
        <f t="shared" si="111"/>
        <v>High School</v>
      </c>
    </row>
    <row r="991" spans="1:39" x14ac:dyDescent="0.25">
      <c r="A991" t="s">
        <v>56</v>
      </c>
      <c r="B991" t="s">
        <v>70</v>
      </c>
      <c r="C991">
        <v>74.349999999999994</v>
      </c>
      <c r="D991">
        <v>699</v>
      </c>
      <c r="E991" t="b">
        <v>0</v>
      </c>
      <c r="F991" t="b">
        <v>1</v>
      </c>
      <c r="G991" t="b">
        <v>1</v>
      </c>
      <c r="H991" t="s">
        <v>25</v>
      </c>
      <c r="I991" t="s">
        <v>57</v>
      </c>
      <c r="J991" t="s">
        <v>45</v>
      </c>
      <c r="K991" t="s">
        <v>46</v>
      </c>
      <c r="L991" t="s">
        <v>37</v>
      </c>
      <c r="M991" t="s">
        <v>46</v>
      </c>
      <c r="N991" t="s">
        <v>28</v>
      </c>
      <c r="O991" t="b">
        <v>0</v>
      </c>
      <c r="P991" t="b">
        <v>0</v>
      </c>
      <c r="Q991">
        <v>6.3</v>
      </c>
      <c r="R991" t="b">
        <v>1</v>
      </c>
      <c r="S991" t="s">
        <v>75</v>
      </c>
      <c r="T991">
        <v>13.5</v>
      </c>
      <c r="U991">
        <v>83.35</v>
      </c>
      <c r="V991" t="b">
        <v>0</v>
      </c>
      <c r="W991" t="s">
        <v>41</v>
      </c>
      <c r="AE991" t="str">
        <f t="shared" si="105"/>
        <v>Yes</v>
      </c>
      <c r="AF991" t="str">
        <f t="shared" si="106"/>
        <v>Low</v>
      </c>
      <c r="AG991" t="str">
        <f t="shared" si="107"/>
        <v>No</v>
      </c>
      <c r="AH991" t="str">
        <f t="shared" si="108"/>
        <v>Asked Colleague</v>
      </c>
      <c r="AJ991" t="str">
        <f t="shared" si="109"/>
        <v>Moderate Trust</v>
      </c>
      <c r="AL991">
        <f t="shared" si="110"/>
        <v>83.4</v>
      </c>
      <c r="AM991" t="str">
        <f t="shared" si="111"/>
        <v>High School</v>
      </c>
    </row>
    <row r="992" spans="1:39" x14ac:dyDescent="0.25">
      <c r="A992" t="s">
        <v>68</v>
      </c>
      <c r="B992" t="s">
        <v>59</v>
      </c>
      <c r="C992">
        <v>78.94</v>
      </c>
      <c r="D992">
        <v>705</v>
      </c>
      <c r="E992" t="b">
        <v>0</v>
      </c>
      <c r="F992" t="b">
        <v>1</v>
      </c>
      <c r="G992" t="b">
        <v>1</v>
      </c>
      <c r="H992" t="s">
        <v>53</v>
      </c>
      <c r="I992" t="s">
        <v>57</v>
      </c>
      <c r="J992" t="s">
        <v>45</v>
      </c>
      <c r="K992" t="s">
        <v>39</v>
      </c>
      <c r="L992" t="s">
        <v>51</v>
      </c>
      <c r="M992" t="s">
        <v>28</v>
      </c>
      <c r="O992" t="b">
        <v>0</v>
      </c>
      <c r="P992" t="b">
        <v>0</v>
      </c>
      <c r="Q992">
        <v>6.2</v>
      </c>
      <c r="R992" t="b">
        <v>1</v>
      </c>
      <c r="S992" t="s">
        <v>64</v>
      </c>
      <c r="T992">
        <v>41.6</v>
      </c>
      <c r="U992">
        <v>77.88</v>
      </c>
      <c r="V992" t="b">
        <v>1</v>
      </c>
      <c r="W992" t="s">
        <v>41</v>
      </c>
      <c r="AE992" t="str">
        <f t="shared" si="105"/>
        <v>Yes</v>
      </c>
      <c r="AF992" t="str">
        <f t="shared" si="106"/>
        <v>Unknown</v>
      </c>
      <c r="AG992" t="str">
        <f t="shared" si="107"/>
        <v>No</v>
      </c>
      <c r="AH992" t="str">
        <f t="shared" si="108"/>
        <v>Personal Testing</v>
      </c>
      <c r="AJ992" t="str">
        <f t="shared" si="109"/>
        <v>Moderate Trust</v>
      </c>
      <c r="AL992">
        <f t="shared" si="110"/>
        <v>77.900000000000006</v>
      </c>
      <c r="AM992" t="str">
        <f t="shared" si="111"/>
        <v>High School</v>
      </c>
    </row>
    <row r="993" spans="1:39" x14ac:dyDescent="0.25">
      <c r="A993" t="s">
        <v>56</v>
      </c>
      <c r="B993" t="s">
        <v>42</v>
      </c>
      <c r="C993">
        <v>79.53</v>
      </c>
      <c r="D993">
        <v>683</v>
      </c>
      <c r="E993" t="b">
        <v>0</v>
      </c>
      <c r="F993" t="b">
        <v>1</v>
      </c>
      <c r="G993" t="b">
        <v>0</v>
      </c>
      <c r="H993" t="s">
        <v>34</v>
      </c>
      <c r="I993" t="s">
        <v>63</v>
      </c>
      <c r="J993" t="s">
        <v>36</v>
      </c>
      <c r="K993" t="s">
        <v>39</v>
      </c>
      <c r="L993" t="s">
        <v>37</v>
      </c>
      <c r="M993" t="s">
        <v>39</v>
      </c>
      <c r="N993" t="s">
        <v>39</v>
      </c>
      <c r="O993" t="b">
        <v>0</v>
      </c>
      <c r="P993" t="b">
        <v>0</v>
      </c>
      <c r="Q993">
        <v>5.9</v>
      </c>
      <c r="R993" t="b">
        <v>1</v>
      </c>
      <c r="S993" t="s">
        <v>64</v>
      </c>
      <c r="T993">
        <v>44.6</v>
      </c>
      <c r="U993">
        <v>66.349999999999994</v>
      </c>
      <c r="V993" t="b">
        <v>1</v>
      </c>
      <c r="W993" t="s">
        <v>41</v>
      </c>
      <c r="AE993" t="str">
        <f t="shared" si="105"/>
        <v>Yes</v>
      </c>
      <c r="AF993" t="str">
        <f t="shared" si="106"/>
        <v>High</v>
      </c>
      <c r="AG993" t="str">
        <f t="shared" si="107"/>
        <v>No</v>
      </c>
      <c r="AH993" t="str">
        <f t="shared" si="108"/>
        <v>Personal Testing</v>
      </c>
      <c r="AJ993" t="str">
        <f t="shared" si="109"/>
        <v>Moderate Trust</v>
      </c>
      <c r="AL993">
        <f t="shared" si="110"/>
        <v>66.400000000000006</v>
      </c>
      <c r="AM993" t="str">
        <f t="shared" si="111"/>
        <v>PhD</v>
      </c>
    </row>
    <row r="994" spans="1:39" x14ac:dyDescent="0.25">
      <c r="A994" t="s">
        <v>61</v>
      </c>
      <c r="B994" t="s">
        <v>42</v>
      </c>
      <c r="C994">
        <v>67.78</v>
      </c>
      <c r="D994">
        <v>319</v>
      </c>
      <c r="E994" t="b">
        <v>1</v>
      </c>
      <c r="F994" t="b">
        <v>1</v>
      </c>
      <c r="G994" t="b">
        <v>0</v>
      </c>
      <c r="H994" t="s">
        <v>53</v>
      </c>
      <c r="I994" t="s">
        <v>57</v>
      </c>
      <c r="J994" t="s">
        <v>27</v>
      </c>
      <c r="K994" t="s">
        <v>39</v>
      </c>
      <c r="L994" t="s">
        <v>51</v>
      </c>
      <c r="M994" t="s">
        <v>47</v>
      </c>
      <c r="N994" t="s">
        <v>28</v>
      </c>
      <c r="O994" t="b">
        <v>0</v>
      </c>
      <c r="P994" t="b">
        <v>1</v>
      </c>
      <c r="Q994">
        <v>5.6</v>
      </c>
      <c r="R994" t="b">
        <v>1</v>
      </c>
      <c r="S994" t="s">
        <v>75</v>
      </c>
      <c r="T994">
        <v>8.1</v>
      </c>
      <c r="U994">
        <v>77.709999999999994</v>
      </c>
      <c r="V994" t="b">
        <v>0</v>
      </c>
      <c r="W994" t="s">
        <v>41</v>
      </c>
      <c r="AE994" t="str">
        <f t="shared" si="105"/>
        <v>Yes</v>
      </c>
      <c r="AF994" t="str">
        <f t="shared" si="106"/>
        <v>Low</v>
      </c>
      <c r="AG994" t="str">
        <f t="shared" si="107"/>
        <v>No</v>
      </c>
      <c r="AH994" t="str">
        <f t="shared" si="108"/>
        <v>Asked Colleague</v>
      </c>
      <c r="AJ994" t="str">
        <f t="shared" si="109"/>
        <v>Moderate Trust</v>
      </c>
      <c r="AL994">
        <f t="shared" si="110"/>
        <v>77.7</v>
      </c>
      <c r="AM994" t="str">
        <f t="shared" si="111"/>
        <v>Bachelors</v>
      </c>
    </row>
    <row r="995" spans="1:39" x14ac:dyDescent="0.25">
      <c r="A995" t="s">
        <v>61</v>
      </c>
      <c r="B995" t="s">
        <v>73</v>
      </c>
      <c r="C995">
        <v>63.87</v>
      </c>
      <c r="D995">
        <v>260</v>
      </c>
      <c r="E995" t="b">
        <v>0</v>
      </c>
      <c r="F995" t="b">
        <v>1</v>
      </c>
      <c r="G995" t="b">
        <v>1</v>
      </c>
      <c r="H995" t="s">
        <v>53</v>
      </c>
      <c r="I995" t="s">
        <v>26</v>
      </c>
      <c r="J995" t="s">
        <v>36</v>
      </c>
      <c r="K995" t="s">
        <v>39</v>
      </c>
      <c r="L995" t="s">
        <v>69</v>
      </c>
      <c r="M995" t="s">
        <v>46</v>
      </c>
      <c r="N995" t="s">
        <v>46</v>
      </c>
      <c r="P995" t="b">
        <v>0</v>
      </c>
      <c r="Q995">
        <v>6.8</v>
      </c>
      <c r="R995" t="b">
        <v>1</v>
      </c>
      <c r="S995" t="s">
        <v>40</v>
      </c>
      <c r="T995">
        <v>13.7</v>
      </c>
      <c r="U995">
        <v>69.94</v>
      </c>
      <c r="V995" t="b">
        <v>1</v>
      </c>
      <c r="W995" t="s">
        <v>41</v>
      </c>
      <c r="AE995" t="str">
        <f t="shared" si="105"/>
        <v>Yes</v>
      </c>
      <c r="AF995" t="str">
        <f t="shared" si="106"/>
        <v>Medium</v>
      </c>
      <c r="AG995" t="str">
        <f t="shared" si="107"/>
        <v>No</v>
      </c>
      <c r="AH995" t="str">
        <f t="shared" si="108"/>
        <v>Asked Expert</v>
      </c>
      <c r="AJ995" t="str">
        <f t="shared" si="109"/>
        <v>Moderate Trust</v>
      </c>
      <c r="AL995">
        <f t="shared" si="110"/>
        <v>69.900000000000006</v>
      </c>
      <c r="AM995" t="str">
        <f t="shared" si="111"/>
        <v>PhD</v>
      </c>
    </row>
    <row r="996" spans="1:39" x14ac:dyDescent="0.25">
      <c r="A996" t="s">
        <v>23</v>
      </c>
      <c r="B996" t="s">
        <v>71</v>
      </c>
      <c r="C996">
        <v>44.94</v>
      </c>
      <c r="D996">
        <v>728</v>
      </c>
      <c r="E996" t="b">
        <v>0</v>
      </c>
      <c r="F996" t="b">
        <v>1</v>
      </c>
      <c r="G996" t="b">
        <v>1</v>
      </c>
      <c r="H996" t="s">
        <v>53</v>
      </c>
      <c r="I996" t="s">
        <v>26</v>
      </c>
      <c r="J996" t="s">
        <v>50</v>
      </c>
      <c r="K996" t="s">
        <v>37</v>
      </c>
      <c r="L996" t="s">
        <v>69</v>
      </c>
      <c r="M996" t="s">
        <v>39</v>
      </c>
      <c r="N996" t="s">
        <v>28</v>
      </c>
      <c r="O996" t="b">
        <v>1</v>
      </c>
      <c r="P996" t="b">
        <v>0</v>
      </c>
      <c r="Q996">
        <v>6</v>
      </c>
      <c r="R996" t="b">
        <v>1</v>
      </c>
      <c r="S996" t="s">
        <v>75</v>
      </c>
      <c r="T996">
        <v>25</v>
      </c>
      <c r="U996">
        <v>33.200000000000003</v>
      </c>
      <c r="V996" t="b">
        <v>0</v>
      </c>
      <c r="W996" t="s">
        <v>41</v>
      </c>
      <c r="AE996" t="str">
        <f t="shared" si="105"/>
        <v>Yes</v>
      </c>
      <c r="AF996" t="str">
        <f t="shared" si="106"/>
        <v>Low</v>
      </c>
      <c r="AG996" t="str">
        <f t="shared" si="107"/>
        <v>Yes</v>
      </c>
      <c r="AH996" t="str">
        <f t="shared" si="108"/>
        <v>Asked Colleague</v>
      </c>
      <c r="AJ996" t="str">
        <f t="shared" si="109"/>
        <v>Moderate Trust</v>
      </c>
      <c r="AL996">
        <f t="shared" si="110"/>
        <v>33.200000000000003</v>
      </c>
      <c r="AM996" t="str">
        <f t="shared" si="111"/>
        <v>Professional</v>
      </c>
    </row>
    <row r="997" spans="1:39" x14ac:dyDescent="0.25">
      <c r="A997" t="s">
        <v>68</v>
      </c>
      <c r="B997" t="s">
        <v>24</v>
      </c>
      <c r="C997">
        <v>94.09</v>
      </c>
      <c r="D997">
        <v>661</v>
      </c>
      <c r="E997" t="b">
        <v>1</v>
      </c>
      <c r="F997" t="b">
        <v>1</v>
      </c>
      <c r="G997" t="b">
        <v>0</v>
      </c>
      <c r="H997" t="s">
        <v>34</v>
      </c>
      <c r="I997" t="s">
        <v>44</v>
      </c>
      <c r="J997" t="s">
        <v>54</v>
      </c>
      <c r="K997" t="s">
        <v>46</v>
      </c>
      <c r="L997" t="s">
        <v>69</v>
      </c>
      <c r="M997" t="s">
        <v>28</v>
      </c>
      <c r="N997" t="s">
        <v>39</v>
      </c>
      <c r="O997" t="b">
        <v>1</v>
      </c>
      <c r="P997" t="b">
        <v>1</v>
      </c>
      <c r="Q997">
        <v>10</v>
      </c>
      <c r="R997" t="b">
        <v>0</v>
      </c>
      <c r="T997">
        <v>0</v>
      </c>
      <c r="U997">
        <v>95.33</v>
      </c>
      <c r="V997" t="b">
        <v>1</v>
      </c>
      <c r="W997" t="s">
        <v>58</v>
      </c>
      <c r="AE997" t="str">
        <f t="shared" si="105"/>
        <v>Yes</v>
      </c>
      <c r="AF997" t="str">
        <f t="shared" si="106"/>
        <v>High</v>
      </c>
      <c r="AG997" t="str">
        <f t="shared" si="107"/>
        <v>Yes</v>
      </c>
      <c r="AH997" t="str">
        <f t="shared" si="108"/>
        <v>Unknown</v>
      </c>
      <c r="AJ997" t="str">
        <f t="shared" si="109"/>
        <v>High Trust</v>
      </c>
      <c r="AL997">
        <f t="shared" si="110"/>
        <v>95.3</v>
      </c>
      <c r="AM997" t="str">
        <f t="shared" si="111"/>
        <v>Masters</v>
      </c>
    </row>
    <row r="998" spans="1:39" x14ac:dyDescent="0.25">
      <c r="A998" t="s">
        <v>32</v>
      </c>
      <c r="B998" t="s">
        <v>60</v>
      </c>
      <c r="C998">
        <v>62.6</v>
      </c>
      <c r="D998">
        <v>384</v>
      </c>
      <c r="E998" t="b">
        <v>1</v>
      </c>
      <c r="F998" t="b">
        <v>0</v>
      </c>
      <c r="G998" t="b">
        <v>0</v>
      </c>
      <c r="H998" t="s">
        <v>53</v>
      </c>
      <c r="I998" t="s">
        <v>63</v>
      </c>
      <c r="J998" t="s">
        <v>54</v>
      </c>
      <c r="K998" t="s">
        <v>37</v>
      </c>
      <c r="L998" t="s">
        <v>51</v>
      </c>
      <c r="M998" t="s">
        <v>39</v>
      </c>
      <c r="N998" t="s">
        <v>39</v>
      </c>
      <c r="O998" t="b">
        <v>1</v>
      </c>
      <c r="P998" t="b">
        <v>0</v>
      </c>
      <c r="Q998">
        <v>8.4</v>
      </c>
      <c r="R998" t="b">
        <v>0</v>
      </c>
      <c r="T998">
        <v>0</v>
      </c>
      <c r="U998">
        <v>68.180000000000007</v>
      </c>
      <c r="V998" t="b">
        <v>1</v>
      </c>
      <c r="W998" t="s">
        <v>58</v>
      </c>
      <c r="AE998" t="str">
        <f t="shared" si="105"/>
        <v>No</v>
      </c>
      <c r="AF998" t="str">
        <f t="shared" si="106"/>
        <v>High</v>
      </c>
      <c r="AG998" t="str">
        <f t="shared" si="107"/>
        <v>Yes</v>
      </c>
      <c r="AH998" t="str">
        <f t="shared" si="108"/>
        <v>Unknown</v>
      </c>
      <c r="AJ998" t="str">
        <f t="shared" si="109"/>
        <v>High Trust</v>
      </c>
      <c r="AL998">
        <f t="shared" si="110"/>
        <v>68.2</v>
      </c>
      <c r="AM998" t="str">
        <f t="shared" si="111"/>
        <v>Masters</v>
      </c>
    </row>
    <row r="999" spans="1:39" x14ac:dyDescent="0.25">
      <c r="A999" t="s">
        <v>23</v>
      </c>
      <c r="B999" t="s">
        <v>59</v>
      </c>
      <c r="C999">
        <v>77.38</v>
      </c>
      <c r="D999">
        <v>166</v>
      </c>
      <c r="E999" t="b">
        <v>1</v>
      </c>
      <c r="F999" t="b">
        <v>1</v>
      </c>
      <c r="G999" t="b">
        <v>0</v>
      </c>
      <c r="H999" t="s">
        <v>34</v>
      </c>
      <c r="I999" t="s">
        <v>44</v>
      </c>
      <c r="J999" t="s">
        <v>45</v>
      </c>
      <c r="K999" t="s">
        <v>46</v>
      </c>
      <c r="L999" t="s">
        <v>51</v>
      </c>
      <c r="M999" t="s">
        <v>39</v>
      </c>
      <c r="O999" t="b">
        <v>1</v>
      </c>
      <c r="P999" t="b">
        <v>1</v>
      </c>
      <c r="Q999">
        <v>10</v>
      </c>
      <c r="R999" t="b">
        <v>1</v>
      </c>
      <c r="S999" t="s">
        <v>65</v>
      </c>
      <c r="T999">
        <v>23.3</v>
      </c>
      <c r="U999">
        <v>92.14</v>
      </c>
      <c r="V999" t="b">
        <v>1</v>
      </c>
      <c r="W999" t="s">
        <v>31</v>
      </c>
      <c r="AE999" t="str">
        <f t="shared" si="105"/>
        <v>Yes</v>
      </c>
      <c r="AF999" t="str">
        <f t="shared" si="106"/>
        <v>Unknown</v>
      </c>
      <c r="AG999" t="str">
        <f t="shared" si="107"/>
        <v>Yes</v>
      </c>
      <c r="AH999" t="str">
        <f t="shared" si="108"/>
        <v>Cross-referenced Multiple AIs</v>
      </c>
      <c r="AJ999" t="str">
        <f t="shared" si="109"/>
        <v>High Trust</v>
      </c>
      <c r="AL999">
        <f t="shared" si="110"/>
        <v>92.1</v>
      </c>
      <c r="AM999" t="str">
        <f t="shared" si="111"/>
        <v>High School</v>
      </c>
    </row>
    <row r="1000" spans="1:39" x14ac:dyDescent="0.25">
      <c r="A1000" t="s">
        <v>61</v>
      </c>
      <c r="B1000" t="s">
        <v>24</v>
      </c>
      <c r="C1000">
        <v>98.61</v>
      </c>
      <c r="D1000">
        <v>71</v>
      </c>
      <c r="E1000" t="b">
        <v>0</v>
      </c>
      <c r="F1000" t="b">
        <v>1</v>
      </c>
      <c r="G1000" t="b">
        <v>0</v>
      </c>
      <c r="H1000" t="s">
        <v>43</v>
      </c>
      <c r="I1000" t="s">
        <v>67</v>
      </c>
      <c r="J1000" t="s">
        <v>45</v>
      </c>
      <c r="K1000" t="s">
        <v>28</v>
      </c>
      <c r="L1000" t="s">
        <v>37</v>
      </c>
      <c r="M1000" t="s">
        <v>39</v>
      </c>
      <c r="O1000" t="b">
        <v>0</v>
      </c>
      <c r="P1000" t="b">
        <v>0</v>
      </c>
      <c r="Q1000">
        <v>8.6</v>
      </c>
      <c r="R1000" t="b">
        <v>1</v>
      </c>
      <c r="S1000" t="s">
        <v>40</v>
      </c>
      <c r="T1000">
        <v>43.3</v>
      </c>
      <c r="U1000">
        <v>100</v>
      </c>
      <c r="V1000" t="b">
        <v>1</v>
      </c>
      <c r="W1000" t="s">
        <v>31</v>
      </c>
      <c r="AE1000" t="str">
        <f t="shared" si="105"/>
        <v>Yes</v>
      </c>
      <c r="AF1000" t="str">
        <f t="shared" si="106"/>
        <v>Unknown</v>
      </c>
      <c r="AG1000" t="str">
        <f t="shared" si="107"/>
        <v>No</v>
      </c>
      <c r="AH1000" t="str">
        <f t="shared" si="108"/>
        <v>Asked Expert</v>
      </c>
      <c r="AJ1000" t="str">
        <f t="shared" si="109"/>
        <v>High Trust</v>
      </c>
      <c r="AL1000">
        <f t="shared" si="110"/>
        <v>100</v>
      </c>
      <c r="AM1000" t="str">
        <f t="shared" si="111"/>
        <v>High School</v>
      </c>
    </row>
    <row r="1001" spans="1:39" x14ac:dyDescent="0.25">
      <c r="A1001" t="s">
        <v>32</v>
      </c>
      <c r="B1001" t="s">
        <v>71</v>
      </c>
      <c r="C1001">
        <v>55.61</v>
      </c>
      <c r="D1001">
        <v>123</v>
      </c>
      <c r="E1001" t="b">
        <v>1</v>
      </c>
      <c r="F1001" t="b">
        <v>1</v>
      </c>
      <c r="G1001" t="b">
        <v>0</v>
      </c>
      <c r="H1001" t="s">
        <v>53</v>
      </c>
      <c r="I1001" t="s">
        <v>67</v>
      </c>
      <c r="J1001" t="s">
        <v>36</v>
      </c>
      <c r="K1001" t="s">
        <v>37</v>
      </c>
      <c r="L1001" t="s">
        <v>29</v>
      </c>
      <c r="M1001" t="s">
        <v>39</v>
      </c>
      <c r="N1001" t="s">
        <v>46</v>
      </c>
      <c r="O1001" t="b">
        <v>0</v>
      </c>
      <c r="P1001" t="b">
        <v>1</v>
      </c>
      <c r="Q1001">
        <v>5</v>
      </c>
      <c r="R1001" t="b">
        <v>1</v>
      </c>
      <c r="S1001" t="s">
        <v>64</v>
      </c>
      <c r="T1001">
        <v>44</v>
      </c>
      <c r="U1001">
        <v>57.1</v>
      </c>
      <c r="V1001" t="b">
        <v>1</v>
      </c>
      <c r="W1001" t="s">
        <v>41</v>
      </c>
      <c r="AE1001" t="str">
        <f t="shared" si="105"/>
        <v>Yes</v>
      </c>
      <c r="AF1001" t="str">
        <f t="shared" si="106"/>
        <v>Medium</v>
      </c>
      <c r="AG1001" t="str">
        <f t="shared" si="107"/>
        <v>No</v>
      </c>
      <c r="AH1001" t="str">
        <f t="shared" si="108"/>
        <v>Personal Testing</v>
      </c>
      <c r="AJ1001" t="str">
        <f>IF(Q1001&gt;=8,"High Trust",
IF(Q1002&gt;=5,"Moderate Trust","Low Trust"))</f>
        <v>Low Trust</v>
      </c>
      <c r="AL1001">
        <f t="shared" si="110"/>
        <v>57.1</v>
      </c>
      <c r="AM1001" t="str">
        <f t="shared" si="111"/>
        <v>PhD</v>
      </c>
    </row>
  </sheetData>
  <pageMargins left="0.75" right="0.75" top="1" bottom="1" header="0.5" footer="0.5"/>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zoomScale="112" zoomScaleNormal="69" workbookViewId="0">
      <selection activeCell="D7" sqref="D7"/>
    </sheetView>
  </sheetViews>
  <sheetFormatPr defaultRowHeight="15" x14ac:dyDescent="0.25"/>
  <cols>
    <col min="1" max="1" width="23.85546875" bestFit="1" customWidth="1"/>
    <col min="2" max="2" width="25" bestFit="1" customWidth="1"/>
  </cols>
  <sheetData>
    <row r="1" spans="1:6" x14ac:dyDescent="0.25">
      <c r="A1" s="1" t="s">
        <v>77</v>
      </c>
      <c r="B1" s="1" t="s">
        <v>78</v>
      </c>
      <c r="F1" s="3" t="s">
        <v>98</v>
      </c>
    </row>
    <row r="2" spans="1:6" x14ac:dyDescent="0.25">
      <c r="A2" s="10" t="s">
        <v>79</v>
      </c>
      <c r="B2" s="10">
        <f>COUNTA(Clean_Data!A:A)-1</f>
        <v>1000</v>
      </c>
      <c r="F2">
        <f>AVERAGEIF(Clean_Data!A2,"Claude",Clean_Data!Q2)</f>
        <v>10</v>
      </c>
    </row>
    <row r="3" spans="1:6" x14ac:dyDescent="0.25">
      <c r="A3" s="10" t="s">
        <v>80</v>
      </c>
      <c r="B3" s="10">
        <f>AVERAGE(Clean_Data!Q:Q)</f>
        <v>7.9050000000000047</v>
      </c>
    </row>
    <row r="4" spans="1:6" x14ac:dyDescent="0.25">
      <c r="A4" s="10" t="s">
        <v>81</v>
      </c>
      <c r="B4" s="10">
        <f>AVERAGE(Clean_Data!U:U)</f>
        <v>69.982020000000148</v>
      </c>
    </row>
    <row r="5" spans="1:6" x14ac:dyDescent="0.25">
      <c r="A5" s="10" t="s">
        <v>82</v>
      </c>
      <c r="B5" s="10">
        <f>AVERAGEIF(Clean_Data!R:R,TRUE,Clean_Data!Q:Q)</f>
        <v>7.5257961783439491</v>
      </c>
    </row>
    <row r="6" spans="1:6" x14ac:dyDescent="0.25">
      <c r="A6" s="10" t="s">
        <v>83</v>
      </c>
      <c r="B6" s="10">
        <f>AVERAGEIF(Clean_Data!R:R,FALSE,Clean_Data!Q:Q)</f>
        <v>8.545161290322584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election activeCell="A3" sqref="A3"/>
    </sheetView>
  </sheetViews>
  <sheetFormatPr defaultRowHeight="15" x14ac:dyDescent="0.25"/>
  <cols>
    <col min="1" max="1" width="17" customWidth="1"/>
    <col min="2" max="2" width="14" customWidth="1"/>
  </cols>
  <sheetData>
    <row r="1" spans="1:8" x14ac:dyDescent="0.25">
      <c r="A1" s="1" t="s">
        <v>84</v>
      </c>
      <c r="B1" s="1" t="s">
        <v>85</v>
      </c>
      <c r="D1" s="2" t="s">
        <v>95</v>
      </c>
      <c r="G1" s="2" t="s">
        <v>97</v>
      </c>
    </row>
    <row r="2" spans="1:8" x14ac:dyDescent="0.25">
      <c r="A2" t="s">
        <v>45</v>
      </c>
      <c r="B2">
        <v>1</v>
      </c>
      <c r="E2">
        <f>VLOOKUP(A2, Lookups!$A$2:$B$5,2,FALSE)</f>
        <v>1</v>
      </c>
      <c r="H2">
        <f>LOOKUP(A2, A2:A5, B2:B5)</f>
        <v>2</v>
      </c>
    </row>
    <row r="3" spans="1:8" x14ac:dyDescent="0.25">
      <c r="A3" t="s">
        <v>27</v>
      </c>
      <c r="B3">
        <v>2</v>
      </c>
      <c r="E3">
        <f>VLOOKUP(A3, Lookups!$A$2:$B$5,2,FALSE)</f>
        <v>2</v>
      </c>
    </row>
    <row r="4" spans="1:8" x14ac:dyDescent="0.25">
      <c r="A4" t="s">
        <v>54</v>
      </c>
      <c r="B4">
        <v>3</v>
      </c>
      <c r="E4">
        <f>VLOOKUP(A4, Lookups!$A$2:$B$5,2,FALSE)</f>
        <v>3</v>
      </c>
    </row>
    <row r="5" spans="1:8" x14ac:dyDescent="0.25">
      <c r="A5" t="s">
        <v>36</v>
      </c>
      <c r="B5">
        <v>4</v>
      </c>
      <c r="E5">
        <f>VLOOKUP(A5, Lookups!$A$2:$B$5,2,FALSE)</f>
        <v>4</v>
      </c>
      <c r="G5" s="2" t="s">
        <v>99</v>
      </c>
    </row>
    <row r="6" spans="1:8" x14ac:dyDescent="0.25">
      <c r="H6">
        <f>INDEX(Lookups!B2:B5,3)</f>
        <v>3</v>
      </c>
    </row>
    <row r="8" spans="1:8" x14ac:dyDescent="0.25">
      <c r="G8" s="2" t="s">
        <v>100</v>
      </c>
    </row>
    <row r="9" spans="1:8" x14ac:dyDescent="0.25">
      <c r="H9" t="str">
        <f>IFERROR(
INDEX(Lookups!B2:B5,
MATCH(E2,Lookups!A2:A5,0)),
"Not Found")</f>
        <v>Not Found</v>
      </c>
    </row>
    <row r="11" spans="1:8" x14ac:dyDescent="0.25">
      <c r="A11" s="1" t="s">
        <v>84</v>
      </c>
      <c r="B11" t="s">
        <v>45</v>
      </c>
      <c r="C11" t="s">
        <v>27</v>
      </c>
      <c r="D11" t="s">
        <v>54</v>
      </c>
      <c r="E11" t="s">
        <v>36</v>
      </c>
    </row>
    <row r="12" spans="1:8" x14ac:dyDescent="0.25">
      <c r="A12" s="1" t="s">
        <v>85</v>
      </c>
      <c r="B12">
        <v>1</v>
      </c>
      <c r="C12">
        <v>2</v>
      </c>
      <c r="D12">
        <v>3</v>
      </c>
      <c r="E12">
        <v>4</v>
      </c>
    </row>
    <row r="14" spans="1:8" x14ac:dyDescent="0.25">
      <c r="A14" s="2" t="s">
        <v>96</v>
      </c>
      <c r="B14">
        <f>HLOOKUP(D11, B11:E12, 2, FALSE)</f>
        <v>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election activeCell="C16" sqref="C16"/>
    </sheetView>
  </sheetViews>
  <sheetFormatPr defaultRowHeight="15" x14ac:dyDescent="0.25"/>
  <cols>
    <col min="1" max="1" width="13" customWidth="1"/>
    <col min="2" max="3" width="19" customWidth="1"/>
  </cols>
  <sheetData>
    <row r="1" spans="1:3" x14ac:dyDescent="0.25">
      <c r="A1" s="1" t="s">
        <v>86</v>
      </c>
      <c r="B1" s="1" t="s">
        <v>87</v>
      </c>
      <c r="C1" s="1" t="s">
        <v>88</v>
      </c>
    </row>
    <row r="2" spans="1:3" x14ac:dyDescent="0.25">
      <c r="A2" t="s">
        <v>61</v>
      </c>
      <c r="B2" s="5">
        <f>AVERAGEIF(Clean_Data!$A:$A,A2,Clean_Data!$Q:$Q)</f>
        <v>7.6549999999999985</v>
      </c>
      <c r="C2" s="4">
        <f>AVERAGEIF(Clean_Data!$A:$A,A2,Clean_Data!$U:$U)</f>
        <v>69.400062500000004</v>
      </c>
    </row>
    <row r="3" spans="1:3" x14ac:dyDescent="0.25">
      <c r="A3" t="s">
        <v>23</v>
      </c>
      <c r="B3" s="5">
        <f>AVERAGEIF(Clean_Data!$A:$A,A3,Clean_Data!$Q:$Q)</f>
        <v>8.1467836257309969</v>
      </c>
      <c r="C3" s="4">
        <f>AVERAGEIF(Clean_Data!$A:$A,A3,Clean_Data!$U:$U)</f>
        <v>70.712865497076024</v>
      </c>
    </row>
    <row r="4" spans="1:3" x14ac:dyDescent="0.25">
      <c r="A4" t="s">
        <v>74</v>
      </c>
      <c r="B4" s="5">
        <f>AVERAGEIF(Clean_Data!$A:$A,A4,Clean_Data!$Q:$Q)</f>
        <v>8.1358974358974372</v>
      </c>
      <c r="C4" s="4">
        <f>AVERAGEIF(Clean_Data!$A:$A,A4,Clean_Data!$U:$U)</f>
        <v>71.203717948717966</v>
      </c>
    </row>
    <row r="5" spans="1:3" x14ac:dyDescent="0.25">
      <c r="A5" t="s">
        <v>68</v>
      </c>
      <c r="B5" s="5">
        <f>AVERAGEIF(Clean_Data!$A:$A,A5,Clean_Data!$Q:$Q)</f>
        <v>7.7915789473684187</v>
      </c>
      <c r="C5" s="4">
        <f>AVERAGEIF(Clean_Data!$A:$A,A5,Clean_Data!$U:$U)</f>
        <v>69.306263157894691</v>
      </c>
    </row>
    <row r="6" spans="1:3" x14ac:dyDescent="0.25">
      <c r="A6" t="s">
        <v>32</v>
      </c>
      <c r="B6" s="5">
        <f>AVERAGEIF(Clean_Data!$A:$A,A6,Clean_Data!$Q:$Q)</f>
        <v>7.7715151515151524</v>
      </c>
      <c r="C6" s="4">
        <f>AVERAGEIF(Clean_Data!$A:$A,A6,Clean_Data!$U:$U)</f>
        <v>68.508121212121196</v>
      </c>
    </row>
    <row r="7" spans="1:3" x14ac:dyDescent="0.25">
      <c r="A7" t="s">
        <v>56</v>
      </c>
      <c r="B7" s="5">
        <f>AVERAGEIF(Clean_Data!$A:$A,A7,Clean_Data!$Q:$Q)</f>
        <v>7.9443037974683559</v>
      </c>
      <c r="C7" s="4">
        <f>AVERAGEIF(Clean_Data!$A:$A,A7,Clean_Data!$U:$U)</f>
        <v>70.925949367088592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workbookViewId="0">
      <selection activeCell="E12" sqref="E12"/>
    </sheetView>
  </sheetViews>
  <sheetFormatPr defaultRowHeight="15" x14ac:dyDescent="0.25"/>
  <cols>
    <col min="1" max="1" width="22" customWidth="1"/>
    <col min="2" max="2" width="19" customWidth="1"/>
  </cols>
  <sheetData>
    <row r="1" spans="1:2" x14ac:dyDescent="0.25">
      <c r="A1" s="1" t="s">
        <v>89</v>
      </c>
      <c r="B1" s="1" t="s">
        <v>87</v>
      </c>
    </row>
    <row r="2" spans="1:2" x14ac:dyDescent="0.25">
      <c r="A2" t="b">
        <v>0</v>
      </c>
      <c r="B2">
        <f>AVERAGEIF(Clean_Data!R:R,FALSE,Clean_Data!Q:Q)</f>
        <v>8.545161290322584</v>
      </c>
    </row>
    <row r="3" spans="1:2" x14ac:dyDescent="0.25">
      <c r="A3" t="b">
        <v>1</v>
      </c>
      <c r="B3">
        <v>7.5257961783439491</v>
      </c>
    </row>
    <row r="11" spans="1:2" x14ac:dyDescent="0.25">
      <c r="A11" s="1" t="s">
        <v>84</v>
      </c>
      <c r="B11" s="1" t="s">
        <v>87</v>
      </c>
    </row>
    <row r="12" spans="1:2" x14ac:dyDescent="0.25">
      <c r="A12" t="s">
        <v>27</v>
      </c>
      <c r="B12">
        <f>AVERAGEIF(Clean_Data!AM:AM,A12,Clean_Data!Q:Q)</f>
        <v>8.0492307692307694</v>
      </c>
    </row>
    <row r="13" spans="1:2" x14ac:dyDescent="0.25">
      <c r="A13" t="s">
        <v>45</v>
      </c>
      <c r="B13">
        <f>AVERAGEIF(Clean_Data!AM:AM,A13,Clean_Data!Q:Q)</f>
        <v>7.8938775510204104</v>
      </c>
    </row>
    <row r="14" spans="1:2" x14ac:dyDescent="0.25">
      <c r="A14" t="s">
        <v>54</v>
      </c>
      <c r="B14">
        <f>AVERAGEIF(Clean_Data!AM:AM,A14,Clean_Data!Q:Q)</f>
        <v>7.8153465346534654</v>
      </c>
    </row>
    <row r="15" spans="1:2" x14ac:dyDescent="0.25">
      <c r="A15" t="s">
        <v>36</v>
      </c>
      <c r="B15">
        <f>AVERAGEIF(Clean_Data!AM:AM,A15,Clean_Data!Q:Q)</f>
        <v>7.8912844036697232</v>
      </c>
    </row>
    <row r="16" spans="1:2" x14ac:dyDescent="0.25">
      <c r="A16" t="s">
        <v>50</v>
      </c>
      <c r="B16">
        <f>AVERAGEIF(Clean_Data!AM:AM,A16,Clean_Data!Q:Q)</f>
        <v>7.8793650793650771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012A-1F46-4011-926F-337ECB54C8B2}">
  <dimension ref="B3:K22"/>
  <sheetViews>
    <sheetView zoomScale="61" workbookViewId="0">
      <selection activeCell="I31" sqref="I31"/>
    </sheetView>
  </sheetViews>
  <sheetFormatPr defaultRowHeight="15" x14ac:dyDescent="0.25"/>
  <cols>
    <col min="2" max="2" width="13.140625" bestFit="1" customWidth="1"/>
    <col min="3" max="3" width="12" bestFit="1" customWidth="1"/>
    <col min="4" max="4" width="12.42578125" bestFit="1" customWidth="1"/>
    <col min="8" max="8" width="13.140625" bestFit="1" customWidth="1"/>
    <col min="9" max="9" width="12" bestFit="1" customWidth="1"/>
  </cols>
  <sheetData>
    <row r="3" spans="2:9" x14ac:dyDescent="0.25">
      <c r="B3" s="7" t="s">
        <v>104</v>
      </c>
      <c r="C3" t="s">
        <v>102</v>
      </c>
      <c r="D3" t="s">
        <v>103</v>
      </c>
    </row>
    <row r="4" spans="2:9" x14ac:dyDescent="0.25">
      <c r="B4" s="8" t="s">
        <v>61</v>
      </c>
      <c r="C4" s="9">
        <v>7.6549999999999994</v>
      </c>
      <c r="D4" s="9">
        <v>69.400062500000004</v>
      </c>
    </row>
    <row r="5" spans="2:9" x14ac:dyDescent="0.25">
      <c r="B5" s="8" t="s">
        <v>23</v>
      </c>
      <c r="C5" s="9">
        <v>8.1467836257309934</v>
      </c>
      <c r="D5" s="9">
        <v>70.712865497076024</v>
      </c>
    </row>
    <row r="6" spans="2:9" x14ac:dyDescent="0.25">
      <c r="B6" s="8" t="s">
        <v>68</v>
      </c>
      <c r="C6" s="9">
        <v>7.7915789473684214</v>
      </c>
      <c r="D6" s="9">
        <v>69.306263157894733</v>
      </c>
    </row>
    <row r="7" spans="2:9" x14ac:dyDescent="0.25">
      <c r="B7" s="8" t="s">
        <v>74</v>
      </c>
      <c r="C7" s="9">
        <v>8.1358974358974354</v>
      </c>
      <c r="D7" s="9">
        <v>71.203717948717951</v>
      </c>
    </row>
    <row r="8" spans="2:9" x14ac:dyDescent="0.25">
      <c r="B8" s="8" t="s">
        <v>32</v>
      </c>
      <c r="C8" s="9">
        <v>7.7715151515151515</v>
      </c>
      <c r="D8" s="9">
        <v>68.50812121212121</v>
      </c>
    </row>
    <row r="9" spans="2:9" x14ac:dyDescent="0.25">
      <c r="B9" s="8" t="s">
        <v>56</v>
      </c>
      <c r="C9" s="9">
        <v>7.944303797468355</v>
      </c>
      <c r="D9" s="9">
        <v>70.925949367088606</v>
      </c>
      <c r="H9" s="7" t="s">
        <v>104</v>
      </c>
      <c r="I9" t="s">
        <v>102</v>
      </c>
    </row>
    <row r="10" spans="2:9" x14ac:dyDescent="0.25">
      <c r="B10" s="8" t="s">
        <v>105</v>
      </c>
      <c r="C10" s="9">
        <v>7.9050000000000002</v>
      </c>
      <c r="D10" s="9">
        <v>69.982020000000006</v>
      </c>
      <c r="H10" s="8" t="s">
        <v>45</v>
      </c>
      <c r="I10" s="9">
        <v>7.8938775510204087</v>
      </c>
    </row>
    <row r="11" spans="2:9" x14ac:dyDescent="0.25">
      <c r="H11" s="8" t="s">
        <v>27</v>
      </c>
      <c r="I11" s="9">
        <v>8.0492307692307694</v>
      </c>
    </row>
    <row r="12" spans="2:9" x14ac:dyDescent="0.25">
      <c r="H12" s="8" t="s">
        <v>54</v>
      </c>
      <c r="I12" s="9">
        <v>7.8153465346534654</v>
      </c>
    </row>
    <row r="13" spans="2:9" x14ac:dyDescent="0.25">
      <c r="H13" s="8" t="s">
        <v>36</v>
      </c>
      <c r="I13" s="9">
        <v>7.8912844036697249</v>
      </c>
    </row>
    <row r="14" spans="2:9" x14ac:dyDescent="0.25">
      <c r="H14" s="8" t="s">
        <v>50</v>
      </c>
      <c r="I14" s="9">
        <v>7.8793650793650798</v>
      </c>
    </row>
    <row r="15" spans="2:9" x14ac:dyDescent="0.25">
      <c r="H15" s="8" t="s">
        <v>105</v>
      </c>
      <c r="I15" s="9">
        <v>7.9050000000000002</v>
      </c>
    </row>
    <row r="16" spans="2:9" x14ac:dyDescent="0.25">
      <c r="B16" s="7" t="s">
        <v>104</v>
      </c>
      <c r="C16" t="s">
        <v>102</v>
      </c>
    </row>
    <row r="17" spans="2:11" x14ac:dyDescent="0.25">
      <c r="B17" s="8" t="s">
        <v>106</v>
      </c>
      <c r="C17" s="9">
        <v>8.5451612903225804</v>
      </c>
    </row>
    <row r="18" spans="2:11" x14ac:dyDescent="0.25">
      <c r="B18" s="8" t="s">
        <v>107</v>
      </c>
      <c r="C18" s="9">
        <v>7.5257961783439491</v>
      </c>
    </row>
    <row r="19" spans="2:11" x14ac:dyDescent="0.25">
      <c r="B19" s="8" t="s">
        <v>105</v>
      </c>
      <c r="C19" s="9">
        <v>7.9050000000000002</v>
      </c>
    </row>
    <row r="22" spans="2:11" x14ac:dyDescent="0.25">
      <c r="K22" t="s">
        <v>108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7D6C-91B2-4104-8D2A-30FE0BE25DEB}">
  <dimension ref="A1"/>
  <sheetViews>
    <sheetView tabSelected="1" zoomScale="73" workbookViewId="0">
      <selection activeCell="W16" sqref="W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E1398E9-F424-4EEA-8830-8190B89BB469}">
  <ds:schemaRefs/>
</ds:datastoreItem>
</file>

<file path=customXml/itemProps2.xml><?xml version="1.0" encoding="utf-8"?>
<ds:datastoreItem xmlns:ds="http://schemas.openxmlformats.org/officeDocument/2006/customXml" ds:itemID="{6687B029-BFDB-44BB-8340-7ECCB18681EC}">
  <ds:schemaRefs/>
</ds:datastoreItem>
</file>

<file path=customXml/itemProps3.xml><?xml version="1.0" encoding="utf-8"?>
<ds:datastoreItem xmlns:ds="http://schemas.openxmlformats.org/officeDocument/2006/customXml" ds:itemID="{6BD46DA4-18AB-462D-A897-FD76D04DD585}">
  <ds:schemaRefs/>
</ds:datastoreItem>
</file>

<file path=customXml/itemProps4.xml><?xml version="1.0" encoding="utf-8"?>
<ds:datastoreItem xmlns:ds="http://schemas.openxmlformats.org/officeDocument/2006/customXml" ds:itemID="{770AD36E-5D84-4D54-AF86-2034ACBCB1A6}">
  <ds:schemaRefs/>
</ds:datastoreItem>
</file>

<file path=customXml/itemProps5.xml><?xml version="1.0" encoding="utf-8"?>
<ds:datastoreItem xmlns:ds="http://schemas.openxmlformats.org/officeDocument/2006/customXml" ds:itemID="{64A89933-1E0E-44E2-884E-1B2BE330ADA4}">
  <ds:schemaRefs/>
</ds:datastoreItem>
</file>

<file path=customXml/itemProps6.xml><?xml version="1.0" encoding="utf-8"?>
<ds:datastoreItem xmlns:ds="http://schemas.openxmlformats.org/officeDocument/2006/customXml" ds:itemID="{FC67E1D5-6327-4C26-991A-10463A0069C4}">
  <ds:schemaRefs/>
</ds:datastoreItem>
</file>

<file path=customXml/itemProps7.xml><?xml version="1.0" encoding="utf-8"?>
<ds:datastoreItem xmlns:ds="http://schemas.openxmlformats.org/officeDocument/2006/customXml" ds:itemID="{E0A905D5-87B2-4620-8593-DC92B5F3FD80}">
  <ds:schemaRefs/>
</ds:datastoreItem>
</file>

<file path=customXml/itemProps8.xml><?xml version="1.0" encoding="utf-8"?>
<ds:datastoreItem xmlns:ds="http://schemas.openxmlformats.org/officeDocument/2006/customXml" ds:itemID="{2DD757A0-5C4E-4C67-AE8E-F0CFFE61CD27}">
  <ds:schemaRefs/>
</ds:datastoreItem>
</file>

<file path=customXml/itemProps9.xml><?xml version="1.0" encoding="utf-8"?>
<ds:datastoreItem xmlns:ds="http://schemas.openxmlformats.org/officeDocument/2006/customXml" ds:itemID="{48DFAEC4-9EA4-4459-83D3-CFD2BA3E867F}">
  <ds:schemaRefs/>
</ds:datastoreItem>
</file>

<file path=customXml/itemProps10.xml><?xml version="1.0" encoding="utf-8"?>
<ds:datastoreItem xmlns:ds="http://schemas.openxmlformats.org/officeDocument/2006/customXml" ds:itemID="{83365C53-12AB-41E3-B69C-6C8C3DC832C6}">
  <ds:schemaRefs/>
</ds:datastoreItem>
</file>

<file path=customXml/itemProps11.xml><?xml version="1.0" encoding="utf-8"?>
<ds:datastoreItem xmlns:ds="http://schemas.openxmlformats.org/officeDocument/2006/customXml" ds:itemID="{17537920-CFF2-480D-9E18-76ED8A01CBF7}">
  <ds:schemaRefs/>
</ds:datastoreItem>
</file>

<file path=customXml/itemProps12.xml><?xml version="1.0" encoding="utf-8"?>
<ds:datastoreItem xmlns:ds="http://schemas.openxmlformats.org/officeDocument/2006/customXml" ds:itemID="{983B94C5-3FE7-4E95-9D60-364EBB529D19}">
  <ds:schemaRefs/>
</ds:datastoreItem>
</file>

<file path=customXml/itemProps13.xml><?xml version="1.0" encoding="utf-8"?>
<ds:datastoreItem xmlns:ds="http://schemas.openxmlformats.org/officeDocument/2006/customXml" ds:itemID="{826DE169-A12F-441B-B9E8-7D8BE973A22A}">
  <ds:schemaRefs/>
</ds:datastoreItem>
</file>

<file path=customXml/itemProps14.xml><?xml version="1.0" encoding="utf-8"?>
<ds:datastoreItem xmlns:ds="http://schemas.openxmlformats.org/officeDocument/2006/customXml" ds:itemID="{5600E397-1C83-43EE-9A8D-CB897F89AB45}">
  <ds:schemaRefs/>
</ds:datastoreItem>
</file>

<file path=customXml/itemProps15.xml><?xml version="1.0" encoding="utf-8"?>
<ds:datastoreItem xmlns:ds="http://schemas.openxmlformats.org/officeDocument/2006/customXml" ds:itemID="{D6E68025-B2FB-48C4-9EB1-40321AE821FD}">
  <ds:schemaRefs/>
</ds:datastoreItem>
</file>

<file path=customXml/itemProps16.xml><?xml version="1.0" encoding="utf-8"?>
<ds:datastoreItem xmlns:ds="http://schemas.openxmlformats.org/officeDocument/2006/customXml" ds:itemID="{FC027D44-1291-43C6-95C9-2CF298E7EC81}">
  <ds:schemaRefs/>
</ds:datastoreItem>
</file>

<file path=customXml/itemProps17.xml><?xml version="1.0" encoding="utf-8"?>
<ds:datastoreItem xmlns:ds="http://schemas.openxmlformats.org/officeDocument/2006/customXml" ds:itemID="{1F2FCD79-958B-436A-8650-1C264D0996E7}">
  <ds:schemaRefs/>
</ds:datastoreItem>
</file>

<file path=customXml/itemProps18.xml><?xml version="1.0" encoding="utf-8"?>
<ds:datastoreItem xmlns:ds="http://schemas.openxmlformats.org/officeDocument/2006/customXml" ds:itemID="{5E40F4B7-4F92-4D90-BA0D-5C710F8014A7}">
  <ds:schemaRefs/>
</ds:datastoreItem>
</file>

<file path=customXml/itemProps19.xml><?xml version="1.0" encoding="utf-8"?>
<ds:datastoreItem xmlns:ds="http://schemas.openxmlformats.org/officeDocument/2006/customXml" ds:itemID="{66AD078A-1376-45E6-BFF6-101F6643BAF3}">
  <ds:schemaRefs/>
</ds:datastoreItem>
</file>

<file path=customXml/itemProps20.xml><?xml version="1.0" encoding="utf-8"?>
<ds:datastoreItem xmlns:ds="http://schemas.openxmlformats.org/officeDocument/2006/customXml" ds:itemID="{B3F52646-F3FC-4C17-91C0-21E0A114613A}">
  <ds:schemaRefs/>
</ds:datastoreItem>
</file>

<file path=customXml/itemProps21.xml><?xml version="1.0" encoding="utf-8"?>
<ds:datastoreItem xmlns:ds="http://schemas.openxmlformats.org/officeDocument/2006/customXml" ds:itemID="{7C8914E6-DA4A-4F12-9CB7-A3FC40D708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OG Data</vt:lpstr>
      <vt:lpstr>Raw_Data</vt:lpstr>
      <vt:lpstr>Clean_Data</vt:lpstr>
      <vt:lpstr>Calculations</vt:lpstr>
      <vt:lpstr>Lookups</vt:lpstr>
      <vt:lpstr>Pivot_Table</vt:lpstr>
      <vt:lpstr>Analysis</vt:lpstr>
      <vt:lpstr>Data Model</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Komal Masram</cp:lastModifiedBy>
  <dcterms:created xsi:type="dcterms:W3CDTF">2026-02-11T09:22:04Z</dcterms:created>
  <dcterms:modified xsi:type="dcterms:W3CDTF">2026-02-12T14:17:09Z</dcterms:modified>
</cp:coreProperties>
</file>